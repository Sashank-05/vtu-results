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dmin\Desktop\vtu\vtu-results\"/>
    </mc:Choice>
  </mc:AlternateContent>
  <xr:revisionPtr revIDLastSave="0" documentId="13_ncr:1_{A3A625AE-DC37-4495-B8C9-B7C0636B882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verallResult" sheetId="1" r:id="rId1"/>
    <sheet name="SubjectWise" sheetId="2" r:id="rId2"/>
    <sheet name="FinalResult" sheetId="3" r:id="rId3"/>
    <sheet name="Absentees" sheetId="4" r:id="rId4"/>
    <sheet name="Toppers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70" i="5" l="1"/>
  <c r="BN70" i="5"/>
  <c r="BL70" i="5"/>
  <c r="BJ70" i="5"/>
  <c r="BM70" i="5" s="1"/>
  <c r="BA70" i="5"/>
  <c r="AU70" i="5"/>
  <c r="AT70" i="5"/>
  <c r="AV70" i="5" s="1"/>
  <c r="AR70" i="5"/>
  <c r="AI70" i="5"/>
  <c r="AB70" i="5"/>
  <c r="AD70" i="5" s="1"/>
  <c r="Z70" i="5"/>
  <c r="AC70" i="5" s="1"/>
  <c r="U70" i="5"/>
  <c r="T70" i="5"/>
  <c r="S70" i="5"/>
  <c r="Q70" i="5"/>
  <c r="K70" i="5"/>
  <c r="J70" i="5"/>
  <c r="L70" i="5" s="1"/>
  <c r="H70" i="5"/>
  <c r="BS69" i="5"/>
  <c r="BM69" i="5"/>
  <c r="BJ69" i="5"/>
  <c r="BL69" i="5" s="1"/>
  <c r="BN69" i="5" s="1"/>
  <c r="BE69" i="5"/>
  <c r="BD69" i="5"/>
  <c r="BA69" i="5"/>
  <c r="BC69" i="5" s="1"/>
  <c r="AU69" i="5"/>
  <c r="AR69" i="5"/>
  <c r="AT69" i="5" s="1"/>
  <c r="AV69" i="5" s="1"/>
  <c r="AI69" i="5"/>
  <c r="AD69" i="5"/>
  <c r="AC69" i="5"/>
  <c r="Z69" i="5"/>
  <c r="AB69" i="5" s="1"/>
  <c r="Q69" i="5"/>
  <c r="S69" i="5" s="1"/>
  <c r="U69" i="5" s="1"/>
  <c r="L69" i="5"/>
  <c r="K69" i="5"/>
  <c r="J69" i="5"/>
  <c r="H69" i="5"/>
  <c r="BW68" i="5"/>
  <c r="BV68" i="5"/>
  <c r="BS68" i="5"/>
  <c r="BU68" i="5" s="1"/>
  <c r="BJ68" i="5"/>
  <c r="BL68" i="5" s="1"/>
  <c r="BN68" i="5" s="1"/>
  <c r="BD68" i="5"/>
  <c r="BA68" i="5"/>
  <c r="BC68" i="5" s="1"/>
  <c r="BE68" i="5" s="1"/>
  <c r="AR68" i="5"/>
  <c r="AT68" i="5" s="1"/>
  <c r="AV68" i="5" s="1"/>
  <c r="AL68" i="5"/>
  <c r="AI68" i="5"/>
  <c r="AK68" i="5" s="1"/>
  <c r="AM68" i="5" s="1"/>
  <c r="AD68" i="5"/>
  <c r="AC68" i="5"/>
  <c r="Z68" i="5"/>
  <c r="AB68" i="5" s="1"/>
  <c r="T68" i="5"/>
  <c r="Q68" i="5"/>
  <c r="S68" i="5" s="1"/>
  <c r="U68" i="5" s="1"/>
  <c r="H68" i="5"/>
  <c r="BV67" i="5"/>
  <c r="BS67" i="5"/>
  <c r="BU67" i="5" s="1"/>
  <c r="BW67" i="5" s="1"/>
  <c r="BJ67" i="5"/>
  <c r="BL67" i="5" s="1"/>
  <c r="BN67" i="5" s="1"/>
  <c r="BD67" i="5"/>
  <c r="BA67" i="5"/>
  <c r="BC67" i="5" s="1"/>
  <c r="BE67" i="5" s="1"/>
  <c r="AV67" i="5"/>
  <c r="AU67" i="5"/>
  <c r="AR67" i="5"/>
  <c r="AT67" i="5" s="1"/>
  <c r="AL67" i="5"/>
  <c r="AI67" i="5"/>
  <c r="AK67" i="5" s="1"/>
  <c r="AM67" i="5" s="1"/>
  <c r="Z67" i="5"/>
  <c r="U67" i="5"/>
  <c r="T67" i="5"/>
  <c r="Q67" i="5"/>
  <c r="S67" i="5" s="1"/>
  <c r="H67" i="5"/>
  <c r="J67" i="5" s="1"/>
  <c r="L67" i="5" s="1"/>
  <c r="BV66" i="5"/>
  <c r="BS66" i="5"/>
  <c r="BU66" i="5" s="1"/>
  <c r="BW66" i="5" s="1"/>
  <c r="BN66" i="5"/>
  <c r="BM66" i="5"/>
  <c r="BJ66" i="5"/>
  <c r="BL66" i="5" s="1"/>
  <c r="BD66" i="5"/>
  <c r="BA66" i="5"/>
  <c r="BC66" i="5" s="1"/>
  <c r="BE66" i="5" s="1"/>
  <c r="AR66" i="5"/>
  <c r="AM66" i="5"/>
  <c r="AL66" i="5"/>
  <c r="AI66" i="5"/>
  <c r="AK66" i="5" s="1"/>
  <c r="Z66" i="5"/>
  <c r="AB66" i="5" s="1"/>
  <c r="AD66" i="5" s="1"/>
  <c r="T66" i="5"/>
  <c r="Q66" i="5"/>
  <c r="S66" i="5" s="1"/>
  <c r="U66" i="5" s="1"/>
  <c r="H66" i="5"/>
  <c r="J66" i="5" s="1"/>
  <c r="L66" i="5" s="1"/>
  <c r="BV65" i="5"/>
  <c r="BS65" i="5"/>
  <c r="BU65" i="5" s="1"/>
  <c r="BW65" i="5" s="1"/>
  <c r="BJ65" i="5"/>
  <c r="BE65" i="5"/>
  <c r="BD65" i="5"/>
  <c r="BA65" i="5"/>
  <c r="BC65" i="5" s="1"/>
  <c r="AR65" i="5"/>
  <c r="AT65" i="5" s="1"/>
  <c r="AV65" i="5" s="1"/>
  <c r="AL65" i="5"/>
  <c r="AI65" i="5"/>
  <c r="AK65" i="5" s="1"/>
  <c r="AM65" i="5" s="1"/>
  <c r="Z65" i="5"/>
  <c r="AB65" i="5" s="1"/>
  <c r="AD65" i="5" s="1"/>
  <c r="T65" i="5"/>
  <c r="Q65" i="5"/>
  <c r="S65" i="5" s="1"/>
  <c r="U65" i="5" s="1"/>
  <c r="L65" i="5"/>
  <c r="K65" i="5"/>
  <c r="H65" i="5"/>
  <c r="J65" i="5" s="1"/>
  <c r="BW64" i="5"/>
  <c r="BV64" i="5"/>
  <c r="BS64" i="5"/>
  <c r="BU64" i="5" s="1"/>
  <c r="BJ64" i="5"/>
  <c r="BL64" i="5" s="1"/>
  <c r="BN64" i="5" s="1"/>
  <c r="BD64" i="5"/>
  <c r="BA64" i="5"/>
  <c r="BC64" i="5" s="1"/>
  <c r="BE64" i="5" s="1"/>
  <c r="AR64" i="5"/>
  <c r="AT64" i="5" s="1"/>
  <c r="AV64" i="5" s="1"/>
  <c r="AL64" i="5"/>
  <c r="AI64" i="5"/>
  <c r="AK64" i="5" s="1"/>
  <c r="AM64" i="5" s="1"/>
  <c r="AD64" i="5"/>
  <c r="AC64" i="5"/>
  <c r="Z64" i="5"/>
  <c r="AB64" i="5" s="1"/>
  <c r="T64" i="5"/>
  <c r="Q64" i="5"/>
  <c r="S64" i="5" s="1"/>
  <c r="U64" i="5" s="1"/>
  <c r="H64" i="5"/>
  <c r="BV63" i="5"/>
  <c r="BS63" i="5"/>
  <c r="BU63" i="5" s="1"/>
  <c r="BW63" i="5" s="1"/>
  <c r="BJ63" i="5"/>
  <c r="BL63" i="5" s="1"/>
  <c r="BN63" i="5" s="1"/>
  <c r="BD63" i="5"/>
  <c r="BA63" i="5"/>
  <c r="BC63" i="5" s="1"/>
  <c r="BE63" i="5" s="1"/>
  <c r="AV63" i="5"/>
  <c r="AU63" i="5"/>
  <c r="AR63" i="5"/>
  <c r="AT63" i="5" s="1"/>
  <c r="AL63" i="5"/>
  <c r="AI63" i="5"/>
  <c r="AK63" i="5" s="1"/>
  <c r="AM63" i="5" s="1"/>
  <c r="Z63" i="5"/>
  <c r="U63" i="5"/>
  <c r="T63" i="5"/>
  <c r="Q63" i="5"/>
  <c r="S63" i="5" s="1"/>
  <c r="H63" i="5"/>
  <c r="J63" i="5" s="1"/>
  <c r="L63" i="5" s="1"/>
  <c r="BV62" i="5"/>
  <c r="BS62" i="5"/>
  <c r="BU62" i="5" s="1"/>
  <c r="BW62" i="5" s="1"/>
  <c r="BN62" i="5"/>
  <c r="BM62" i="5"/>
  <c r="BJ62" i="5"/>
  <c r="BL62" i="5" s="1"/>
  <c r="BD62" i="5"/>
  <c r="BA62" i="5"/>
  <c r="BC62" i="5" s="1"/>
  <c r="BE62" i="5" s="1"/>
  <c r="AR62" i="5"/>
  <c r="AM62" i="5"/>
  <c r="AL62" i="5"/>
  <c r="AI62" i="5"/>
  <c r="AK62" i="5" s="1"/>
  <c r="Z62" i="5"/>
  <c r="AB62" i="5" s="1"/>
  <c r="AD62" i="5" s="1"/>
  <c r="T62" i="5"/>
  <c r="Q62" i="5"/>
  <c r="S62" i="5" s="1"/>
  <c r="U62" i="5" s="1"/>
  <c r="H62" i="5"/>
  <c r="J62" i="5" s="1"/>
  <c r="L62" i="5" s="1"/>
  <c r="BV61" i="5"/>
  <c r="BS61" i="5"/>
  <c r="BU61" i="5" s="1"/>
  <c r="BW61" i="5" s="1"/>
  <c r="BJ61" i="5"/>
  <c r="BE61" i="5"/>
  <c r="BD61" i="5"/>
  <c r="BA61" i="5"/>
  <c r="BC61" i="5" s="1"/>
  <c r="AR61" i="5"/>
  <c r="AT61" i="5" s="1"/>
  <c r="AV61" i="5" s="1"/>
  <c r="AL61" i="5"/>
  <c r="AI61" i="5"/>
  <c r="AK61" i="5" s="1"/>
  <c r="AM61" i="5" s="1"/>
  <c r="Z61" i="5"/>
  <c r="AB61" i="5" s="1"/>
  <c r="AD61" i="5" s="1"/>
  <c r="T61" i="5"/>
  <c r="Q61" i="5"/>
  <c r="S61" i="5" s="1"/>
  <c r="U61" i="5" s="1"/>
  <c r="L61" i="5"/>
  <c r="K61" i="5"/>
  <c r="H61" i="5"/>
  <c r="J61" i="5" s="1"/>
  <c r="BW60" i="5"/>
  <c r="BV60" i="5"/>
  <c r="BS60" i="5"/>
  <c r="BU60" i="5" s="1"/>
  <c r="BJ60" i="5"/>
  <c r="BL60" i="5" s="1"/>
  <c r="BN60" i="5" s="1"/>
  <c r="BA60" i="5"/>
  <c r="BC60" i="5" s="1"/>
  <c r="BE60" i="5" s="1"/>
  <c r="AR60" i="5"/>
  <c r="AT60" i="5" s="1"/>
  <c r="AV60" i="5" s="1"/>
  <c r="AL60" i="5"/>
  <c r="AI60" i="5"/>
  <c r="AK60" i="5" s="1"/>
  <c r="AM60" i="5" s="1"/>
  <c r="AD60" i="5"/>
  <c r="AC60" i="5"/>
  <c r="Z60" i="5"/>
  <c r="AB60" i="5" s="1"/>
  <c r="T60" i="5"/>
  <c r="Q60" i="5"/>
  <c r="S60" i="5" s="1"/>
  <c r="U60" i="5" s="1"/>
  <c r="H60" i="5"/>
  <c r="BV59" i="5"/>
  <c r="BS59" i="5"/>
  <c r="BJ59" i="5"/>
  <c r="BL59" i="5" s="1"/>
  <c r="BN59" i="5" s="1"/>
  <c r="BD59" i="5"/>
  <c r="BA59" i="5"/>
  <c r="BC59" i="5" s="1"/>
  <c r="BE59" i="5" s="1"/>
  <c r="AV59" i="5"/>
  <c r="AU59" i="5"/>
  <c r="AR59" i="5"/>
  <c r="AT59" i="5" s="1"/>
  <c r="AL59" i="5"/>
  <c r="AI59" i="5"/>
  <c r="AK59" i="5" s="1"/>
  <c r="AM59" i="5" s="1"/>
  <c r="Z59" i="5"/>
  <c r="U59" i="5"/>
  <c r="T59" i="5"/>
  <c r="Q59" i="5"/>
  <c r="S59" i="5" s="1"/>
  <c r="H59" i="5"/>
  <c r="BV58" i="5"/>
  <c r="BS58" i="5"/>
  <c r="BU58" i="5" s="1"/>
  <c r="BW58" i="5" s="1"/>
  <c r="BN58" i="5"/>
  <c r="BM58" i="5"/>
  <c r="BJ58" i="5"/>
  <c r="BL58" i="5" s="1"/>
  <c r="BD58" i="5"/>
  <c r="BA58" i="5"/>
  <c r="BC58" i="5" s="1"/>
  <c r="BE58" i="5" s="1"/>
  <c r="AR58" i="5"/>
  <c r="AM58" i="5"/>
  <c r="AL58" i="5"/>
  <c r="AI58" i="5"/>
  <c r="AK58" i="5" s="1"/>
  <c r="Z58" i="5"/>
  <c r="T58" i="5"/>
  <c r="Q58" i="5"/>
  <c r="S58" i="5" s="1"/>
  <c r="U58" i="5" s="1"/>
  <c r="H58" i="5"/>
  <c r="BV57" i="5"/>
  <c r="BS57" i="5"/>
  <c r="BU57" i="5" s="1"/>
  <c r="BW57" i="5" s="1"/>
  <c r="BJ57" i="5"/>
  <c r="BE57" i="5"/>
  <c r="BD57" i="5"/>
  <c r="BA57" i="5"/>
  <c r="BC57" i="5" s="1"/>
  <c r="AR57" i="5"/>
  <c r="AL57" i="5"/>
  <c r="AI57" i="5"/>
  <c r="AK57" i="5" s="1"/>
  <c r="AM57" i="5" s="1"/>
  <c r="Z57" i="5"/>
  <c r="T57" i="5"/>
  <c r="Q57" i="5"/>
  <c r="S57" i="5" s="1"/>
  <c r="U57" i="5" s="1"/>
  <c r="L57" i="5"/>
  <c r="K57" i="5"/>
  <c r="H57" i="5"/>
  <c r="J57" i="5" s="1"/>
  <c r="BW56" i="5"/>
  <c r="BV56" i="5"/>
  <c r="BS56" i="5"/>
  <c r="BU56" i="5" s="1"/>
  <c r="BJ56" i="5"/>
  <c r="BD56" i="5"/>
  <c r="BA56" i="5"/>
  <c r="BC56" i="5" s="1"/>
  <c r="BE56" i="5" s="1"/>
  <c r="AR56" i="5"/>
  <c r="AL56" i="5"/>
  <c r="AI56" i="5"/>
  <c r="AK56" i="5" s="1"/>
  <c r="AM56" i="5" s="1"/>
  <c r="AD56" i="5"/>
  <c r="AC56" i="5"/>
  <c r="Z56" i="5"/>
  <c r="AB56" i="5" s="1"/>
  <c r="U56" i="5"/>
  <c r="T56" i="5"/>
  <c r="Q56" i="5"/>
  <c r="S56" i="5" s="1"/>
  <c r="H56" i="5"/>
  <c r="A56" i="5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BS55" i="5"/>
  <c r="BM55" i="5"/>
  <c r="BJ55" i="5"/>
  <c r="BL55" i="5" s="1"/>
  <c r="BN55" i="5" s="1"/>
  <c r="BE55" i="5"/>
  <c r="BD55" i="5"/>
  <c r="BA55" i="5"/>
  <c r="BC55" i="5" s="1"/>
  <c r="AU55" i="5"/>
  <c r="AR55" i="5"/>
  <c r="AT55" i="5" s="1"/>
  <c r="AV55" i="5" s="1"/>
  <c r="AL55" i="5"/>
  <c r="AI55" i="5"/>
  <c r="AK55" i="5" s="1"/>
  <c r="AM55" i="5" s="1"/>
  <c r="AC55" i="5"/>
  <c r="Z55" i="5"/>
  <c r="AB55" i="5" s="1"/>
  <c r="AD55" i="5" s="1"/>
  <c r="T55" i="5"/>
  <c r="Q55" i="5"/>
  <c r="S55" i="5" s="1"/>
  <c r="U55" i="5" s="1"/>
  <c r="H55" i="5"/>
  <c r="J55" i="5" s="1"/>
  <c r="L55" i="5" s="1"/>
  <c r="BW54" i="5"/>
  <c r="BV54" i="5"/>
  <c r="BU54" i="5"/>
  <c r="BS54" i="5"/>
  <c r="CE54" i="5" s="1"/>
  <c r="CF54" i="5" s="1"/>
  <c r="BL54" i="5"/>
  <c r="BN54" i="5" s="1"/>
  <c r="BJ54" i="5"/>
  <c r="BM54" i="5" s="1"/>
  <c r="BD54" i="5"/>
  <c r="BC54" i="5"/>
  <c r="BE54" i="5" s="1"/>
  <c r="BA54" i="5"/>
  <c r="AV54" i="5"/>
  <c r="AT54" i="5"/>
  <c r="AR54" i="5"/>
  <c r="AU54" i="5" s="1"/>
  <c r="AL54" i="5"/>
  <c r="AK54" i="5"/>
  <c r="AM54" i="5" s="1"/>
  <c r="AI54" i="5"/>
  <c r="AB54" i="5"/>
  <c r="AD54" i="5" s="1"/>
  <c r="Z54" i="5"/>
  <c r="AC54" i="5" s="1"/>
  <c r="U54" i="5"/>
  <c r="T54" i="5"/>
  <c r="S54" i="5"/>
  <c r="Q54" i="5"/>
  <c r="L54" i="5"/>
  <c r="J54" i="5"/>
  <c r="H54" i="5"/>
  <c r="K54" i="5" s="1"/>
  <c r="CF53" i="5"/>
  <c r="BW53" i="5"/>
  <c r="BV53" i="5"/>
  <c r="BU53" i="5"/>
  <c r="BS53" i="5"/>
  <c r="CE53" i="5" s="1"/>
  <c r="BN53" i="5"/>
  <c r="BL53" i="5"/>
  <c r="BJ53" i="5"/>
  <c r="BM53" i="5" s="1"/>
  <c r="BE53" i="5"/>
  <c r="BD53" i="5"/>
  <c r="BC53" i="5"/>
  <c r="BA53" i="5"/>
  <c r="AT53" i="5"/>
  <c r="AV53" i="5" s="1"/>
  <c r="AR53" i="5"/>
  <c r="AU53" i="5" s="1"/>
  <c r="AL53" i="5"/>
  <c r="AK53" i="5"/>
  <c r="AM53" i="5" s="1"/>
  <c r="AI53" i="5"/>
  <c r="AD53" i="5"/>
  <c r="AB53" i="5"/>
  <c r="Z53" i="5"/>
  <c r="AC53" i="5" s="1"/>
  <c r="T53" i="5"/>
  <c r="S53" i="5"/>
  <c r="U53" i="5" s="1"/>
  <c r="Q53" i="5"/>
  <c r="J53" i="5"/>
  <c r="L53" i="5" s="1"/>
  <c r="H53" i="5"/>
  <c r="K53" i="5" s="1"/>
  <c r="BV52" i="5"/>
  <c r="BU52" i="5"/>
  <c r="BW52" i="5" s="1"/>
  <c r="BS52" i="5"/>
  <c r="CE52" i="5" s="1"/>
  <c r="CF52" i="5" s="1"/>
  <c r="BN52" i="5"/>
  <c r="BL52" i="5"/>
  <c r="BJ52" i="5"/>
  <c r="BM52" i="5" s="1"/>
  <c r="BD52" i="5"/>
  <c r="BC52" i="5"/>
  <c r="BE52" i="5" s="1"/>
  <c r="BA52" i="5"/>
  <c r="AV52" i="5"/>
  <c r="AT52" i="5"/>
  <c r="AR52" i="5"/>
  <c r="AU52" i="5" s="1"/>
  <c r="AM52" i="5"/>
  <c r="AL52" i="5"/>
  <c r="AK52" i="5"/>
  <c r="AI52" i="5"/>
  <c r="AB52" i="5"/>
  <c r="AD52" i="5" s="1"/>
  <c r="Z52" i="5"/>
  <c r="AC52" i="5" s="1"/>
  <c r="T52" i="5"/>
  <c r="S52" i="5"/>
  <c r="U52" i="5" s="1"/>
  <c r="Q52" i="5"/>
  <c r="L52" i="5"/>
  <c r="J52" i="5"/>
  <c r="H52" i="5"/>
  <c r="K52" i="5" s="1"/>
  <c r="CF51" i="5"/>
  <c r="CE51" i="5"/>
  <c r="BV51" i="5"/>
  <c r="BU51" i="5"/>
  <c r="BW51" i="5" s="1"/>
  <c r="BS51" i="5"/>
  <c r="BN51" i="5"/>
  <c r="BL51" i="5"/>
  <c r="BJ51" i="5"/>
  <c r="BM51" i="5" s="1"/>
  <c r="BE51" i="5"/>
  <c r="BC51" i="5"/>
  <c r="BA51" i="5"/>
  <c r="BD51" i="5" s="1"/>
  <c r="AT51" i="5"/>
  <c r="AV51" i="5" s="1"/>
  <c r="AR51" i="5"/>
  <c r="AU51" i="5" s="1"/>
  <c r="AL51" i="5"/>
  <c r="AI51" i="5"/>
  <c r="AK51" i="5" s="1"/>
  <c r="AM51" i="5" s="1"/>
  <c r="AD51" i="5"/>
  <c r="AB51" i="5"/>
  <c r="Z51" i="5"/>
  <c r="AC51" i="5" s="1"/>
  <c r="U51" i="5"/>
  <c r="S51" i="5"/>
  <c r="Q51" i="5"/>
  <c r="T51" i="5" s="1"/>
  <c r="L51" i="5"/>
  <c r="J51" i="5"/>
  <c r="H51" i="5"/>
  <c r="K51" i="5" s="1"/>
  <c r="A51" i="5"/>
  <c r="A52" i="5" s="1"/>
  <c r="A53" i="5" s="1"/>
  <c r="A54" i="5" s="1"/>
  <c r="BS50" i="5"/>
  <c r="BV50" i="5" s="1"/>
  <c r="BL50" i="5"/>
  <c r="BN50" i="5" s="1"/>
  <c r="BJ50" i="5"/>
  <c r="BM50" i="5" s="1"/>
  <c r="BA50" i="5"/>
  <c r="AV50" i="5"/>
  <c r="AT50" i="5"/>
  <c r="AR50" i="5"/>
  <c r="AU50" i="5" s="1"/>
  <c r="AL50" i="5"/>
  <c r="AK50" i="5"/>
  <c r="AM50" i="5" s="1"/>
  <c r="AI50" i="5"/>
  <c r="AB50" i="5"/>
  <c r="AD50" i="5" s="1"/>
  <c r="Z50" i="5"/>
  <c r="AC50" i="5" s="1"/>
  <c r="U50" i="5"/>
  <c r="S50" i="5"/>
  <c r="Q50" i="5"/>
  <c r="T50" i="5" s="1"/>
  <c r="J50" i="5"/>
  <c r="L50" i="5" s="1"/>
  <c r="H50" i="5"/>
  <c r="K50" i="5" s="1"/>
  <c r="BV49" i="5"/>
  <c r="BU49" i="5"/>
  <c r="BW49" i="5" s="1"/>
  <c r="BS49" i="5"/>
  <c r="BN49" i="5"/>
  <c r="BJ49" i="5"/>
  <c r="BL49" i="5" s="1"/>
  <c r="BA49" i="5"/>
  <c r="AR49" i="5"/>
  <c r="AK49" i="5"/>
  <c r="AM49" i="5" s="1"/>
  <c r="AI49" i="5"/>
  <c r="AL49" i="5" s="1"/>
  <c r="Z49" i="5"/>
  <c r="AB49" i="5" s="1"/>
  <c r="AD49" i="5" s="1"/>
  <c r="S49" i="5"/>
  <c r="U49" i="5" s="1"/>
  <c r="Q49" i="5"/>
  <c r="T49" i="5" s="1"/>
  <c r="L49" i="5"/>
  <c r="K49" i="5"/>
  <c r="H49" i="5"/>
  <c r="J49" i="5" s="1"/>
  <c r="A49" i="5"/>
  <c r="BV48" i="5"/>
  <c r="BU48" i="5"/>
  <c r="BW48" i="5" s="1"/>
  <c r="BS48" i="5"/>
  <c r="BJ48" i="5"/>
  <c r="BL48" i="5" s="1"/>
  <c r="BN48" i="5" s="1"/>
  <c r="BA48" i="5"/>
  <c r="BD48" i="5" s="1"/>
  <c r="AU48" i="5"/>
  <c r="AR48" i="5"/>
  <c r="AT48" i="5" s="1"/>
  <c r="AV48" i="5" s="1"/>
  <c r="AI48" i="5"/>
  <c r="Z48" i="5"/>
  <c r="T48" i="5"/>
  <c r="S48" i="5"/>
  <c r="U48" i="5" s="1"/>
  <c r="Q48" i="5"/>
  <c r="L48" i="5"/>
  <c r="K48" i="5"/>
  <c r="H48" i="5"/>
  <c r="J48" i="5" s="1"/>
  <c r="CE47" i="5"/>
  <c r="CF47" i="5" s="1"/>
  <c r="BU47" i="5"/>
  <c r="BW47" i="5" s="1"/>
  <c r="BS47" i="5"/>
  <c r="BV47" i="5" s="1"/>
  <c r="BJ47" i="5"/>
  <c r="BC47" i="5"/>
  <c r="BE47" i="5" s="1"/>
  <c r="BA47" i="5"/>
  <c r="BD47" i="5" s="1"/>
  <c r="AR47" i="5"/>
  <c r="AK47" i="5"/>
  <c r="AM47" i="5" s="1"/>
  <c r="AI47" i="5"/>
  <c r="AL47" i="5" s="1"/>
  <c r="Z47" i="5"/>
  <c r="S47" i="5"/>
  <c r="U47" i="5" s="1"/>
  <c r="Q47" i="5"/>
  <c r="T47" i="5" s="1"/>
  <c r="H47" i="5"/>
  <c r="BU46" i="5"/>
  <c r="BW46" i="5" s="1"/>
  <c r="BS46" i="5"/>
  <c r="BV46" i="5" s="1"/>
  <c r="BJ46" i="5"/>
  <c r="BC46" i="5"/>
  <c r="BE46" i="5" s="1"/>
  <c r="BA46" i="5"/>
  <c r="BD46" i="5" s="1"/>
  <c r="AR46" i="5"/>
  <c r="AK46" i="5"/>
  <c r="AM46" i="5" s="1"/>
  <c r="AI46" i="5"/>
  <c r="AL46" i="5" s="1"/>
  <c r="Z46" i="5"/>
  <c r="S46" i="5"/>
  <c r="U46" i="5" s="1"/>
  <c r="Q46" i="5"/>
  <c r="T46" i="5" s="1"/>
  <c r="H46" i="5"/>
  <c r="A46" i="5"/>
  <c r="A47" i="5" s="1"/>
  <c r="BU45" i="5"/>
  <c r="BW45" i="5" s="1"/>
  <c r="BS45" i="5"/>
  <c r="BV45" i="5" s="1"/>
  <c r="BJ45" i="5"/>
  <c r="BC45" i="5"/>
  <c r="BE45" i="5" s="1"/>
  <c r="BA45" i="5"/>
  <c r="BD45" i="5" s="1"/>
  <c r="AR45" i="5"/>
  <c r="AK45" i="5"/>
  <c r="AM45" i="5" s="1"/>
  <c r="AI45" i="5"/>
  <c r="AL45" i="5" s="1"/>
  <c r="Z45" i="5"/>
  <c r="S45" i="5"/>
  <c r="U45" i="5" s="1"/>
  <c r="Q45" i="5"/>
  <c r="T45" i="5" s="1"/>
  <c r="H45" i="5"/>
  <c r="BS44" i="5"/>
  <c r="BU44" i="5" s="1"/>
  <c r="BW44" i="5" s="1"/>
  <c r="BM44" i="5"/>
  <c r="BL44" i="5"/>
  <c r="BN44" i="5" s="1"/>
  <c r="BJ44" i="5"/>
  <c r="BD44" i="5"/>
  <c r="BA44" i="5"/>
  <c r="BC44" i="5" s="1"/>
  <c r="BE44" i="5" s="1"/>
  <c r="AU44" i="5"/>
  <c r="AT44" i="5"/>
  <c r="AV44" i="5" s="1"/>
  <c r="AR44" i="5"/>
  <c r="AM44" i="5"/>
  <c r="AL44" i="5"/>
  <c r="AI44" i="5"/>
  <c r="AK44" i="5" s="1"/>
  <c r="AC44" i="5"/>
  <c r="AB44" i="5"/>
  <c r="AD44" i="5" s="1"/>
  <c r="Z44" i="5"/>
  <c r="U44" i="5"/>
  <c r="Q44" i="5"/>
  <c r="S44" i="5" s="1"/>
  <c r="K44" i="5"/>
  <c r="J44" i="5"/>
  <c r="L44" i="5" s="1"/>
  <c r="H44" i="5"/>
  <c r="BW43" i="5"/>
  <c r="BV43" i="5"/>
  <c r="BS43" i="5"/>
  <c r="BU43" i="5" s="1"/>
  <c r="BM43" i="5"/>
  <c r="BL43" i="5"/>
  <c r="BN43" i="5" s="1"/>
  <c r="BJ43" i="5"/>
  <c r="BE43" i="5"/>
  <c r="BA43" i="5"/>
  <c r="BC43" i="5" s="1"/>
  <c r="AU43" i="5"/>
  <c r="AT43" i="5"/>
  <c r="AV43" i="5" s="1"/>
  <c r="AR43" i="5"/>
  <c r="AI43" i="5"/>
  <c r="AK43" i="5" s="1"/>
  <c r="AM43" i="5" s="1"/>
  <c r="AC43" i="5"/>
  <c r="AB43" i="5"/>
  <c r="AD43" i="5" s="1"/>
  <c r="Z43" i="5"/>
  <c r="T43" i="5"/>
  <c r="Q43" i="5"/>
  <c r="S43" i="5" s="1"/>
  <c r="U43" i="5" s="1"/>
  <c r="K43" i="5"/>
  <c r="J43" i="5"/>
  <c r="L43" i="5" s="1"/>
  <c r="H43" i="5"/>
  <c r="BW42" i="5"/>
  <c r="BV42" i="5"/>
  <c r="BS42" i="5"/>
  <c r="BU42" i="5" s="1"/>
  <c r="BM42" i="5"/>
  <c r="BL42" i="5"/>
  <c r="BN42" i="5" s="1"/>
  <c r="BJ42" i="5"/>
  <c r="BE42" i="5"/>
  <c r="BA42" i="5"/>
  <c r="BC42" i="5" s="1"/>
  <c r="AU42" i="5"/>
  <c r="AT42" i="5"/>
  <c r="AV42" i="5" s="1"/>
  <c r="AR42" i="5"/>
  <c r="AI42" i="5"/>
  <c r="AC42" i="5"/>
  <c r="AB42" i="5"/>
  <c r="AD42" i="5" s="1"/>
  <c r="Z42" i="5"/>
  <c r="T42" i="5"/>
  <c r="Q42" i="5"/>
  <c r="S42" i="5" s="1"/>
  <c r="U42" i="5" s="1"/>
  <c r="K42" i="5"/>
  <c r="J42" i="5"/>
  <c r="L42" i="5" s="1"/>
  <c r="H42" i="5"/>
  <c r="A42" i="5"/>
  <c r="A43" i="5" s="1"/>
  <c r="A44" i="5" s="1"/>
  <c r="BV41" i="5"/>
  <c r="BS41" i="5"/>
  <c r="BU41" i="5" s="1"/>
  <c r="BW41" i="5" s="1"/>
  <c r="BM41" i="5"/>
  <c r="BL41" i="5"/>
  <c r="BN41" i="5" s="1"/>
  <c r="BJ41" i="5"/>
  <c r="BE41" i="5"/>
  <c r="BD41" i="5"/>
  <c r="BA41" i="5"/>
  <c r="BC41" i="5" s="1"/>
  <c r="AU41" i="5"/>
  <c r="AT41" i="5"/>
  <c r="AV41" i="5" s="1"/>
  <c r="AR41" i="5"/>
  <c r="AM41" i="5"/>
  <c r="AI41" i="5"/>
  <c r="AK41" i="5" s="1"/>
  <c r="AC41" i="5"/>
  <c r="AB41" i="5"/>
  <c r="AD41" i="5" s="1"/>
  <c r="Z41" i="5"/>
  <c r="Q41" i="5"/>
  <c r="K41" i="5"/>
  <c r="J41" i="5"/>
  <c r="L41" i="5" s="1"/>
  <c r="H41" i="5"/>
  <c r="A41" i="5"/>
  <c r="BV40" i="5"/>
  <c r="BS40" i="5"/>
  <c r="BU40" i="5" s="1"/>
  <c r="BW40" i="5" s="1"/>
  <c r="BM40" i="5"/>
  <c r="BL40" i="5"/>
  <c r="BN40" i="5" s="1"/>
  <c r="BJ40" i="5"/>
  <c r="BE40" i="5"/>
  <c r="BD40" i="5"/>
  <c r="BA40" i="5"/>
  <c r="BC40" i="5" s="1"/>
  <c r="AU40" i="5"/>
  <c r="AT40" i="5"/>
  <c r="AV40" i="5" s="1"/>
  <c r="AR40" i="5"/>
  <c r="AM40" i="5"/>
  <c r="AI40" i="5"/>
  <c r="AK40" i="5" s="1"/>
  <c r="AC40" i="5"/>
  <c r="AB40" i="5"/>
  <c r="AD40" i="5" s="1"/>
  <c r="Z40" i="5"/>
  <c r="Q40" i="5"/>
  <c r="K40" i="5"/>
  <c r="J40" i="5"/>
  <c r="L40" i="5" s="1"/>
  <c r="H40" i="5"/>
  <c r="BV39" i="5"/>
  <c r="BU39" i="5"/>
  <c r="BW39" i="5" s="1"/>
  <c r="BS39" i="5"/>
  <c r="BL39" i="5"/>
  <c r="BN39" i="5" s="1"/>
  <c r="BJ39" i="5"/>
  <c r="BM39" i="5" s="1"/>
  <c r="BD39" i="5"/>
  <c r="BC39" i="5"/>
  <c r="BE39" i="5" s="1"/>
  <c r="BA39" i="5"/>
  <c r="AT39" i="5"/>
  <c r="AV39" i="5" s="1"/>
  <c r="AR39" i="5"/>
  <c r="AU39" i="5" s="1"/>
  <c r="AL39" i="5"/>
  <c r="AK39" i="5"/>
  <c r="AM39" i="5" s="1"/>
  <c r="AI39" i="5"/>
  <c r="Z39" i="5"/>
  <c r="AC39" i="5" s="1"/>
  <c r="T39" i="5"/>
  <c r="S39" i="5"/>
  <c r="U39" i="5" s="1"/>
  <c r="Q39" i="5"/>
  <c r="H39" i="5"/>
  <c r="BV38" i="5"/>
  <c r="BU38" i="5"/>
  <c r="BW38" i="5" s="1"/>
  <c r="BS38" i="5"/>
  <c r="BL38" i="5"/>
  <c r="BN38" i="5" s="1"/>
  <c r="BJ38" i="5"/>
  <c r="BM38" i="5" s="1"/>
  <c r="BD38" i="5"/>
  <c r="BC38" i="5"/>
  <c r="BE38" i="5" s="1"/>
  <c r="BA38" i="5"/>
  <c r="AT38" i="5"/>
  <c r="AV38" i="5" s="1"/>
  <c r="AR38" i="5"/>
  <c r="AU38" i="5" s="1"/>
  <c r="AL38" i="5"/>
  <c r="AK38" i="5"/>
  <c r="AM38" i="5" s="1"/>
  <c r="AI38" i="5"/>
  <c r="AD38" i="5"/>
  <c r="AB38" i="5"/>
  <c r="Z38" i="5"/>
  <c r="AC38" i="5" s="1"/>
  <c r="T38" i="5"/>
  <c r="S38" i="5"/>
  <c r="U38" i="5" s="1"/>
  <c r="Q38" i="5"/>
  <c r="H38" i="5"/>
  <c r="BV37" i="5"/>
  <c r="BU37" i="5"/>
  <c r="BW37" i="5" s="1"/>
  <c r="BS37" i="5"/>
  <c r="CE37" i="5" s="1"/>
  <c r="CF37" i="5" s="1"/>
  <c r="BJ37" i="5"/>
  <c r="BD37" i="5"/>
  <c r="BC37" i="5"/>
  <c r="BE37" i="5" s="1"/>
  <c r="BA37" i="5"/>
  <c r="AT37" i="5"/>
  <c r="AV37" i="5" s="1"/>
  <c r="AR37" i="5"/>
  <c r="AU37" i="5" s="1"/>
  <c r="AL37" i="5"/>
  <c r="AK37" i="5"/>
  <c r="AM37" i="5" s="1"/>
  <c r="AI37" i="5"/>
  <c r="AD37" i="5"/>
  <c r="AB37" i="5"/>
  <c r="Z37" i="5"/>
  <c r="AC37" i="5" s="1"/>
  <c r="T37" i="5"/>
  <c r="S37" i="5"/>
  <c r="U37" i="5" s="1"/>
  <c r="Q37" i="5"/>
  <c r="H37" i="5"/>
  <c r="BV36" i="5"/>
  <c r="BU36" i="5"/>
  <c r="BW36" i="5" s="1"/>
  <c r="BS36" i="5"/>
  <c r="BJ36" i="5"/>
  <c r="BD36" i="5"/>
  <c r="BC36" i="5"/>
  <c r="BE36" i="5" s="1"/>
  <c r="BA36" i="5"/>
  <c r="AR36" i="5"/>
  <c r="AU36" i="5" s="1"/>
  <c r="AL36" i="5"/>
  <c r="AK36" i="5"/>
  <c r="AM36" i="5" s="1"/>
  <c r="AI36" i="5"/>
  <c r="AB36" i="5"/>
  <c r="AD36" i="5" s="1"/>
  <c r="Z36" i="5"/>
  <c r="AC36" i="5" s="1"/>
  <c r="T36" i="5"/>
  <c r="S36" i="5"/>
  <c r="U36" i="5" s="1"/>
  <c r="Q36" i="5"/>
  <c r="L36" i="5"/>
  <c r="J36" i="5"/>
  <c r="H36" i="5"/>
  <c r="K36" i="5" s="1"/>
  <c r="BV35" i="5"/>
  <c r="BU35" i="5"/>
  <c r="BW35" i="5" s="1"/>
  <c r="BS35" i="5"/>
  <c r="BJ35" i="5"/>
  <c r="BD35" i="5"/>
  <c r="BC35" i="5"/>
  <c r="BE35" i="5" s="1"/>
  <c r="BA35" i="5"/>
  <c r="AR35" i="5"/>
  <c r="AL35" i="5"/>
  <c r="AK35" i="5"/>
  <c r="AM35" i="5" s="1"/>
  <c r="AI35" i="5"/>
  <c r="AB35" i="5"/>
  <c r="AD35" i="5" s="1"/>
  <c r="Z35" i="5"/>
  <c r="AC35" i="5" s="1"/>
  <c r="T35" i="5"/>
  <c r="S35" i="5"/>
  <c r="U35" i="5" s="1"/>
  <c r="Q35" i="5"/>
  <c r="L35" i="5"/>
  <c r="J35" i="5"/>
  <c r="H35" i="5"/>
  <c r="K35" i="5" s="1"/>
  <c r="BV34" i="5"/>
  <c r="BU34" i="5"/>
  <c r="BW34" i="5" s="1"/>
  <c r="BS34" i="5"/>
  <c r="BN34" i="5"/>
  <c r="BL34" i="5"/>
  <c r="BJ34" i="5"/>
  <c r="BM34" i="5" s="1"/>
  <c r="BD34" i="5"/>
  <c r="BA34" i="5"/>
  <c r="BC34" i="5" s="1"/>
  <c r="BE34" i="5" s="1"/>
  <c r="AR34" i="5"/>
  <c r="AI34" i="5"/>
  <c r="AK34" i="5" s="1"/>
  <c r="AM34" i="5" s="1"/>
  <c r="AB34" i="5"/>
  <c r="AD34" i="5" s="1"/>
  <c r="Z34" i="5"/>
  <c r="AC34" i="5" s="1"/>
  <c r="S34" i="5"/>
  <c r="U34" i="5" s="1"/>
  <c r="Q34" i="5"/>
  <c r="T34" i="5" s="1"/>
  <c r="J34" i="5"/>
  <c r="L34" i="5" s="1"/>
  <c r="H34" i="5"/>
  <c r="K34" i="5" s="1"/>
  <c r="BV33" i="5"/>
  <c r="BU33" i="5"/>
  <c r="BW33" i="5" s="1"/>
  <c r="BS33" i="5"/>
  <c r="BL33" i="5"/>
  <c r="BN33" i="5" s="1"/>
  <c r="BJ33" i="5"/>
  <c r="BM33" i="5" s="1"/>
  <c r="BC33" i="5"/>
  <c r="BE33" i="5" s="1"/>
  <c r="BA33" i="5"/>
  <c r="BD33" i="5" s="1"/>
  <c r="AT33" i="5"/>
  <c r="AV33" i="5" s="1"/>
  <c r="AR33" i="5"/>
  <c r="AU33" i="5" s="1"/>
  <c r="AI33" i="5"/>
  <c r="AK33" i="5" s="1"/>
  <c r="AM33" i="5" s="1"/>
  <c r="Z33" i="5"/>
  <c r="U33" i="5"/>
  <c r="S33" i="5"/>
  <c r="Q33" i="5"/>
  <c r="T33" i="5" s="1"/>
  <c r="L33" i="5"/>
  <c r="J33" i="5"/>
  <c r="H33" i="5"/>
  <c r="K33" i="5" s="1"/>
  <c r="BS32" i="5"/>
  <c r="BU32" i="5" s="1"/>
  <c r="BW32" i="5" s="1"/>
  <c r="BM32" i="5"/>
  <c r="BL32" i="5"/>
  <c r="BN32" i="5" s="1"/>
  <c r="BJ32" i="5"/>
  <c r="BD32" i="5"/>
  <c r="BA32" i="5"/>
  <c r="BC32" i="5" s="1"/>
  <c r="BE32" i="5" s="1"/>
  <c r="AU32" i="5"/>
  <c r="AT32" i="5"/>
  <c r="AV32" i="5" s="1"/>
  <c r="AR32" i="5"/>
  <c r="AL32" i="5"/>
  <c r="AI32" i="5"/>
  <c r="AK32" i="5" s="1"/>
  <c r="AM32" i="5" s="1"/>
  <c r="AC32" i="5"/>
  <c r="AB32" i="5"/>
  <c r="AD32" i="5" s="1"/>
  <c r="Z32" i="5"/>
  <c r="U32" i="5"/>
  <c r="T32" i="5"/>
  <c r="Q32" i="5"/>
  <c r="S32" i="5" s="1"/>
  <c r="K32" i="5"/>
  <c r="J32" i="5"/>
  <c r="L32" i="5" s="1"/>
  <c r="H32" i="5"/>
  <c r="CE31" i="5"/>
  <c r="CF31" i="5" s="1"/>
  <c r="BW31" i="5"/>
  <c r="BS31" i="5"/>
  <c r="BU31" i="5" s="1"/>
  <c r="BM31" i="5"/>
  <c r="BL31" i="5"/>
  <c r="BN31" i="5" s="1"/>
  <c r="BJ31" i="5"/>
  <c r="BA31" i="5"/>
  <c r="BC31" i="5" s="1"/>
  <c r="BE31" i="5" s="1"/>
  <c r="AU31" i="5"/>
  <c r="AT31" i="5"/>
  <c r="AV31" i="5" s="1"/>
  <c r="AR31" i="5"/>
  <c r="AL31" i="5"/>
  <c r="AI31" i="5"/>
  <c r="AK31" i="5" s="1"/>
  <c r="AM31" i="5" s="1"/>
  <c r="AC31" i="5"/>
  <c r="AB31" i="5"/>
  <c r="AD31" i="5" s="1"/>
  <c r="Z31" i="5"/>
  <c r="U31" i="5"/>
  <c r="T31" i="5"/>
  <c r="Q31" i="5"/>
  <c r="S31" i="5" s="1"/>
  <c r="K31" i="5"/>
  <c r="J31" i="5"/>
  <c r="L31" i="5" s="1"/>
  <c r="H31" i="5"/>
  <c r="BW30" i="5"/>
  <c r="BV30" i="5"/>
  <c r="BS30" i="5"/>
  <c r="BU30" i="5" s="1"/>
  <c r="BM30" i="5"/>
  <c r="BL30" i="5"/>
  <c r="BN30" i="5" s="1"/>
  <c r="BJ30" i="5"/>
  <c r="BA30" i="5"/>
  <c r="BC30" i="5" s="1"/>
  <c r="BE30" i="5" s="1"/>
  <c r="AU30" i="5"/>
  <c r="AT30" i="5"/>
  <c r="AV30" i="5" s="1"/>
  <c r="AR30" i="5"/>
  <c r="AL30" i="5"/>
  <c r="AI30" i="5"/>
  <c r="AK30" i="5" s="1"/>
  <c r="AM30" i="5" s="1"/>
  <c r="AC30" i="5"/>
  <c r="AB30" i="5"/>
  <c r="AD30" i="5" s="1"/>
  <c r="Z30" i="5"/>
  <c r="U30" i="5"/>
  <c r="T30" i="5"/>
  <c r="Q30" i="5"/>
  <c r="S30" i="5" s="1"/>
  <c r="K30" i="5"/>
  <c r="J30" i="5"/>
  <c r="L30" i="5" s="1"/>
  <c r="H30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BS29" i="5"/>
  <c r="BU29" i="5" s="1"/>
  <c r="BW29" i="5" s="1"/>
  <c r="BM29" i="5"/>
  <c r="BL29" i="5"/>
  <c r="BN29" i="5" s="1"/>
  <c r="BJ29" i="5"/>
  <c r="BE29" i="5"/>
  <c r="BD29" i="5"/>
  <c r="BA29" i="5"/>
  <c r="BC29" i="5" s="1"/>
  <c r="AV29" i="5"/>
  <c r="AU29" i="5"/>
  <c r="AT29" i="5"/>
  <c r="AR29" i="5"/>
  <c r="AI29" i="5"/>
  <c r="AK29" i="5" s="1"/>
  <c r="AM29" i="5" s="1"/>
  <c r="AC29" i="5"/>
  <c r="AB29" i="5"/>
  <c r="AD29" i="5" s="1"/>
  <c r="Z29" i="5"/>
  <c r="U29" i="5"/>
  <c r="Q29" i="5"/>
  <c r="S29" i="5" s="1"/>
  <c r="K29" i="5"/>
  <c r="J29" i="5"/>
  <c r="L29" i="5" s="1"/>
  <c r="H29" i="5"/>
  <c r="A29" i="5"/>
  <c r="BW28" i="5"/>
  <c r="BV28" i="5"/>
  <c r="BS28" i="5"/>
  <c r="BU28" i="5" s="1"/>
  <c r="BN28" i="5"/>
  <c r="BM28" i="5"/>
  <c r="BL28" i="5"/>
  <c r="BJ28" i="5"/>
  <c r="BD28" i="5"/>
  <c r="BA28" i="5"/>
  <c r="BC28" i="5" s="1"/>
  <c r="BE28" i="5" s="1"/>
  <c r="AV28" i="5"/>
  <c r="AU28" i="5"/>
  <c r="AT28" i="5"/>
  <c r="AR28" i="5"/>
  <c r="AI28" i="5"/>
  <c r="AK28" i="5" s="1"/>
  <c r="AM28" i="5" s="1"/>
  <c r="AC28" i="5"/>
  <c r="AB28" i="5"/>
  <c r="AD28" i="5" s="1"/>
  <c r="Z28" i="5"/>
  <c r="U28" i="5"/>
  <c r="T28" i="5"/>
  <c r="Q28" i="5"/>
  <c r="S28" i="5" s="1"/>
  <c r="L28" i="5"/>
  <c r="K28" i="5"/>
  <c r="J28" i="5"/>
  <c r="H28" i="5"/>
  <c r="BV27" i="5"/>
  <c r="BU27" i="5"/>
  <c r="BW27" i="5" s="1"/>
  <c r="BS27" i="5"/>
  <c r="BJ27" i="5"/>
  <c r="BM27" i="5" s="1"/>
  <c r="BD27" i="5"/>
  <c r="BC27" i="5"/>
  <c r="BE27" i="5" s="1"/>
  <c r="BA27" i="5"/>
  <c r="AU27" i="5"/>
  <c r="AT27" i="5"/>
  <c r="AV27" i="5" s="1"/>
  <c r="AR27" i="5"/>
  <c r="AL27" i="5"/>
  <c r="AK27" i="5"/>
  <c r="AM27" i="5" s="1"/>
  <c r="AI27" i="5"/>
  <c r="Z27" i="5"/>
  <c r="AC27" i="5" s="1"/>
  <c r="T27" i="5"/>
  <c r="S27" i="5"/>
  <c r="U27" i="5" s="1"/>
  <c r="Q27" i="5"/>
  <c r="K27" i="5"/>
  <c r="H27" i="5"/>
  <c r="J27" i="5" s="1"/>
  <c r="L27" i="5" s="1"/>
  <c r="BV26" i="5"/>
  <c r="BU26" i="5"/>
  <c r="BW26" i="5" s="1"/>
  <c r="BS26" i="5"/>
  <c r="BM26" i="5"/>
  <c r="BL26" i="5"/>
  <c r="BN26" i="5" s="1"/>
  <c r="BJ26" i="5"/>
  <c r="BD26" i="5"/>
  <c r="BC26" i="5"/>
  <c r="BE26" i="5" s="1"/>
  <c r="BA26" i="5"/>
  <c r="AT26" i="5"/>
  <c r="AV26" i="5" s="1"/>
  <c r="AR26" i="5"/>
  <c r="AU26" i="5" s="1"/>
  <c r="AL26" i="5"/>
  <c r="AK26" i="5"/>
  <c r="AM26" i="5" s="1"/>
  <c r="AI26" i="5"/>
  <c r="Z26" i="5"/>
  <c r="T26" i="5"/>
  <c r="S26" i="5"/>
  <c r="U26" i="5" s="1"/>
  <c r="Q26" i="5"/>
  <c r="K26" i="5"/>
  <c r="J26" i="5"/>
  <c r="L26" i="5" s="1"/>
  <c r="H26" i="5"/>
  <c r="BV25" i="5"/>
  <c r="BU25" i="5"/>
  <c r="BW25" i="5" s="1"/>
  <c r="BS25" i="5"/>
  <c r="CE25" i="5" s="1"/>
  <c r="CF25" i="5" s="1"/>
  <c r="BM25" i="5"/>
  <c r="BL25" i="5"/>
  <c r="BN25" i="5" s="1"/>
  <c r="BJ25" i="5"/>
  <c r="BD25" i="5"/>
  <c r="BC25" i="5"/>
  <c r="BE25" i="5" s="1"/>
  <c r="BA25" i="5"/>
  <c r="AR25" i="5"/>
  <c r="AU25" i="5" s="1"/>
  <c r="AL25" i="5"/>
  <c r="AK25" i="5"/>
  <c r="AM25" i="5" s="1"/>
  <c r="AI25" i="5"/>
  <c r="AC25" i="5"/>
  <c r="AB25" i="5"/>
  <c r="AD25" i="5" s="1"/>
  <c r="Z25" i="5"/>
  <c r="T25" i="5"/>
  <c r="S25" i="5"/>
  <c r="U25" i="5" s="1"/>
  <c r="Q25" i="5"/>
  <c r="J25" i="5"/>
  <c r="L25" i="5" s="1"/>
  <c r="H25" i="5"/>
  <c r="K25" i="5" s="1"/>
  <c r="BV24" i="5"/>
  <c r="BU24" i="5"/>
  <c r="BW24" i="5" s="1"/>
  <c r="BS24" i="5"/>
  <c r="BN24" i="5"/>
  <c r="BL24" i="5"/>
  <c r="BJ24" i="5"/>
  <c r="BM24" i="5" s="1"/>
  <c r="BD24" i="5"/>
  <c r="BC24" i="5"/>
  <c r="BE24" i="5" s="1"/>
  <c r="BA24" i="5"/>
  <c r="AU24" i="5"/>
  <c r="AR24" i="5"/>
  <c r="AT24" i="5" s="1"/>
  <c r="AV24" i="5" s="1"/>
  <c r="AL24" i="5"/>
  <c r="AK24" i="5"/>
  <c r="AM24" i="5" s="1"/>
  <c r="AI24" i="5"/>
  <c r="AC24" i="5"/>
  <c r="AB24" i="5"/>
  <c r="AD24" i="5" s="1"/>
  <c r="Z24" i="5"/>
  <c r="T24" i="5"/>
  <c r="S24" i="5"/>
  <c r="U24" i="5" s="1"/>
  <c r="Q24" i="5"/>
  <c r="H24" i="5"/>
  <c r="K24" i="5" s="1"/>
  <c r="BV23" i="5"/>
  <c r="BU23" i="5"/>
  <c r="BW23" i="5" s="1"/>
  <c r="BS23" i="5"/>
  <c r="BJ23" i="5"/>
  <c r="BD23" i="5"/>
  <c r="BC23" i="5"/>
  <c r="BE23" i="5" s="1"/>
  <c r="BA23" i="5"/>
  <c r="AU23" i="5"/>
  <c r="AT23" i="5"/>
  <c r="AV23" i="5" s="1"/>
  <c r="AR23" i="5"/>
  <c r="AL23" i="5"/>
  <c r="AK23" i="5"/>
  <c r="AM23" i="5" s="1"/>
  <c r="AI23" i="5"/>
  <c r="Z23" i="5"/>
  <c r="AC23" i="5" s="1"/>
  <c r="T23" i="5"/>
  <c r="S23" i="5"/>
  <c r="U23" i="5" s="1"/>
  <c r="Q23" i="5"/>
  <c r="K23" i="5"/>
  <c r="H23" i="5"/>
  <c r="J23" i="5" s="1"/>
  <c r="L23" i="5" s="1"/>
  <c r="BV22" i="5"/>
  <c r="BU22" i="5"/>
  <c r="BW22" i="5" s="1"/>
  <c r="BS22" i="5"/>
  <c r="BM22" i="5"/>
  <c r="BL22" i="5"/>
  <c r="BN22" i="5" s="1"/>
  <c r="BJ22" i="5"/>
  <c r="BD22" i="5"/>
  <c r="BC22" i="5"/>
  <c r="BE22" i="5" s="1"/>
  <c r="BA22" i="5"/>
  <c r="AT22" i="5"/>
  <c r="AV22" i="5" s="1"/>
  <c r="AR22" i="5"/>
  <c r="AU22" i="5" s="1"/>
  <c r="AL22" i="5"/>
  <c r="AK22" i="5"/>
  <c r="AM22" i="5" s="1"/>
  <c r="AI22" i="5"/>
  <c r="Z22" i="5"/>
  <c r="T22" i="5"/>
  <c r="S22" i="5"/>
  <c r="U22" i="5" s="1"/>
  <c r="Q22" i="5"/>
  <c r="K22" i="5"/>
  <c r="J22" i="5"/>
  <c r="L22" i="5" s="1"/>
  <c r="H22" i="5"/>
  <c r="BV21" i="5"/>
  <c r="BU21" i="5"/>
  <c r="BW21" i="5" s="1"/>
  <c r="BS21" i="5"/>
  <c r="CE21" i="5" s="1"/>
  <c r="CF21" i="5" s="1"/>
  <c r="BM21" i="5"/>
  <c r="BL21" i="5"/>
  <c r="BN21" i="5" s="1"/>
  <c r="BJ21" i="5"/>
  <c r="BD21" i="5"/>
  <c r="BC21" i="5"/>
  <c r="BE21" i="5" s="1"/>
  <c r="BA21" i="5"/>
  <c r="AR21" i="5"/>
  <c r="AU21" i="5" s="1"/>
  <c r="AL21" i="5"/>
  <c r="AK21" i="5"/>
  <c r="AM21" i="5" s="1"/>
  <c r="AI21" i="5"/>
  <c r="AC21" i="5"/>
  <c r="AB21" i="5"/>
  <c r="AD21" i="5" s="1"/>
  <c r="Z21" i="5"/>
  <c r="T21" i="5"/>
  <c r="S21" i="5"/>
  <c r="U21" i="5" s="1"/>
  <c r="Q21" i="5"/>
  <c r="J21" i="5"/>
  <c r="L21" i="5" s="1"/>
  <c r="H21" i="5"/>
  <c r="K21" i="5" s="1"/>
  <c r="A21" i="5"/>
  <c r="A22" i="5" s="1"/>
  <c r="A23" i="5" s="1"/>
  <c r="A24" i="5" s="1"/>
  <c r="A25" i="5" s="1"/>
  <c r="A26" i="5" s="1"/>
  <c r="A27" i="5" s="1"/>
  <c r="BV20" i="5"/>
  <c r="BU20" i="5"/>
  <c r="BW20" i="5" s="1"/>
  <c r="BS20" i="5"/>
  <c r="CE20" i="5" s="1"/>
  <c r="CF20" i="5" s="1"/>
  <c r="BM20" i="5"/>
  <c r="BL20" i="5"/>
  <c r="BN20" i="5" s="1"/>
  <c r="BJ20" i="5"/>
  <c r="BD20" i="5"/>
  <c r="BC20" i="5"/>
  <c r="BE20" i="5" s="1"/>
  <c r="BA20" i="5"/>
  <c r="AR20" i="5"/>
  <c r="AU20" i="5" s="1"/>
  <c r="AL20" i="5"/>
  <c r="AK20" i="5"/>
  <c r="AM20" i="5" s="1"/>
  <c r="AI20" i="5"/>
  <c r="AC20" i="5"/>
  <c r="Z20" i="5"/>
  <c r="AB20" i="5" s="1"/>
  <c r="AD20" i="5" s="1"/>
  <c r="T20" i="5"/>
  <c r="S20" i="5"/>
  <c r="U20" i="5" s="1"/>
  <c r="Q20" i="5"/>
  <c r="K20" i="5"/>
  <c r="J20" i="5"/>
  <c r="L20" i="5" s="1"/>
  <c r="H20" i="5"/>
  <c r="BU19" i="5"/>
  <c r="BW19" i="5" s="1"/>
  <c r="BS19" i="5"/>
  <c r="BV19" i="5" s="1"/>
  <c r="BM19" i="5"/>
  <c r="BL19" i="5"/>
  <c r="BN19" i="5" s="1"/>
  <c r="BJ19" i="5"/>
  <c r="BE19" i="5"/>
  <c r="BC19" i="5"/>
  <c r="BA19" i="5"/>
  <c r="BD19" i="5" s="1"/>
  <c r="AU19" i="5"/>
  <c r="AR19" i="5"/>
  <c r="AT19" i="5" s="1"/>
  <c r="AV19" i="5" s="1"/>
  <c r="AI19" i="5"/>
  <c r="Z19" i="5"/>
  <c r="AC19" i="5" s="1"/>
  <c r="Q19" i="5"/>
  <c r="T19" i="5" s="1"/>
  <c r="J19" i="5"/>
  <c r="L19" i="5" s="1"/>
  <c r="H19" i="5"/>
  <c r="K19" i="5" s="1"/>
  <c r="BS18" i="5"/>
  <c r="BV18" i="5" s="1"/>
  <c r="BJ18" i="5"/>
  <c r="BM18" i="5" s="1"/>
  <c r="BD18" i="5"/>
  <c r="BC18" i="5"/>
  <c r="BE18" i="5" s="1"/>
  <c r="BA18" i="5"/>
  <c r="AR18" i="5"/>
  <c r="AU18" i="5" s="1"/>
  <c r="AK18" i="5"/>
  <c r="AM18" i="5" s="1"/>
  <c r="AI18" i="5"/>
  <c r="AL18" i="5" s="1"/>
  <c r="AB18" i="5"/>
  <c r="AD18" i="5" s="1"/>
  <c r="Z18" i="5"/>
  <c r="AC18" i="5" s="1"/>
  <c r="Q18" i="5"/>
  <c r="H18" i="5"/>
  <c r="K18" i="5" s="1"/>
  <c r="A18" i="5"/>
  <c r="BS17" i="5"/>
  <c r="BV17" i="5" s="1"/>
  <c r="BL17" i="5"/>
  <c r="BN17" i="5" s="1"/>
  <c r="BJ17" i="5"/>
  <c r="BM17" i="5" s="1"/>
  <c r="BD17" i="5"/>
  <c r="BA17" i="5"/>
  <c r="BC17" i="5" s="1"/>
  <c r="BE17" i="5" s="1"/>
  <c r="AR17" i="5"/>
  <c r="AL17" i="5"/>
  <c r="AK17" i="5"/>
  <c r="AM17" i="5" s="1"/>
  <c r="AI17" i="5"/>
  <c r="AB17" i="5"/>
  <c r="AD17" i="5" s="1"/>
  <c r="Z17" i="5"/>
  <c r="AC17" i="5" s="1"/>
  <c r="Q17" i="5"/>
  <c r="T17" i="5" s="1"/>
  <c r="H17" i="5"/>
  <c r="K17" i="5" s="1"/>
  <c r="A17" i="5"/>
  <c r="BV16" i="5"/>
  <c r="BU16" i="5"/>
  <c r="BW16" i="5" s="1"/>
  <c r="BS16" i="5"/>
  <c r="CE16" i="5" s="1"/>
  <c r="CF16" i="5" s="1"/>
  <c r="BJ16" i="5"/>
  <c r="BM16" i="5" s="1"/>
  <c r="BD16" i="5"/>
  <c r="BC16" i="5"/>
  <c r="BE16" i="5" s="1"/>
  <c r="BA16" i="5"/>
  <c r="AR16" i="5"/>
  <c r="AU16" i="5" s="1"/>
  <c r="AL16" i="5"/>
  <c r="AK16" i="5"/>
  <c r="AM16" i="5" s="1"/>
  <c r="AI16" i="5"/>
  <c r="Z16" i="5"/>
  <c r="AC16" i="5" s="1"/>
  <c r="T16" i="5"/>
  <c r="S16" i="5"/>
  <c r="U16" i="5" s="1"/>
  <c r="Q16" i="5"/>
  <c r="H16" i="5"/>
  <c r="K16" i="5" s="1"/>
  <c r="BU15" i="5"/>
  <c r="BW15" i="5" s="1"/>
  <c r="BS15" i="5"/>
  <c r="CE15" i="5" s="1"/>
  <c r="CF15" i="5" s="1"/>
  <c r="BM15" i="5"/>
  <c r="BJ15" i="5"/>
  <c r="BL15" i="5" s="1"/>
  <c r="BN15" i="5" s="1"/>
  <c r="BC15" i="5"/>
  <c r="BE15" i="5" s="1"/>
  <c r="BA15" i="5"/>
  <c r="BD15" i="5" s="1"/>
  <c r="AU15" i="5"/>
  <c r="AR15" i="5"/>
  <c r="AT15" i="5" s="1"/>
  <c r="AV15" i="5" s="1"/>
  <c r="AK15" i="5"/>
  <c r="AM15" i="5" s="1"/>
  <c r="AI15" i="5"/>
  <c r="AL15" i="5" s="1"/>
  <c r="AC15" i="5"/>
  <c r="Z15" i="5"/>
  <c r="AB15" i="5" s="1"/>
  <c r="AD15" i="5" s="1"/>
  <c r="S15" i="5"/>
  <c r="U15" i="5" s="1"/>
  <c r="Q15" i="5"/>
  <c r="T15" i="5" s="1"/>
  <c r="K15" i="5"/>
  <c r="H15" i="5"/>
  <c r="J15" i="5" s="1"/>
  <c r="L15" i="5" s="1"/>
  <c r="BU14" i="5"/>
  <c r="BW14" i="5" s="1"/>
  <c r="BS14" i="5"/>
  <c r="BM14" i="5"/>
  <c r="BJ14" i="5"/>
  <c r="BL14" i="5" s="1"/>
  <c r="BN14" i="5" s="1"/>
  <c r="BC14" i="5"/>
  <c r="BE14" i="5" s="1"/>
  <c r="BA14" i="5"/>
  <c r="BD14" i="5" s="1"/>
  <c r="AU14" i="5"/>
  <c r="AR14" i="5"/>
  <c r="AT14" i="5" s="1"/>
  <c r="AV14" i="5" s="1"/>
  <c r="AI14" i="5"/>
  <c r="AL14" i="5" s="1"/>
  <c r="AC14" i="5"/>
  <c r="Z14" i="5"/>
  <c r="AB14" i="5" s="1"/>
  <c r="AD14" i="5" s="1"/>
  <c r="Q14" i="5"/>
  <c r="T14" i="5" s="1"/>
  <c r="K14" i="5"/>
  <c r="H14" i="5"/>
  <c r="J14" i="5" s="1"/>
  <c r="L14" i="5" s="1"/>
  <c r="CE13" i="5"/>
  <c r="CF13" i="5" s="1"/>
  <c r="BU13" i="5"/>
  <c r="BW13" i="5" s="1"/>
  <c r="BS13" i="5"/>
  <c r="BV13" i="5" s="1"/>
  <c r="BM13" i="5"/>
  <c r="BJ13" i="5"/>
  <c r="BL13" i="5" s="1"/>
  <c r="BN13" i="5" s="1"/>
  <c r="BC13" i="5"/>
  <c r="BE13" i="5" s="1"/>
  <c r="BA13" i="5"/>
  <c r="BD13" i="5" s="1"/>
  <c r="AU13" i="5"/>
  <c r="AR13" i="5"/>
  <c r="AT13" i="5" s="1"/>
  <c r="AV13" i="5" s="1"/>
  <c r="AK13" i="5"/>
  <c r="AM13" i="5" s="1"/>
  <c r="AI13" i="5"/>
  <c r="AL13" i="5" s="1"/>
  <c r="AC13" i="5"/>
  <c r="Z13" i="5"/>
  <c r="AB13" i="5" s="1"/>
  <c r="AD13" i="5" s="1"/>
  <c r="S13" i="5"/>
  <c r="U13" i="5" s="1"/>
  <c r="Q13" i="5"/>
  <c r="T13" i="5" s="1"/>
  <c r="K13" i="5"/>
  <c r="H13" i="5"/>
  <c r="J13" i="5" s="1"/>
  <c r="L13" i="5" s="1"/>
  <c r="BU12" i="5"/>
  <c r="BW12" i="5" s="1"/>
  <c r="BS12" i="5"/>
  <c r="BV12" i="5" s="1"/>
  <c r="BM12" i="5"/>
  <c r="BJ12" i="5"/>
  <c r="BL12" i="5" s="1"/>
  <c r="BN12" i="5" s="1"/>
  <c r="BA12" i="5"/>
  <c r="BD12" i="5" s="1"/>
  <c r="AU12" i="5"/>
  <c r="AR12" i="5"/>
  <c r="AT12" i="5" s="1"/>
  <c r="AV12" i="5" s="1"/>
  <c r="AK12" i="5"/>
  <c r="AM12" i="5" s="1"/>
  <c r="AI12" i="5"/>
  <c r="AL12" i="5" s="1"/>
  <c r="AC12" i="5"/>
  <c r="Z12" i="5"/>
  <c r="AB12" i="5" s="1"/>
  <c r="AD12" i="5" s="1"/>
  <c r="Q12" i="5"/>
  <c r="T12" i="5" s="1"/>
  <c r="K12" i="5"/>
  <c r="H12" i="5"/>
  <c r="J12" i="5" s="1"/>
  <c r="L12" i="5" s="1"/>
  <c r="BS11" i="5"/>
  <c r="BV11" i="5" s="1"/>
  <c r="BM11" i="5"/>
  <c r="BJ11" i="5"/>
  <c r="BL11" i="5" s="1"/>
  <c r="BN11" i="5" s="1"/>
  <c r="BA11" i="5"/>
  <c r="BD11" i="5" s="1"/>
  <c r="AU11" i="5"/>
  <c r="AR11" i="5"/>
  <c r="AT11" i="5" s="1"/>
  <c r="AV11" i="5" s="1"/>
  <c r="AI11" i="5"/>
  <c r="AL11" i="5" s="1"/>
  <c r="AC11" i="5"/>
  <c r="Z11" i="5"/>
  <c r="AB11" i="5" s="1"/>
  <c r="AD11" i="5" s="1"/>
  <c r="Q11" i="5"/>
  <c r="T11" i="5" s="1"/>
  <c r="K11" i="5"/>
  <c r="H11" i="5"/>
  <c r="J11" i="5" s="1"/>
  <c r="L11" i="5" s="1"/>
  <c r="A11" i="5"/>
  <c r="A12" i="5" s="1"/>
  <c r="A13" i="5" s="1"/>
  <c r="A14" i="5" s="1"/>
  <c r="A15" i="5" s="1"/>
  <c r="BS10" i="5"/>
  <c r="BV10" i="5" s="1"/>
  <c r="BM10" i="5"/>
  <c r="BJ10" i="5"/>
  <c r="BL10" i="5" s="1"/>
  <c r="BN10" i="5" s="1"/>
  <c r="BA10" i="5"/>
  <c r="BD10" i="5" s="1"/>
  <c r="AU10" i="5"/>
  <c r="AR10" i="5"/>
  <c r="AT10" i="5" s="1"/>
  <c r="AV10" i="5" s="1"/>
  <c r="AI10" i="5"/>
  <c r="AL10" i="5" s="1"/>
  <c r="AC10" i="5"/>
  <c r="Z10" i="5"/>
  <c r="AB10" i="5" s="1"/>
  <c r="AD10" i="5" s="1"/>
  <c r="Q10" i="5"/>
  <c r="T10" i="5" s="1"/>
  <c r="K10" i="5"/>
  <c r="H10" i="5"/>
  <c r="J10" i="5" s="1"/>
  <c r="L10" i="5" s="1"/>
  <c r="BS9" i="5"/>
  <c r="BM9" i="5"/>
  <c r="BL9" i="5"/>
  <c r="BN9" i="5" s="1"/>
  <c r="BJ9" i="5"/>
  <c r="BA9" i="5"/>
  <c r="AV9" i="5"/>
  <c r="AU9" i="5"/>
  <c r="AT9" i="5"/>
  <c r="AR9" i="5"/>
  <c r="AI9" i="5"/>
  <c r="AD9" i="5"/>
  <c r="AC9" i="5"/>
  <c r="AB9" i="5"/>
  <c r="Z9" i="5"/>
  <c r="Q9" i="5"/>
  <c r="K9" i="5"/>
  <c r="J9" i="5"/>
  <c r="L9" i="5" s="1"/>
  <c r="H9" i="5"/>
  <c r="BS8" i="5"/>
  <c r="BM8" i="5"/>
  <c r="BL8" i="5"/>
  <c r="BN8" i="5" s="1"/>
  <c r="BJ8" i="5"/>
  <c r="BA8" i="5"/>
  <c r="AU8" i="5"/>
  <c r="AT8" i="5"/>
  <c r="AV8" i="5" s="1"/>
  <c r="AR8" i="5"/>
  <c r="AI8" i="5"/>
  <c r="AD8" i="5"/>
  <c r="AC8" i="5"/>
  <c r="AB8" i="5"/>
  <c r="Z8" i="5"/>
  <c r="Q8" i="5"/>
  <c r="K8" i="5"/>
  <c r="J8" i="5"/>
  <c r="L8" i="5" s="1"/>
  <c r="H8" i="5"/>
  <c r="A8" i="5"/>
  <c r="A9" i="5" s="1"/>
  <c r="C8" i="3"/>
  <c r="C11" i="3" s="1"/>
  <c r="P15" i="2"/>
  <c r="P14" i="2"/>
  <c r="BW63" i="1"/>
  <c r="BV63" i="1"/>
  <c r="BU63" i="1"/>
  <c r="BS63" i="1"/>
  <c r="BM63" i="1"/>
  <c r="BL63" i="1"/>
  <c r="BN63" i="1" s="1"/>
  <c r="BJ63" i="1"/>
  <c r="BE63" i="1"/>
  <c r="BD63" i="1"/>
  <c r="BC63" i="1"/>
  <c r="BA63" i="1"/>
  <c r="AU63" i="1"/>
  <c r="AT63" i="1"/>
  <c r="AV63" i="1" s="1"/>
  <c r="AR63" i="1"/>
  <c r="AM63" i="1"/>
  <c r="AL63" i="1"/>
  <c r="AK63" i="1"/>
  <c r="AI63" i="1"/>
  <c r="AC63" i="1"/>
  <c r="AB63" i="1"/>
  <c r="AD63" i="1" s="1"/>
  <c r="Z63" i="1"/>
  <c r="U63" i="1"/>
  <c r="T63" i="1"/>
  <c r="S63" i="1"/>
  <c r="Q63" i="1"/>
  <c r="K63" i="1"/>
  <c r="J63" i="1"/>
  <c r="L63" i="1" s="1"/>
  <c r="H63" i="1"/>
  <c r="BV62" i="1"/>
  <c r="BU62" i="1"/>
  <c r="BW62" i="1" s="1"/>
  <c r="BS62" i="1"/>
  <c r="CE62" i="1" s="1"/>
  <c r="CF62" i="1" s="1"/>
  <c r="BM62" i="1"/>
  <c r="BL62" i="1"/>
  <c r="BN62" i="1" s="1"/>
  <c r="BJ62" i="1"/>
  <c r="BD62" i="1"/>
  <c r="BC62" i="1"/>
  <c r="BE62" i="1" s="1"/>
  <c r="BA62" i="1"/>
  <c r="AU62" i="1"/>
  <c r="AT62" i="1"/>
  <c r="AV62" i="1" s="1"/>
  <c r="AR62" i="1"/>
  <c r="AL62" i="1"/>
  <c r="AK62" i="1"/>
  <c r="AM62" i="1" s="1"/>
  <c r="AI62" i="1"/>
  <c r="AC62" i="1"/>
  <c r="AB62" i="1"/>
  <c r="AD62" i="1" s="1"/>
  <c r="Z62" i="1"/>
  <c r="U62" i="1"/>
  <c r="T62" i="1"/>
  <c r="S62" i="1"/>
  <c r="Q62" i="1"/>
  <c r="K62" i="1"/>
  <c r="J62" i="1"/>
  <c r="L62" i="1" s="1"/>
  <c r="BZ62" i="1" s="1"/>
  <c r="CA62" i="1" s="1"/>
  <c r="H62" i="1"/>
  <c r="BS61" i="1"/>
  <c r="BV61" i="1" s="1"/>
  <c r="BJ61" i="1"/>
  <c r="BM61" i="1" s="1"/>
  <c r="BE61" i="1"/>
  <c r="BD61" i="1"/>
  <c r="BC61" i="1"/>
  <c r="BA61" i="1"/>
  <c r="AV61" i="1"/>
  <c r="AT61" i="1"/>
  <c r="AR61" i="1"/>
  <c r="AU61" i="1" s="1"/>
  <c r="AL61" i="1"/>
  <c r="AK61" i="1"/>
  <c r="AM61" i="1" s="1"/>
  <c r="AI61" i="1"/>
  <c r="AC61" i="1"/>
  <c r="AB61" i="1"/>
  <c r="AD61" i="1" s="1"/>
  <c r="Z61" i="1"/>
  <c r="T61" i="1"/>
  <c r="S61" i="1"/>
  <c r="U61" i="1" s="1"/>
  <c r="Q61" i="1"/>
  <c r="K61" i="1"/>
  <c r="J61" i="1"/>
  <c r="L61" i="1" s="1"/>
  <c r="H61" i="1"/>
  <c r="CF60" i="1"/>
  <c r="BV60" i="1"/>
  <c r="BU60" i="1"/>
  <c r="BW60" i="1" s="1"/>
  <c r="BS60" i="1"/>
  <c r="CE60" i="1" s="1"/>
  <c r="BM60" i="1"/>
  <c r="BL60" i="1"/>
  <c r="BN60" i="1" s="1"/>
  <c r="BJ60" i="1"/>
  <c r="BD60" i="1"/>
  <c r="BC60" i="1"/>
  <c r="BE60" i="1" s="1"/>
  <c r="BA60" i="1"/>
  <c r="AU60" i="1"/>
  <c r="AT60" i="1"/>
  <c r="AV60" i="1" s="1"/>
  <c r="AR60" i="1"/>
  <c r="AL60" i="1"/>
  <c r="AK60" i="1"/>
  <c r="AM60" i="1" s="1"/>
  <c r="AI60" i="1"/>
  <c r="AC60" i="1"/>
  <c r="AB60" i="1"/>
  <c r="AD60" i="1" s="1"/>
  <c r="Z60" i="1"/>
  <c r="T60" i="1"/>
  <c r="S60" i="1"/>
  <c r="U60" i="1" s="1"/>
  <c r="Q60" i="1"/>
  <c r="K60" i="1"/>
  <c r="J60" i="1"/>
  <c r="L60" i="1" s="1"/>
  <c r="H60" i="1"/>
  <c r="BV59" i="1"/>
  <c r="BU59" i="1"/>
  <c r="BW59" i="1" s="1"/>
  <c r="BS59" i="1"/>
  <c r="CE59" i="1" s="1"/>
  <c r="CF59" i="1" s="1"/>
  <c r="BM59" i="1"/>
  <c r="BL59" i="1"/>
  <c r="BN59" i="1" s="1"/>
  <c r="BJ59" i="1"/>
  <c r="BD59" i="1"/>
  <c r="BC59" i="1"/>
  <c r="BE59" i="1" s="1"/>
  <c r="BA59" i="1"/>
  <c r="AU59" i="1"/>
  <c r="AT59" i="1"/>
  <c r="AV59" i="1" s="1"/>
  <c r="AR59" i="1"/>
  <c r="AL59" i="1"/>
  <c r="AK59" i="1"/>
  <c r="AM59" i="1" s="1"/>
  <c r="AI59" i="1"/>
  <c r="AC59" i="1"/>
  <c r="AB59" i="1"/>
  <c r="AD59" i="1" s="1"/>
  <c r="Z59" i="1"/>
  <c r="T59" i="1"/>
  <c r="S59" i="1"/>
  <c r="U59" i="1" s="1"/>
  <c r="Q59" i="1"/>
  <c r="K59" i="1"/>
  <c r="J59" i="1"/>
  <c r="L59" i="1" s="1"/>
  <c r="H59" i="1"/>
  <c r="BV58" i="1"/>
  <c r="BU58" i="1"/>
  <c r="BW58" i="1" s="1"/>
  <c r="BS58" i="1"/>
  <c r="CE58" i="1" s="1"/>
  <c r="CF58" i="1" s="1"/>
  <c r="BM58" i="1"/>
  <c r="BL58" i="1"/>
  <c r="BN58" i="1" s="1"/>
  <c r="BJ58" i="1"/>
  <c r="BD58" i="1"/>
  <c r="BC58" i="1"/>
  <c r="BE58" i="1" s="1"/>
  <c r="BA58" i="1"/>
  <c r="AU58" i="1"/>
  <c r="AT58" i="1"/>
  <c r="AV58" i="1" s="1"/>
  <c r="AR58" i="1"/>
  <c r="AL58" i="1"/>
  <c r="AK58" i="1"/>
  <c r="AM58" i="1" s="1"/>
  <c r="AI58" i="1"/>
  <c r="AC58" i="1"/>
  <c r="AB58" i="1"/>
  <c r="AD58" i="1" s="1"/>
  <c r="Z58" i="1"/>
  <c r="T58" i="1"/>
  <c r="S58" i="1"/>
  <c r="U58" i="1" s="1"/>
  <c r="Q58" i="1"/>
  <c r="K58" i="1"/>
  <c r="J58" i="1"/>
  <c r="L58" i="1" s="1"/>
  <c r="H58" i="1"/>
  <c r="CF57" i="1"/>
  <c r="BV57" i="1"/>
  <c r="BU57" i="1"/>
  <c r="BW57" i="1" s="1"/>
  <c r="BS57" i="1"/>
  <c r="CE57" i="1" s="1"/>
  <c r="BM57" i="1"/>
  <c r="BL57" i="1"/>
  <c r="BN57" i="1" s="1"/>
  <c r="BJ57" i="1"/>
  <c r="BD57" i="1"/>
  <c r="BC57" i="1"/>
  <c r="BE57" i="1" s="1"/>
  <c r="BA57" i="1"/>
  <c r="AU57" i="1"/>
  <c r="AT57" i="1"/>
  <c r="AV57" i="1" s="1"/>
  <c r="AR57" i="1"/>
  <c r="AL57" i="1"/>
  <c r="AK57" i="1"/>
  <c r="AM57" i="1" s="1"/>
  <c r="AI57" i="1"/>
  <c r="AC57" i="1"/>
  <c r="AB57" i="1"/>
  <c r="AD57" i="1" s="1"/>
  <c r="Z57" i="1"/>
  <c r="T57" i="1"/>
  <c r="S57" i="1"/>
  <c r="U57" i="1" s="1"/>
  <c r="Q57" i="1"/>
  <c r="K57" i="1"/>
  <c r="J57" i="1"/>
  <c r="L57" i="1" s="1"/>
  <c r="H57" i="1"/>
  <c r="BV56" i="1"/>
  <c r="BU56" i="1"/>
  <c r="BW56" i="1" s="1"/>
  <c r="BS56" i="1"/>
  <c r="CE56" i="1" s="1"/>
  <c r="CF56" i="1" s="1"/>
  <c r="BM56" i="1"/>
  <c r="BL56" i="1"/>
  <c r="BN56" i="1" s="1"/>
  <c r="BJ56" i="1"/>
  <c r="BD56" i="1"/>
  <c r="BC56" i="1"/>
  <c r="BE56" i="1" s="1"/>
  <c r="BA56" i="1"/>
  <c r="AU56" i="1"/>
  <c r="AT56" i="1"/>
  <c r="AV56" i="1" s="1"/>
  <c r="AR56" i="1"/>
  <c r="AM56" i="1"/>
  <c r="AL56" i="1"/>
  <c r="AK56" i="1"/>
  <c r="AI56" i="1"/>
  <c r="AC56" i="1"/>
  <c r="AB56" i="1"/>
  <c r="AD56" i="1" s="1"/>
  <c r="Z56" i="1"/>
  <c r="U56" i="1"/>
  <c r="T56" i="1"/>
  <c r="S56" i="1"/>
  <c r="Q56" i="1"/>
  <c r="K56" i="1"/>
  <c r="J56" i="1"/>
  <c r="L56" i="1" s="1"/>
  <c r="H56" i="1"/>
  <c r="BW55" i="1"/>
  <c r="BV55" i="1"/>
  <c r="BU55" i="1"/>
  <c r="BS55" i="1"/>
  <c r="BM55" i="1"/>
  <c r="BL55" i="1"/>
  <c r="BN55" i="1" s="1"/>
  <c r="BJ55" i="1"/>
  <c r="BD55" i="1"/>
  <c r="BA55" i="1"/>
  <c r="BC55" i="1" s="1"/>
  <c r="BE55" i="1" s="1"/>
  <c r="AU55" i="1"/>
  <c r="AT55" i="1"/>
  <c r="AV55" i="1" s="1"/>
  <c r="AR55" i="1"/>
  <c r="AK55" i="1"/>
  <c r="AM55" i="1" s="1"/>
  <c r="AI55" i="1"/>
  <c r="AL55" i="1" s="1"/>
  <c r="AC55" i="1"/>
  <c r="AB55" i="1"/>
  <c r="AD55" i="1" s="1"/>
  <c r="Z55" i="1"/>
  <c r="Q55" i="1"/>
  <c r="K55" i="1"/>
  <c r="J55" i="1"/>
  <c r="L55" i="1" s="1"/>
  <c r="H55" i="1"/>
  <c r="BS54" i="1"/>
  <c r="BV54" i="1" s="1"/>
  <c r="BM54" i="1"/>
  <c r="BL54" i="1"/>
  <c r="BN54" i="1" s="1"/>
  <c r="BJ54" i="1"/>
  <c r="BD54" i="1"/>
  <c r="BA54" i="1"/>
  <c r="BC54" i="1" s="1"/>
  <c r="BE54" i="1" s="1"/>
  <c r="AU54" i="1"/>
  <c r="AT54" i="1"/>
  <c r="AV54" i="1" s="1"/>
  <c r="AR54" i="1"/>
  <c r="AM54" i="1"/>
  <c r="AL54" i="1"/>
  <c r="AK54" i="1"/>
  <c r="AI54" i="1"/>
  <c r="AC54" i="1"/>
  <c r="AB54" i="1"/>
  <c r="AD54" i="1" s="1"/>
  <c r="Z54" i="1"/>
  <c r="T54" i="1"/>
  <c r="Q54" i="1"/>
  <c r="S54" i="1" s="1"/>
  <c r="U54" i="1" s="1"/>
  <c r="K54" i="1"/>
  <c r="J54" i="1"/>
  <c r="L54" i="1" s="1"/>
  <c r="H54" i="1"/>
  <c r="CF53" i="1"/>
  <c r="BV53" i="1"/>
  <c r="BS53" i="1"/>
  <c r="BU53" i="1" s="1"/>
  <c r="BW53" i="1" s="1"/>
  <c r="BM53" i="1"/>
  <c r="BL53" i="1"/>
  <c r="BN53" i="1" s="1"/>
  <c r="BJ53" i="1"/>
  <c r="BD53" i="1"/>
  <c r="BC53" i="1"/>
  <c r="BE53" i="1" s="1"/>
  <c r="BA53" i="1"/>
  <c r="AU53" i="1"/>
  <c r="AT53" i="1"/>
  <c r="AV53" i="1" s="1"/>
  <c r="AR53" i="1"/>
  <c r="AI53" i="1"/>
  <c r="CE53" i="1" s="1"/>
  <c r="AC53" i="1"/>
  <c r="AB53" i="1"/>
  <c r="AD53" i="1" s="1"/>
  <c r="Z53" i="1"/>
  <c r="T53" i="1"/>
  <c r="Q53" i="1"/>
  <c r="S53" i="1" s="1"/>
  <c r="U53" i="1" s="1"/>
  <c r="K53" i="1"/>
  <c r="J53" i="1"/>
  <c r="L53" i="1" s="1"/>
  <c r="H53" i="1"/>
  <c r="BU52" i="1"/>
  <c r="BW52" i="1" s="1"/>
  <c r="BS52" i="1"/>
  <c r="BM52" i="1"/>
  <c r="BL52" i="1"/>
  <c r="BN52" i="1" s="1"/>
  <c r="BJ52" i="1"/>
  <c r="BA52" i="1"/>
  <c r="AU52" i="1"/>
  <c r="AT52" i="1"/>
  <c r="AV52" i="1" s="1"/>
  <c r="AR52" i="1"/>
  <c r="AM52" i="1"/>
  <c r="AL52" i="1"/>
  <c r="AK52" i="1"/>
  <c r="AI52" i="1"/>
  <c r="AC52" i="1"/>
  <c r="AB52" i="1"/>
  <c r="AD52" i="1" s="1"/>
  <c r="Z52" i="1"/>
  <c r="T52" i="1"/>
  <c r="S52" i="1"/>
  <c r="U52" i="1" s="1"/>
  <c r="Q52" i="1"/>
  <c r="K52" i="1"/>
  <c r="J52" i="1"/>
  <c r="L52" i="1" s="1"/>
  <c r="H52" i="1"/>
  <c r="BW51" i="1"/>
  <c r="BV51" i="1"/>
  <c r="BU51" i="1"/>
  <c r="BS51" i="1"/>
  <c r="BM51" i="1"/>
  <c r="BL51" i="1"/>
  <c r="BN51" i="1" s="1"/>
  <c r="BJ51" i="1"/>
  <c r="BD51" i="1"/>
  <c r="BA51" i="1"/>
  <c r="BC51" i="1" s="1"/>
  <c r="BE51" i="1" s="1"/>
  <c r="AU51" i="1"/>
  <c r="AT51" i="1"/>
  <c r="AV51" i="1" s="1"/>
  <c r="AR51" i="1"/>
  <c r="AK51" i="1"/>
  <c r="AM51" i="1" s="1"/>
  <c r="AI51" i="1"/>
  <c r="AL51" i="1" s="1"/>
  <c r="AC51" i="1"/>
  <c r="AB51" i="1"/>
  <c r="AD51" i="1" s="1"/>
  <c r="Z51" i="1"/>
  <c r="Q51" i="1"/>
  <c r="K51" i="1"/>
  <c r="J51" i="1"/>
  <c r="L51" i="1" s="1"/>
  <c r="H51" i="1"/>
  <c r="BS50" i="1"/>
  <c r="BV50" i="1" s="1"/>
  <c r="BM50" i="1"/>
  <c r="BL50" i="1"/>
  <c r="BN50" i="1" s="1"/>
  <c r="BJ50" i="1"/>
  <c r="BD50" i="1"/>
  <c r="BA50" i="1"/>
  <c r="BC50" i="1" s="1"/>
  <c r="BE50" i="1" s="1"/>
  <c r="AU50" i="1"/>
  <c r="AT50" i="1"/>
  <c r="AV50" i="1" s="1"/>
  <c r="AR50" i="1"/>
  <c r="AM50" i="1"/>
  <c r="AL50" i="1"/>
  <c r="AK50" i="1"/>
  <c r="AI50" i="1"/>
  <c r="AC50" i="1"/>
  <c r="AB50" i="1"/>
  <c r="AD50" i="1" s="1"/>
  <c r="Z50" i="1"/>
  <c r="T50" i="1"/>
  <c r="Q50" i="1"/>
  <c r="S50" i="1" s="1"/>
  <c r="U50" i="1" s="1"/>
  <c r="K50" i="1"/>
  <c r="J50" i="1"/>
  <c r="L50" i="1" s="1"/>
  <c r="H50" i="1"/>
  <c r="BW49" i="1"/>
  <c r="BV49" i="1"/>
  <c r="BU49" i="1"/>
  <c r="BS49" i="1"/>
  <c r="BM49" i="1"/>
  <c r="BL49" i="1"/>
  <c r="BN49" i="1" s="1"/>
  <c r="BJ49" i="1"/>
  <c r="BD49" i="1"/>
  <c r="BC49" i="1"/>
  <c r="BE49" i="1" s="1"/>
  <c r="BA49" i="1"/>
  <c r="AU49" i="1"/>
  <c r="AT49" i="1"/>
  <c r="AV49" i="1" s="1"/>
  <c r="AR49" i="1"/>
  <c r="AI49" i="1"/>
  <c r="CE49" i="1" s="1"/>
  <c r="CF49" i="1" s="1"/>
  <c r="AC49" i="1"/>
  <c r="AB49" i="1"/>
  <c r="AD49" i="1" s="1"/>
  <c r="Z49" i="1"/>
  <c r="T49" i="1"/>
  <c r="Q49" i="1"/>
  <c r="S49" i="1" s="1"/>
  <c r="U49" i="1" s="1"/>
  <c r="K49" i="1"/>
  <c r="J49" i="1"/>
  <c r="L49" i="1" s="1"/>
  <c r="H49" i="1"/>
  <c r="BU48" i="1"/>
  <c r="BW48" i="1" s="1"/>
  <c r="BS48" i="1"/>
  <c r="CE48" i="1" s="1"/>
  <c r="CF48" i="1" s="1"/>
  <c r="BM48" i="1"/>
  <c r="BL48" i="1"/>
  <c r="BN48" i="1" s="1"/>
  <c r="BJ48" i="1"/>
  <c r="BA48" i="1"/>
  <c r="AU48" i="1"/>
  <c r="AT48" i="1"/>
  <c r="AV48" i="1" s="1"/>
  <c r="AR48" i="1"/>
  <c r="AM48" i="1"/>
  <c r="AL48" i="1"/>
  <c r="AK48" i="1"/>
  <c r="AI48" i="1"/>
  <c r="AC48" i="1"/>
  <c r="AB48" i="1"/>
  <c r="AD48" i="1" s="1"/>
  <c r="Z48" i="1"/>
  <c r="T48" i="1"/>
  <c r="S48" i="1"/>
  <c r="U48" i="1" s="1"/>
  <c r="Q48" i="1"/>
  <c r="K48" i="1"/>
  <c r="J48" i="1"/>
  <c r="L48" i="1" s="1"/>
  <c r="H48" i="1"/>
  <c r="BW47" i="1"/>
  <c r="BV47" i="1"/>
  <c r="BU47" i="1"/>
  <c r="BS47" i="1"/>
  <c r="BM47" i="1"/>
  <c r="BL47" i="1"/>
  <c r="BN47" i="1" s="1"/>
  <c r="BJ47" i="1"/>
  <c r="BD47" i="1"/>
  <c r="BA47" i="1"/>
  <c r="BC47" i="1" s="1"/>
  <c r="BE47" i="1" s="1"/>
  <c r="AU47" i="1"/>
  <c r="AT47" i="1"/>
  <c r="AV47" i="1" s="1"/>
  <c r="AR47" i="1"/>
  <c r="AK47" i="1"/>
  <c r="AM47" i="1" s="1"/>
  <c r="AI47" i="1"/>
  <c r="AL47" i="1" s="1"/>
  <c r="AC47" i="1"/>
  <c r="AB47" i="1"/>
  <c r="AD47" i="1" s="1"/>
  <c r="Z47" i="1"/>
  <c r="Q47" i="1"/>
  <c r="K47" i="1"/>
  <c r="J47" i="1"/>
  <c r="L47" i="1" s="1"/>
  <c r="H47" i="1"/>
  <c r="BW46" i="1"/>
  <c r="BU46" i="1"/>
  <c r="BS46" i="1"/>
  <c r="BV46" i="1" s="1"/>
  <c r="BM46" i="1"/>
  <c r="BL46" i="1"/>
  <c r="BN46" i="1" s="1"/>
  <c r="BJ46" i="1"/>
  <c r="BD46" i="1"/>
  <c r="BA46" i="1"/>
  <c r="BC46" i="1" s="1"/>
  <c r="BE46" i="1" s="1"/>
  <c r="AU46" i="1"/>
  <c r="AT46" i="1"/>
  <c r="AV46" i="1" s="1"/>
  <c r="AR46" i="1"/>
  <c r="AM46" i="1"/>
  <c r="AL46" i="1"/>
  <c r="AK46" i="1"/>
  <c r="AI46" i="1"/>
  <c r="AC46" i="1"/>
  <c r="AB46" i="1"/>
  <c r="AD46" i="1" s="1"/>
  <c r="Z46" i="1"/>
  <c r="T46" i="1"/>
  <c r="Q46" i="1"/>
  <c r="S46" i="1" s="1"/>
  <c r="U46" i="1" s="1"/>
  <c r="H46" i="1"/>
  <c r="K46" i="1" s="1"/>
  <c r="BS45" i="1"/>
  <c r="BM45" i="1"/>
  <c r="BL45" i="1"/>
  <c r="BN45" i="1" s="1"/>
  <c r="BJ45" i="1"/>
  <c r="BE45" i="1"/>
  <c r="BD45" i="1"/>
  <c r="BC45" i="1"/>
  <c r="BA45" i="1"/>
  <c r="AU45" i="1"/>
  <c r="AR45" i="1"/>
  <c r="AT45" i="1" s="1"/>
  <c r="AV45" i="1" s="1"/>
  <c r="AL45" i="1"/>
  <c r="AK45" i="1"/>
  <c r="AM45" i="1" s="1"/>
  <c r="AI45" i="1"/>
  <c r="AB45" i="1"/>
  <c r="AD45" i="1" s="1"/>
  <c r="Z45" i="1"/>
  <c r="AC45" i="1" s="1"/>
  <c r="Q45" i="1"/>
  <c r="T45" i="1" s="1"/>
  <c r="H45" i="1"/>
  <c r="BW44" i="1"/>
  <c r="BV44" i="1"/>
  <c r="BU44" i="1"/>
  <c r="BS44" i="1"/>
  <c r="BM44" i="1"/>
  <c r="BL44" i="1"/>
  <c r="BN44" i="1" s="1"/>
  <c r="BJ44" i="1"/>
  <c r="BD44" i="1"/>
  <c r="BA44" i="1"/>
  <c r="BC44" i="1" s="1"/>
  <c r="BE44" i="1" s="1"/>
  <c r="AR44" i="1"/>
  <c r="AU44" i="1" s="1"/>
  <c r="AK44" i="1"/>
  <c r="AM44" i="1" s="1"/>
  <c r="AI44" i="1"/>
  <c r="AL44" i="1" s="1"/>
  <c r="AC44" i="1"/>
  <c r="Z44" i="1"/>
  <c r="AB44" i="1" s="1"/>
  <c r="AD44" i="1" s="1"/>
  <c r="Q44" i="1"/>
  <c r="K44" i="1"/>
  <c r="J44" i="1"/>
  <c r="L44" i="1" s="1"/>
  <c r="H44" i="1"/>
  <c r="BV43" i="1"/>
  <c r="BU43" i="1"/>
  <c r="BW43" i="1" s="1"/>
  <c r="BS43" i="1"/>
  <c r="BL43" i="1"/>
  <c r="BN43" i="1" s="1"/>
  <c r="BJ43" i="1"/>
  <c r="BM43" i="1" s="1"/>
  <c r="BA43" i="1"/>
  <c r="BD43" i="1" s="1"/>
  <c r="AR43" i="1"/>
  <c r="AL43" i="1"/>
  <c r="AI43" i="1"/>
  <c r="AK43" i="1" s="1"/>
  <c r="AM43" i="1" s="1"/>
  <c r="AC43" i="1"/>
  <c r="AB43" i="1"/>
  <c r="AD43" i="1" s="1"/>
  <c r="Z43" i="1"/>
  <c r="U43" i="1"/>
  <c r="T43" i="1"/>
  <c r="S43" i="1"/>
  <c r="Q43" i="1"/>
  <c r="K43" i="1"/>
  <c r="J43" i="1"/>
  <c r="L43" i="1" s="1"/>
  <c r="H43" i="1"/>
  <c r="BU42" i="1"/>
  <c r="BW42" i="1" s="1"/>
  <c r="BS42" i="1"/>
  <c r="BV42" i="1" s="1"/>
  <c r="BM42" i="1"/>
  <c r="BJ42" i="1"/>
  <c r="BL42" i="1" s="1"/>
  <c r="BN42" i="1" s="1"/>
  <c r="BA42" i="1"/>
  <c r="AU42" i="1"/>
  <c r="AT42" i="1"/>
  <c r="AV42" i="1" s="1"/>
  <c r="AR42" i="1"/>
  <c r="AM42" i="1"/>
  <c r="AL42" i="1"/>
  <c r="AK42" i="1"/>
  <c r="AI42" i="1"/>
  <c r="AC42" i="1"/>
  <c r="Z42" i="1"/>
  <c r="AB42" i="1" s="1"/>
  <c r="AD42" i="1" s="1"/>
  <c r="T42" i="1"/>
  <c r="S42" i="1"/>
  <c r="U42" i="1" s="1"/>
  <c r="Q42" i="1"/>
  <c r="J42" i="1"/>
  <c r="L42" i="1" s="1"/>
  <c r="H42" i="1"/>
  <c r="K42" i="1" s="1"/>
  <c r="BV41" i="1"/>
  <c r="BS41" i="1"/>
  <c r="BU41" i="1" s="1"/>
  <c r="BW41" i="1" s="1"/>
  <c r="BM41" i="1"/>
  <c r="BL41" i="1"/>
  <c r="BN41" i="1" s="1"/>
  <c r="BJ41" i="1"/>
  <c r="BE41" i="1"/>
  <c r="BD41" i="1"/>
  <c r="BC41" i="1"/>
  <c r="BA41" i="1"/>
  <c r="AU41" i="1"/>
  <c r="AT41" i="1"/>
  <c r="AV41" i="1" s="1"/>
  <c r="AR41" i="1"/>
  <c r="AL41" i="1"/>
  <c r="AI41" i="1"/>
  <c r="AK41" i="1" s="1"/>
  <c r="AM41" i="1" s="1"/>
  <c r="Z41" i="1"/>
  <c r="AC41" i="1" s="1"/>
  <c r="S41" i="1"/>
  <c r="U41" i="1" s="1"/>
  <c r="Q41" i="1"/>
  <c r="T41" i="1" s="1"/>
  <c r="K41" i="1"/>
  <c r="H41" i="1"/>
  <c r="J41" i="1" s="1"/>
  <c r="L41" i="1" s="1"/>
  <c r="CE40" i="1"/>
  <c r="CF40" i="1" s="1"/>
  <c r="BW40" i="1"/>
  <c r="BV40" i="1"/>
  <c r="BU40" i="1"/>
  <c r="BS40" i="1"/>
  <c r="BM40" i="1"/>
  <c r="BJ40" i="1"/>
  <c r="BL40" i="1" s="1"/>
  <c r="BN40" i="1" s="1"/>
  <c r="BD40" i="1"/>
  <c r="BC40" i="1"/>
  <c r="BE40" i="1" s="1"/>
  <c r="BA40" i="1"/>
  <c r="AT40" i="1"/>
  <c r="AV40" i="1" s="1"/>
  <c r="AR40" i="1"/>
  <c r="AU40" i="1" s="1"/>
  <c r="AI40" i="1"/>
  <c r="AL40" i="1" s="1"/>
  <c r="Z40" i="1"/>
  <c r="T40" i="1"/>
  <c r="Q40" i="1"/>
  <c r="S40" i="1" s="1"/>
  <c r="U40" i="1" s="1"/>
  <c r="K40" i="1"/>
  <c r="J40" i="1"/>
  <c r="L40" i="1" s="1"/>
  <c r="H40" i="1"/>
  <c r="BV39" i="1"/>
  <c r="BS39" i="1"/>
  <c r="BU39" i="1" s="1"/>
  <c r="BW39" i="1" s="1"/>
  <c r="BJ39" i="1"/>
  <c r="BM39" i="1" s="1"/>
  <c r="BC39" i="1"/>
  <c r="BE39" i="1" s="1"/>
  <c r="BA39" i="1"/>
  <c r="BD39" i="1" s="1"/>
  <c r="AU39" i="1"/>
  <c r="AR39" i="1"/>
  <c r="AT39" i="1" s="1"/>
  <c r="AV39" i="1" s="1"/>
  <c r="AI39" i="1"/>
  <c r="AC39" i="1"/>
  <c r="AB39" i="1"/>
  <c r="AD39" i="1" s="1"/>
  <c r="Z39" i="1"/>
  <c r="U39" i="1"/>
  <c r="T39" i="1"/>
  <c r="S39" i="1"/>
  <c r="Q39" i="1"/>
  <c r="K39" i="1"/>
  <c r="H39" i="1"/>
  <c r="J39" i="1" s="1"/>
  <c r="L39" i="1" s="1"/>
  <c r="BS38" i="1"/>
  <c r="BV38" i="1" s="1"/>
  <c r="BJ38" i="1"/>
  <c r="BD38" i="1"/>
  <c r="BA38" i="1"/>
  <c r="BC38" i="1" s="1"/>
  <c r="BE38" i="1" s="1"/>
  <c r="AU38" i="1"/>
  <c r="AT38" i="1"/>
  <c r="AV38" i="1" s="1"/>
  <c r="AR38" i="1"/>
  <c r="AM38" i="1"/>
  <c r="AL38" i="1"/>
  <c r="AK38" i="1"/>
  <c r="AI38" i="1"/>
  <c r="AC38" i="1"/>
  <c r="AB38" i="1"/>
  <c r="AD38" i="1" s="1"/>
  <c r="Z38" i="1"/>
  <c r="T38" i="1"/>
  <c r="Q38" i="1"/>
  <c r="S38" i="1" s="1"/>
  <c r="U38" i="1" s="1"/>
  <c r="H38" i="1"/>
  <c r="K38" i="1" s="1"/>
  <c r="BS37" i="1"/>
  <c r="BM37" i="1"/>
  <c r="BL37" i="1"/>
  <c r="BN37" i="1" s="1"/>
  <c r="BJ37" i="1"/>
  <c r="BE37" i="1"/>
  <c r="BD37" i="1"/>
  <c r="BC37" i="1"/>
  <c r="BA37" i="1"/>
  <c r="AU37" i="1"/>
  <c r="AR37" i="1"/>
  <c r="AT37" i="1" s="1"/>
  <c r="AV37" i="1" s="1"/>
  <c r="AL37" i="1"/>
  <c r="AK37" i="1"/>
  <c r="AM37" i="1" s="1"/>
  <c r="AI37" i="1"/>
  <c r="AB37" i="1"/>
  <c r="AD37" i="1" s="1"/>
  <c r="Z37" i="1"/>
  <c r="AC37" i="1" s="1"/>
  <c r="Q37" i="1"/>
  <c r="T37" i="1" s="1"/>
  <c r="H37" i="1"/>
  <c r="BW36" i="1"/>
  <c r="BV36" i="1"/>
  <c r="BU36" i="1"/>
  <c r="BS36" i="1"/>
  <c r="BM36" i="1"/>
  <c r="BL36" i="1"/>
  <c r="BN36" i="1" s="1"/>
  <c r="BJ36" i="1"/>
  <c r="BD36" i="1"/>
  <c r="BA36" i="1"/>
  <c r="BC36" i="1" s="1"/>
  <c r="BE36" i="1" s="1"/>
  <c r="AR36" i="1"/>
  <c r="AU36" i="1" s="1"/>
  <c r="AK36" i="1"/>
  <c r="AM36" i="1" s="1"/>
  <c r="AI36" i="1"/>
  <c r="AL36" i="1" s="1"/>
  <c r="AC36" i="1"/>
  <c r="Z36" i="1"/>
  <c r="AB36" i="1" s="1"/>
  <c r="AD36" i="1" s="1"/>
  <c r="Q36" i="1"/>
  <c r="K36" i="1"/>
  <c r="J36" i="1"/>
  <c r="L36" i="1" s="1"/>
  <c r="H36" i="1"/>
  <c r="BV35" i="1"/>
  <c r="BU35" i="1"/>
  <c r="BW35" i="1" s="1"/>
  <c r="BS35" i="1"/>
  <c r="BL35" i="1"/>
  <c r="BN35" i="1" s="1"/>
  <c r="BJ35" i="1"/>
  <c r="BM35" i="1" s="1"/>
  <c r="BA35" i="1"/>
  <c r="BD35" i="1" s="1"/>
  <c r="AR35" i="1"/>
  <c r="AL35" i="1"/>
  <c r="AI35" i="1"/>
  <c r="AK35" i="1" s="1"/>
  <c r="AM35" i="1" s="1"/>
  <c r="AC35" i="1"/>
  <c r="AB35" i="1"/>
  <c r="AD35" i="1" s="1"/>
  <c r="Z35" i="1"/>
  <c r="U35" i="1"/>
  <c r="T35" i="1"/>
  <c r="S35" i="1"/>
  <c r="Q35" i="1"/>
  <c r="K35" i="1"/>
  <c r="J35" i="1"/>
  <c r="L35" i="1" s="1"/>
  <c r="H35" i="1"/>
  <c r="BU34" i="1"/>
  <c r="BW34" i="1" s="1"/>
  <c r="BS34" i="1"/>
  <c r="BV34" i="1" s="1"/>
  <c r="BM34" i="1"/>
  <c r="BJ34" i="1"/>
  <c r="BL34" i="1" s="1"/>
  <c r="BN34" i="1" s="1"/>
  <c r="BA34" i="1"/>
  <c r="AU34" i="1"/>
  <c r="AT34" i="1"/>
  <c r="AV34" i="1" s="1"/>
  <c r="AR34" i="1"/>
  <c r="AM34" i="1"/>
  <c r="AL34" i="1"/>
  <c r="AK34" i="1"/>
  <c r="AI34" i="1"/>
  <c r="AC34" i="1"/>
  <c r="Z34" i="1"/>
  <c r="AB34" i="1" s="1"/>
  <c r="AD34" i="1" s="1"/>
  <c r="T34" i="1"/>
  <c r="S34" i="1"/>
  <c r="U34" i="1" s="1"/>
  <c r="Q34" i="1"/>
  <c r="J34" i="1"/>
  <c r="L34" i="1" s="1"/>
  <c r="H34" i="1"/>
  <c r="K34" i="1" s="1"/>
  <c r="CE33" i="1"/>
  <c r="CF33" i="1" s="1"/>
  <c r="BV33" i="1"/>
  <c r="BS33" i="1"/>
  <c r="BU33" i="1" s="1"/>
  <c r="BW33" i="1" s="1"/>
  <c r="BM33" i="1"/>
  <c r="BL33" i="1"/>
  <c r="BN33" i="1" s="1"/>
  <c r="BJ33" i="1"/>
  <c r="BE33" i="1"/>
  <c r="BD33" i="1"/>
  <c r="BC33" i="1"/>
  <c r="BA33" i="1"/>
  <c r="AV33" i="1"/>
  <c r="AU33" i="1"/>
  <c r="AT33" i="1"/>
  <c r="AR33" i="1"/>
  <c r="AM33" i="1"/>
  <c r="AL33" i="1"/>
  <c r="AK33" i="1"/>
  <c r="AI33" i="1"/>
  <c r="AD33" i="1"/>
  <c r="AC33" i="1"/>
  <c r="AB33" i="1"/>
  <c r="Z33" i="1"/>
  <c r="U33" i="1"/>
  <c r="BZ33" i="1" s="1"/>
  <c r="CA33" i="1" s="1"/>
  <c r="T33" i="1"/>
  <c r="S33" i="1"/>
  <c r="Q33" i="1"/>
  <c r="L33" i="1"/>
  <c r="K33" i="1"/>
  <c r="J33" i="1"/>
  <c r="H33" i="1"/>
  <c r="BV32" i="1"/>
  <c r="BU32" i="1"/>
  <c r="BW32" i="1" s="1"/>
  <c r="BS32" i="1"/>
  <c r="CE32" i="1" s="1"/>
  <c r="CF32" i="1" s="1"/>
  <c r="BN32" i="1"/>
  <c r="BM32" i="1"/>
  <c r="BL32" i="1"/>
  <c r="BJ32" i="1"/>
  <c r="BD32" i="1"/>
  <c r="BC32" i="1"/>
  <c r="BE32" i="1" s="1"/>
  <c r="BA32" i="1"/>
  <c r="AV32" i="1"/>
  <c r="AU32" i="1"/>
  <c r="AT32" i="1"/>
  <c r="AR32" i="1"/>
  <c r="AL32" i="1"/>
  <c r="AK32" i="1"/>
  <c r="AM32" i="1" s="1"/>
  <c r="AI32" i="1"/>
  <c r="AD32" i="1"/>
  <c r="AC32" i="1"/>
  <c r="AB32" i="1"/>
  <c r="Z32" i="1"/>
  <c r="T32" i="1"/>
  <c r="S32" i="1"/>
  <c r="U32" i="1" s="1"/>
  <c r="Q32" i="1"/>
  <c r="L32" i="1"/>
  <c r="K32" i="1"/>
  <c r="J32" i="1"/>
  <c r="H32" i="1"/>
  <c r="BV31" i="1"/>
  <c r="BU31" i="1"/>
  <c r="BW31" i="1" s="1"/>
  <c r="BS31" i="1"/>
  <c r="CE31" i="1" s="1"/>
  <c r="CF31" i="1" s="1"/>
  <c r="BN31" i="1"/>
  <c r="BM31" i="1"/>
  <c r="BL31" i="1"/>
  <c r="BJ31" i="1"/>
  <c r="BD31" i="1"/>
  <c r="BC31" i="1"/>
  <c r="BE31" i="1" s="1"/>
  <c r="BA31" i="1"/>
  <c r="AV31" i="1"/>
  <c r="AU31" i="1"/>
  <c r="AT31" i="1"/>
  <c r="AR31" i="1"/>
  <c r="AL31" i="1"/>
  <c r="AK31" i="1"/>
  <c r="AM31" i="1" s="1"/>
  <c r="AI31" i="1"/>
  <c r="AD31" i="1"/>
  <c r="AC31" i="1"/>
  <c r="AB31" i="1"/>
  <c r="Z31" i="1"/>
  <c r="T31" i="1"/>
  <c r="S31" i="1"/>
  <c r="U31" i="1" s="1"/>
  <c r="Q31" i="1"/>
  <c r="L31" i="1"/>
  <c r="K31" i="1"/>
  <c r="J31" i="1"/>
  <c r="H31" i="1"/>
  <c r="CF30" i="1"/>
  <c r="BV30" i="1"/>
  <c r="BU30" i="1"/>
  <c r="BW30" i="1" s="1"/>
  <c r="BS30" i="1"/>
  <c r="CE30" i="1" s="1"/>
  <c r="BN30" i="1"/>
  <c r="BM30" i="1"/>
  <c r="BL30" i="1"/>
  <c r="BJ30" i="1"/>
  <c r="BD30" i="1"/>
  <c r="BC30" i="1"/>
  <c r="BE30" i="1" s="1"/>
  <c r="BA30" i="1"/>
  <c r="AV30" i="1"/>
  <c r="AU30" i="1"/>
  <c r="AT30" i="1"/>
  <c r="AR30" i="1"/>
  <c r="AL30" i="1"/>
  <c r="AK30" i="1"/>
  <c r="AM30" i="1" s="1"/>
  <c r="AI30" i="1"/>
  <c r="AD30" i="1"/>
  <c r="AC30" i="1"/>
  <c r="AB30" i="1"/>
  <c r="Z30" i="1"/>
  <c r="T30" i="1"/>
  <c r="S30" i="1"/>
  <c r="U30" i="1" s="1"/>
  <c r="Q30" i="1"/>
  <c r="L30" i="1"/>
  <c r="K30" i="1"/>
  <c r="J30" i="1"/>
  <c r="H30" i="1"/>
  <c r="BV29" i="1"/>
  <c r="BU29" i="1"/>
  <c r="BW29" i="1" s="1"/>
  <c r="BS29" i="1"/>
  <c r="CE29" i="1" s="1"/>
  <c r="CF29" i="1" s="1"/>
  <c r="BN29" i="1"/>
  <c r="BM29" i="1"/>
  <c r="BL29" i="1"/>
  <c r="BJ29" i="1"/>
  <c r="BD29" i="1"/>
  <c r="BC29" i="1"/>
  <c r="BE29" i="1" s="1"/>
  <c r="BA29" i="1"/>
  <c r="AV29" i="1"/>
  <c r="AU29" i="1"/>
  <c r="AT29" i="1"/>
  <c r="AR29" i="1"/>
  <c r="AL29" i="1"/>
  <c r="AK29" i="1"/>
  <c r="AM29" i="1" s="1"/>
  <c r="AI29" i="1"/>
  <c r="AD29" i="1"/>
  <c r="AC29" i="1"/>
  <c r="AB29" i="1"/>
  <c r="Z29" i="1"/>
  <c r="T29" i="1"/>
  <c r="S29" i="1"/>
  <c r="U29" i="1" s="1"/>
  <c r="Q29" i="1"/>
  <c r="L29" i="1"/>
  <c r="K29" i="1"/>
  <c r="J29" i="1"/>
  <c r="H29" i="1"/>
  <c r="CF28" i="1"/>
  <c r="BW28" i="1"/>
  <c r="BV28" i="1"/>
  <c r="BU28" i="1"/>
  <c r="BS28" i="1"/>
  <c r="CE28" i="1" s="1"/>
  <c r="BN28" i="1"/>
  <c r="BM28" i="1"/>
  <c r="BL28" i="1"/>
  <c r="BJ28" i="1"/>
  <c r="BE28" i="1"/>
  <c r="BD28" i="1"/>
  <c r="BC28" i="1"/>
  <c r="BA28" i="1"/>
  <c r="AV28" i="1"/>
  <c r="AU28" i="1"/>
  <c r="AT28" i="1"/>
  <c r="AR28" i="1"/>
  <c r="AM28" i="1"/>
  <c r="AL28" i="1"/>
  <c r="AK28" i="1"/>
  <c r="AI28" i="1"/>
  <c r="AD28" i="1"/>
  <c r="AC28" i="1"/>
  <c r="AB28" i="1"/>
  <c r="Z28" i="1"/>
  <c r="U28" i="1"/>
  <c r="T28" i="1"/>
  <c r="S28" i="1"/>
  <c r="Q28" i="1"/>
  <c r="L28" i="1"/>
  <c r="K28" i="1"/>
  <c r="J28" i="1"/>
  <c r="H28" i="1"/>
  <c r="BV27" i="1"/>
  <c r="BU27" i="1"/>
  <c r="BW27" i="1" s="1"/>
  <c r="BS27" i="1"/>
  <c r="CE27" i="1" s="1"/>
  <c r="CF27" i="1" s="1"/>
  <c r="BN27" i="1"/>
  <c r="BM27" i="1"/>
  <c r="BL27" i="1"/>
  <c r="BJ27" i="1"/>
  <c r="BD27" i="1"/>
  <c r="BC27" i="1"/>
  <c r="BE27" i="1" s="1"/>
  <c r="BA27" i="1"/>
  <c r="AV27" i="1"/>
  <c r="AU27" i="1"/>
  <c r="AT27" i="1"/>
  <c r="AR27" i="1"/>
  <c r="AL27" i="1"/>
  <c r="AK27" i="1"/>
  <c r="AM27" i="1" s="1"/>
  <c r="AI27" i="1"/>
  <c r="AD27" i="1"/>
  <c r="AC27" i="1"/>
  <c r="AB27" i="1"/>
  <c r="Z27" i="1"/>
  <c r="T27" i="1"/>
  <c r="S27" i="1"/>
  <c r="U27" i="1" s="1"/>
  <c r="Q27" i="1"/>
  <c r="L27" i="1"/>
  <c r="K27" i="1"/>
  <c r="J27" i="1"/>
  <c r="H27" i="1"/>
  <c r="CF26" i="1"/>
  <c r="BW26" i="1"/>
  <c r="BV26" i="1"/>
  <c r="BU26" i="1"/>
  <c r="BS26" i="1"/>
  <c r="CE26" i="1" s="1"/>
  <c r="BN26" i="1"/>
  <c r="BM26" i="1"/>
  <c r="BL26" i="1"/>
  <c r="BJ26" i="1"/>
  <c r="BE26" i="1"/>
  <c r="BD26" i="1"/>
  <c r="BC26" i="1"/>
  <c r="BA26" i="1"/>
  <c r="AV26" i="1"/>
  <c r="AU26" i="1"/>
  <c r="AT26" i="1"/>
  <c r="AR26" i="1"/>
  <c r="AM26" i="1"/>
  <c r="AL26" i="1"/>
  <c r="AK26" i="1"/>
  <c r="AI26" i="1"/>
  <c r="AD26" i="1"/>
  <c r="AC26" i="1"/>
  <c r="AB26" i="1"/>
  <c r="Z26" i="1"/>
  <c r="U26" i="1"/>
  <c r="T26" i="1"/>
  <c r="S26" i="1"/>
  <c r="Q26" i="1"/>
  <c r="L26" i="1"/>
  <c r="BZ26" i="1" s="1"/>
  <c r="CA26" i="1" s="1"/>
  <c r="CC26" i="1" s="1"/>
  <c r="K26" i="1"/>
  <c r="J26" i="1"/>
  <c r="H26" i="1"/>
  <c r="BW25" i="1"/>
  <c r="BV25" i="1"/>
  <c r="BU25" i="1"/>
  <c r="BS25" i="1"/>
  <c r="CE25" i="1" s="1"/>
  <c r="CF25" i="1" s="1"/>
  <c r="BN25" i="1"/>
  <c r="BM25" i="1"/>
  <c r="BL25" i="1"/>
  <c r="BJ25" i="1"/>
  <c r="BE25" i="1"/>
  <c r="BD25" i="1"/>
  <c r="BC25" i="1"/>
  <c r="BA25" i="1"/>
  <c r="AV25" i="1"/>
  <c r="AU25" i="1"/>
  <c r="AT25" i="1"/>
  <c r="AR25" i="1"/>
  <c r="AM25" i="1"/>
  <c r="AL25" i="1"/>
  <c r="AK25" i="1"/>
  <c r="AI25" i="1"/>
  <c r="AD25" i="1"/>
  <c r="AC25" i="1"/>
  <c r="AB25" i="1"/>
  <c r="Z25" i="1"/>
  <c r="U25" i="1"/>
  <c r="T25" i="1"/>
  <c r="S25" i="1"/>
  <c r="Q25" i="1"/>
  <c r="L25" i="1"/>
  <c r="K25" i="1"/>
  <c r="J25" i="1"/>
  <c r="H25" i="1"/>
  <c r="BV24" i="1"/>
  <c r="BU24" i="1"/>
  <c r="BW24" i="1" s="1"/>
  <c r="BS24" i="1"/>
  <c r="CE24" i="1" s="1"/>
  <c r="CF24" i="1" s="1"/>
  <c r="BN24" i="1"/>
  <c r="BM24" i="1"/>
  <c r="BL24" i="1"/>
  <c r="BJ24" i="1"/>
  <c r="BD24" i="1"/>
  <c r="BC24" i="1"/>
  <c r="BE24" i="1" s="1"/>
  <c r="BA24" i="1"/>
  <c r="AV24" i="1"/>
  <c r="AU24" i="1"/>
  <c r="AT24" i="1"/>
  <c r="AR24" i="1"/>
  <c r="AL24" i="1"/>
  <c r="AK24" i="1"/>
  <c r="AM24" i="1" s="1"/>
  <c r="AI24" i="1"/>
  <c r="AD24" i="1"/>
  <c r="AC24" i="1"/>
  <c r="AB24" i="1"/>
  <c r="Z24" i="1"/>
  <c r="T24" i="1"/>
  <c r="S24" i="1"/>
  <c r="U24" i="1" s="1"/>
  <c r="Q24" i="1"/>
  <c r="L24" i="1"/>
  <c r="K24" i="1"/>
  <c r="J24" i="1"/>
  <c r="H24" i="1"/>
  <c r="CF23" i="1"/>
  <c r="BW23" i="1"/>
  <c r="BV23" i="1"/>
  <c r="BU23" i="1"/>
  <c r="BS23" i="1"/>
  <c r="CE23" i="1" s="1"/>
  <c r="BN23" i="1"/>
  <c r="BM23" i="1"/>
  <c r="BL23" i="1"/>
  <c r="BJ23" i="1"/>
  <c r="BE23" i="1"/>
  <c r="BD23" i="1"/>
  <c r="BC23" i="1"/>
  <c r="BA23" i="1"/>
  <c r="AV23" i="1"/>
  <c r="AU23" i="1"/>
  <c r="AT23" i="1"/>
  <c r="AR23" i="1"/>
  <c r="AM23" i="1"/>
  <c r="AL23" i="1"/>
  <c r="AK23" i="1"/>
  <c r="AI23" i="1"/>
  <c r="AD23" i="1"/>
  <c r="AC23" i="1"/>
  <c r="AB23" i="1"/>
  <c r="Z23" i="1"/>
  <c r="U23" i="1"/>
  <c r="T23" i="1"/>
  <c r="S23" i="1"/>
  <c r="Q23" i="1"/>
  <c r="L23" i="1"/>
  <c r="K23" i="1"/>
  <c r="J23" i="1"/>
  <c r="H23" i="1"/>
  <c r="BW22" i="1"/>
  <c r="BV22" i="1"/>
  <c r="BU22" i="1"/>
  <c r="BS22" i="1"/>
  <c r="CE22" i="1" s="1"/>
  <c r="CF22" i="1" s="1"/>
  <c r="BN22" i="1"/>
  <c r="BM22" i="1"/>
  <c r="BL22" i="1"/>
  <c r="BJ22" i="1"/>
  <c r="BE22" i="1"/>
  <c r="BD22" i="1"/>
  <c r="BC22" i="1"/>
  <c r="BA22" i="1"/>
  <c r="AV22" i="1"/>
  <c r="AU22" i="1"/>
  <c r="AT22" i="1"/>
  <c r="AR22" i="1"/>
  <c r="AM22" i="1"/>
  <c r="AL22" i="1"/>
  <c r="AK22" i="1"/>
  <c r="AI22" i="1"/>
  <c r="AD22" i="1"/>
  <c r="AC22" i="1"/>
  <c r="AB22" i="1"/>
  <c r="Z22" i="1"/>
  <c r="U22" i="1"/>
  <c r="T22" i="1"/>
  <c r="S22" i="1"/>
  <c r="Q22" i="1"/>
  <c r="L22" i="1"/>
  <c r="K22" i="1"/>
  <c r="J22" i="1"/>
  <c r="H22" i="1"/>
  <c r="CF21" i="1"/>
  <c r="BV21" i="1"/>
  <c r="BU21" i="1"/>
  <c r="BW21" i="1" s="1"/>
  <c r="BS21" i="1"/>
  <c r="CE21" i="1" s="1"/>
  <c r="BN21" i="1"/>
  <c r="BM21" i="1"/>
  <c r="BL21" i="1"/>
  <c r="BJ21" i="1"/>
  <c r="BD21" i="1"/>
  <c r="BC21" i="1"/>
  <c r="BE21" i="1" s="1"/>
  <c r="BA21" i="1"/>
  <c r="AV21" i="1"/>
  <c r="AU21" i="1"/>
  <c r="AT21" i="1"/>
  <c r="AR21" i="1"/>
  <c r="AL21" i="1"/>
  <c r="AK21" i="1"/>
  <c r="AM21" i="1" s="1"/>
  <c r="AI21" i="1"/>
  <c r="AD21" i="1"/>
  <c r="AC21" i="1"/>
  <c r="AB21" i="1"/>
  <c r="Z21" i="1"/>
  <c r="T21" i="1"/>
  <c r="S21" i="1"/>
  <c r="U21" i="1" s="1"/>
  <c r="Q21" i="1"/>
  <c r="L21" i="1"/>
  <c r="K21" i="1"/>
  <c r="J21" i="1"/>
  <c r="H21" i="1"/>
  <c r="BW20" i="1"/>
  <c r="BV20" i="1"/>
  <c r="BU20" i="1"/>
  <c r="BS20" i="1"/>
  <c r="CE20" i="1" s="1"/>
  <c r="CF20" i="1" s="1"/>
  <c r="BN20" i="1"/>
  <c r="BM20" i="1"/>
  <c r="BL20" i="1"/>
  <c r="BJ20" i="1"/>
  <c r="BE20" i="1"/>
  <c r="BD20" i="1"/>
  <c r="BC20" i="1"/>
  <c r="BA20" i="1"/>
  <c r="AV20" i="1"/>
  <c r="AU20" i="1"/>
  <c r="AT20" i="1"/>
  <c r="AR20" i="1"/>
  <c r="AM20" i="1"/>
  <c r="AL20" i="1"/>
  <c r="AK20" i="1"/>
  <c r="AI20" i="1"/>
  <c r="AD20" i="1"/>
  <c r="AC20" i="1"/>
  <c r="AB20" i="1"/>
  <c r="Z20" i="1"/>
  <c r="U20" i="1"/>
  <c r="T20" i="1"/>
  <c r="S20" i="1"/>
  <c r="Q20" i="1"/>
  <c r="L20" i="1"/>
  <c r="BZ20" i="1" s="1"/>
  <c r="CA20" i="1" s="1"/>
  <c r="K20" i="1"/>
  <c r="J20" i="1"/>
  <c r="H20" i="1"/>
  <c r="BW19" i="1"/>
  <c r="BV19" i="1"/>
  <c r="BU19" i="1"/>
  <c r="BS19" i="1"/>
  <c r="CE19" i="1" s="1"/>
  <c r="CF19" i="1" s="1"/>
  <c r="BM19" i="1"/>
  <c r="BL19" i="1"/>
  <c r="BN19" i="1" s="1"/>
  <c r="BJ19" i="1"/>
  <c r="BE19" i="1"/>
  <c r="BD19" i="1"/>
  <c r="BC19" i="1"/>
  <c r="BA19" i="1"/>
  <c r="AU19" i="1"/>
  <c r="AT19" i="1"/>
  <c r="AV19" i="1" s="1"/>
  <c r="AR19" i="1"/>
  <c r="AM19" i="1"/>
  <c r="AL19" i="1"/>
  <c r="AK19" i="1"/>
  <c r="AI19" i="1"/>
  <c r="AC19" i="1"/>
  <c r="AB19" i="1"/>
  <c r="AD19" i="1" s="1"/>
  <c r="Z19" i="1"/>
  <c r="U19" i="1"/>
  <c r="T19" i="1"/>
  <c r="S19" i="1"/>
  <c r="Q19" i="1"/>
  <c r="K19" i="1"/>
  <c r="J19" i="1"/>
  <c r="L19" i="1" s="1"/>
  <c r="H19" i="1"/>
  <c r="BW18" i="1"/>
  <c r="BV18" i="1"/>
  <c r="BU18" i="1"/>
  <c r="BS18" i="1"/>
  <c r="CE18" i="1" s="1"/>
  <c r="CF18" i="1" s="1"/>
  <c r="BN18" i="1"/>
  <c r="BM18" i="1"/>
  <c r="BL18" i="1"/>
  <c r="BJ18" i="1"/>
  <c r="BE18" i="1"/>
  <c r="BD18" i="1"/>
  <c r="BC18" i="1"/>
  <c r="BA18" i="1"/>
  <c r="AV18" i="1"/>
  <c r="AU18" i="1"/>
  <c r="AT18" i="1"/>
  <c r="AR18" i="1"/>
  <c r="AM18" i="1"/>
  <c r="AL18" i="1"/>
  <c r="AK18" i="1"/>
  <c r="AI18" i="1"/>
  <c r="AD18" i="1"/>
  <c r="AC18" i="1"/>
  <c r="AB18" i="1"/>
  <c r="Z18" i="1"/>
  <c r="U18" i="1"/>
  <c r="T18" i="1"/>
  <c r="S18" i="1"/>
  <c r="Q18" i="1"/>
  <c r="L18" i="1"/>
  <c r="K18" i="1"/>
  <c r="J18" i="1"/>
  <c r="H18" i="1"/>
  <c r="CF17" i="1"/>
  <c r="BV17" i="1"/>
  <c r="BU17" i="1"/>
  <c r="BW17" i="1" s="1"/>
  <c r="BS17" i="1"/>
  <c r="CE17" i="1" s="1"/>
  <c r="BN17" i="1"/>
  <c r="BM17" i="1"/>
  <c r="BL17" i="1"/>
  <c r="BJ17" i="1"/>
  <c r="BD17" i="1"/>
  <c r="BC17" i="1"/>
  <c r="BE17" i="1" s="1"/>
  <c r="BA17" i="1"/>
  <c r="AV17" i="1"/>
  <c r="AU17" i="1"/>
  <c r="AT17" i="1"/>
  <c r="AR17" i="1"/>
  <c r="AL17" i="1"/>
  <c r="AK17" i="1"/>
  <c r="AM17" i="1" s="1"/>
  <c r="AI17" i="1"/>
  <c r="AD17" i="1"/>
  <c r="AC17" i="1"/>
  <c r="AB17" i="1"/>
  <c r="Z17" i="1"/>
  <c r="T17" i="1"/>
  <c r="S17" i="1"/>
  <c r="U17" i="1" s="1"/>
  <c r="Q17" i="1"/>
  <c r="L17" i="1"/>
  <c r="K17" i="1"/>
  <c r="J17" i="1"/>
  <c r="H17" i="1"/>
  <c r="BS16" i="1"/>
  <c r="CE16" i="1" s="1"/>
  <c r="CF16" i="1" s="1"/>
  <c r="BN16" i="1"/>
  <c r="BM16" i="1"/>
  <c r="BL16" i="1"/>
  <c r="BJ16" i="1"/>
  <c r="BA16" i="1"/>
  <c r="BD16" i="1" s="1"/>
  <c r="AV16" i="1"/>
  <c r="AU16" i="1"/>
  <c r="AT16" i="1"/>
  <c r="AR16" i="1"/>
  <c r="AI16" i="1"/>
  <c r="AL16" i="1" s="1"/>
  <c r="AD16" i="1"/>
  <c r="AC16" i="1"/>
  <c r="AB16" i="1"/>
  <c r="Z16" i="1"/>
  <c r="Q16" i="1"/>
  <c r="T16" i="1" s="1"/>
  <c r="L16" i="1"/>
  <c r="K16" i="1"/>
  <c r="J16" i="1"/>
  <c r="H16" i="1"/>
  <c r="CE15" i="1"/>
  <c r="CF15" i="1" s="1"/>
  <c r="BW15" i="1"/>
  <c r="BV15" i="1"/>
  <c r="BU15" i="1"/>
  <c r="BS15" i="1"/>
  <c r="BN15" i="1"/>
  <c r="BM15" i="1"/>
  <c r="BL15" i="1"/>
  <c r="BJ15" i="1"/>
  <c r="BE15" i="1"/>
  <c r="BD15" i="1"/>
  <c r="BC15" i="1"/>
  <c r="BA15" i="1"/>
  <c r="AV15" i="1"/>
  <c r="AU15" i="1"/>
  <c r="AT15" i="1"/>
  <c r="AR15" i="1"/>
  <c r="AM15" i="1"/>
  <c r="AL15" i="1"/>
  <c r="AK15" i="1"/>
  <c r="AI15" i="1"/>
  <c r="AD15" i="1"/>
  <c r="AC15" i="1"/>
  <c r="AB15" i="1"/>
  <c r="Z15" i="1"/>
  <c r="U15" i="1"/>
  <c r="T15" i="1"/>
  <c r="S15" i="1"/>
  <c r="Q15" i="1"/>
  <c r="L15" i="1"/>
  <c r="BZ15" i="1" s="1"/>
  <c r="CA15" i="1" s="1"/>
  <c r="K15" i="1"/>
  <c r="J15" i="1"/>
  <c r="H15" i="1"/>
  <c r="BV14" i="1"/>
  <c r="BS14" i="1"/>
  <c r="BU14" i="1" s="1"/>
  <c r="BW14" i="1" s="1"/>
  <c r="BM14" i="1"/>
  <c r="BL14" i="1"/>
  <c r="BN14" i="1" s="1"/>
  <c r="BJ14" i="1"/>
  <c r="BD14" i="1"/>
  <c r="BA14" i="1"/>
  <c r="BC14" i="1" s="1"/>
  <c r="BE14" i="1" s="1"/>
  <c r="AU14" i="1"/>
  <c r="AT14" i="1"/>
  <c r="AV14" i="1" s="1"/>
  <c r="AR14" i="1"/>
  <c r="AL14" i="1"/>
  <c r="AI14" i="1"/>
  <c r="AK14" i="1" s="1"/>
  <c r="AM14" i="1" s="1"/>
  <c r="AC14" i="1"/>
  <c r="AB14" i="1"/>
  <c r="AD14" i="1" s="1"/>
  <c r="Z14" i="1"/>
  <c r="T14" i="1"/>
  <c r="Q14" i="1"/>
  <c r="S14" i="1" s="1"/>
  <c r="U14" i="1" s="1"/>
  <c r="K14" i="1"/>
  <c r="J14" i="1"/>
  <c r="L14" i="1" s="1"/>
  <c r="H14" i="1"/>
  <c r="CE13" i="1"/>
  <c r="CF13" i="1" s="1"/>
  <c r="BV13" i="1"/>
  <c r="BU13" i="1"/>
  <c r="BW13" i="1" s="1"/>
  <c r="BS13" i="1"/>
  <c r="BM13" i="1"/>
  <c r="BL13" i="1"/>
  <c r="BN13" i="1" s="1"/>
  <c r="BJ13" i="1"/>
  <c r="BD13" i="1"/>
  <c r="BC13" i="1"/>
  <c r="BE13" i="1" s="1"/>
  <c r="BA13" i="1"/>
  <c r="AU13" i="1"/>
  <c r="AT13" i="1"/>
  <c r="AV13" i="1" s="1"/>
  <c r="AR13" i="1"/>
  <c r="AL13" i="1"/>
  <c r="AK13" i="1"/>
  <c r="AM13" i="1" s="1"/>
  <c r="AI13" i="1"/>
  <c r="AC13" i="1"/>
  <c r="AB13" i="1"/>
  <c r="AD13" i="1" s="1"/>
  <c r="Z13" i="1"/>
  <c r="T13" i="1"/>
  <c r="S13" i="1"/>
  <c r="U13" i="1" s="1"/>
  <c r="Q13" i="1"/>
  <c r="K13" i="1"/>
  <c r="J13" i="1"/>
  <c r="L13" i="1" s="1"/>
  <c r="H13" i="1"/>
  <c r="BS12" i="1"/>
  <c r="BV12" i="1" s="1"/>
  <c r="BN12" i="1"/>
  <c r="BM12" i="1"/>
  <c r="BL12" i="1"/>
  <c r="BJ12" i="1"/>
  <c r="BA12" i="1"/>
  <c r="BD12" i="1" s="1"/>
  <c r="AV12" i="1"/>
  <c r="AU12" i="1"/>
  <c r="AT12" i="1"/>
  <c r="AR12" i="1"/>
  <c r="AI12" i="1"/>
  <c r="AL12" i="1" s="1"/>
  <c r="AD12" i="1"/>
  <c r="AC12" i="1"/>
  <c r="AB12" i="1"/>
  <c r="Z12" i="1"/>
  <c r="Q12" i="1"/>
  <c r="T12" i="1" s="1"/>
  <c r="L12" i="1"/>
  <c r="K12" i="1"/>
  <c r="J12" i="1"/>
  <c r="H12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BV11" i="1"/>
  <c r="BU11" i="1"/>
  <c r="BW11" i="1" s="1"/>
  <c r="BS11" i="1"/>
  <c r="BM11" i="1"/>
  <c r="BJ11" i="1"/>
  <c r="BL11" i="1" s="1"/>
  <c r="BN11" i="1" s="1"/>
  <c r="BC11" i="1"/>
  <c r="BE11" i="1" s="1"/>
  <c r="BA11" i="1"/>
  <c r="CE11" i="1" s="1"/>
  <c r="CF11" i="1" s="1"/>
  <c r="AU11" i="1"/>
  <c r="AT11" i="1"/>
  <c r="AV11" i="1" s="1"/>
  <c r="AR11" i="1"/>
  <c r="AI11" i="1"/>
  <c r="AL11" i="1" s="1"/>
  <c r="Z11" i="1"/>
  <c r="AC11" i="1" s="1"/>
  <c r="T11" i="1"/>
  <c r="S11" i="1"/>
  <c r="U11" i="1" s="1"/>
  <c r="Q11" i="1"/>
  <c r="K11" i="1"/>
  <c r="H11" i="1"/>
  <c r="J11" i="1" s="1"/>
  <c r="L11" i="1" s="1"/>
  <c r="BV10" i="1"/>
  <c r="BU10" i="1"/>
  <c r="BW10" i="1" s="1"/>
  <c r="BS10" i="1"/>
  <c r="BL10" i="1"/>
  <c r="BN10" i="1" s="1"/>
  <c r="BJ10" i="1"/>
  <c r="CE10" i="1" s="1"/>
  <c r="CF10" i="1" s="1"/>
  <c r="BA10" i="1"/>
  <c r="BD10" i="1" s="1"/>
  <c r="AR10" i="1"/>
  <c r="AU10" i="1" s="1"/>
  <c r="AL10" i="1"/>
  <c r="AI10" i="1"/>
  <c r="AK10" i="1" s="1"/>
  <c r="AM10" i="1" s="1"/>
  <c r="AD10" i="1"/>
  <c r="AC10" i="1"/>
  <c r="AB10" i="1"/>
  <c r="Z10" i="1"/>
  <c r="T10" i="1"/>
  <c r="S10" i="1"/>
  <c r="U10" i="1" s="1"/>
  <c r="Q10" i="1"/>
  <c r="K10" i="1"/>
  <c r="H10" i="1"/>
  <c r="J10" i="1" s="1"/>
  <c r="L10" i="1" s="1"/>
  <c r="BS9" i="1"/>
  <c r="CE9" i="1" s="1"/>
  <c r="CF9" i="1" s="1"/>
  <c r="BJ9" i="1"/>
  <c r="BM9" i="1" s="1"/>
  <c r="BD9" i="1"/>
  <c r="BC9" i="1"/>
  <c r="BE9" i="1" s="1"/>
  <c r="BA9" i="1"/>
  <c r="AU9" i="1"/>
  <c r="AR9" i="1"/>
  <c r="AT9" i="1" s="1"/>
  <c r="AV9" i="1" s="1"/>
  <c r="AL9" i="1"/>
  <c r="AI9" i="1"/>
  <c r="AK9" i="1" s="1"/>
  <c r="AM9" i="1" s="1"/>
  <c r="AC9" i="1"/>
  <c r="AB9" i="1"/>
  <c r="AD9" i="1" s="1"/>
  <c r="Z9" i="1"/>
  <c r="T9" i="1"/>
  <c r="S9" i="1"/>
  <c r="U9" i="1" s="1"/>
  <c r="Q9" i="1"/>
  <c r="J9" i="1"/>
  <c r="L9" i="1" s="1"/>
  <c r="H9" i="1"/>
  <c r="K9" i="1" s="1"/>
  <c r="A9" i="1"/>
  <c r="A10" i="1" s="1"/>
  <c r="A11" i="1" s="1"/>
  <c r="BS8" i="1"/>
  <c r="BV8" i="1" s="1"/>
  <c r="BJ8" i="1"/>
  <c r="BM8" i="1" s="1"/>
  <c r="BD8" i="1"/>
  <c r="BA8" i="1"/>
  <c r="BC8" i="1" s="1"/>
  <c r="BE8" i="1" s="1"/>
  <c r="AV8" i="1"/>
  <c r="AU8" i="1"/>
  <c r="AT8" i="1"/>
  <c r="AR8" i="1"/>
  <c r="AL8" i="1"/>
  <c r="AK8" i="1"/>
  <c r="AM8" i="1" s="1"/>
  <c r="AI8" i="1"/>
  <c r="AC8" i="1"/>
  <c r="Z8" i="1"/>
  <c r="AB8" i="1" s="1"/>
  <c r="AD8" i="1" s="1"/>
  <c r="S8" i="1"/>
  <c r="U8" i="1" s="1"/>
  <c r="Q8" i="1"/>
  <c r="T8" i="1" s="1"/>
  <c r="K8" i="1"/>
  <c r="J8" i="1"/>
  <c r="L8" i="1" s="1"/>
  <c r="H8" i="1"/>
  <c r="CC33" i="1" l="1"/>
  <c r="CI33" i="1"/>
  <c r="CB33" i="1"/>
  <c r="BM67" i="1"/>
  <c r="BV68" i="1"/>
  <c r="I16" i="2" s="1"/>
  <c r="CC20" i="1"/>
  <c r="CB20" i="1"/>
  <c r="CI20" i="1"/>
  <c r="CC15" i="1"/>
  <c r="CB15" i="1"/>
  <c r="CI15" i="1"/>
  <c r="BZ19" i="1"/>
  <c r="CA19" i="1" s="1"/>
  <c r="BZ13" i="1"/>
  <c r="CA13" i="1" s="1"/>
  <c r="BZ14" i="1"/>
  <c r="CA14" i="1" s="1"/>
  <c r="BZ30" i="1"/>
  <c r="CA30" i="1" s="1"/>
  <c r="T44" i="1"/>
  <c r="S44" i="1"/>
  <c r="U44" i="1" s="1"/>
  <c r="CC62" i="1"/>
  <c r="CI62" i="1"/>
  <c r="CB62" i="1"/>
  <c r="BL8" i="1"/>
  <c r="BN8" i="1" s="1"/>
  <c r="BZ8" i="1" s="1"/>
  <c r="CA8" i="1" s="1"/>
  <c r="BU9" i="1"/>
  <c r="BW9" i="1" s="1"/>
  <c r="AT10" i="1"/>
  <c r="AV10" i="1" s="1"/>
  <c r="BZ10" i="1" s="1"/>
  <c r="CA10" i="1" s="1"/>
  <c r="BM10" i="1"/>
  <c r="BM66" i="1" s="1"/>
  <c r="AK11" i="1"/>
  <c r="AM11" i="1" s="1"/>
  <c r="BD11" i="1"/>
  <c r="BD71" i="1" s="1"/>
  <c r="L13" i="2" s="1"/>
  <c r="CE14" i="1"/>
  <c r="CF14" i="1" s="1"/>
  <c r="S16" i="1"/>
  <c r="U16" i="1" s="1"/>
  <c r="AK16" i="1"/>
  <c r="AM16" i="1" s="1"/>
  <c r="BC16" i="1"/>
  <c r="BE16" i="1" s="1"/>
  <c r="BU16" i="1"/>
  <c r="BW16" i="1" s="1"/>
  <c r="BZ23" i="1"/>
  <c r="CA23" i="1" s="1"/>
  <c r="BZ28" i="1"/>
  <c r="CA28" i="1" s="1"/>
  <c r="T36" i="1"/>
  <c r="T69" i="1" s="1"/>
  <c r="J9" i="2" s="1"/>
  <c r="S36" i="1"/>
  <c r="U36" i="1" s="1"/>
  <c r="BM38" i="1"/>
  <c r="BL38" i="1"/>
  <c r="BN38" i="1" s="1"/>
  <c r="CE43" i="1"/>
  <c r="CF43" i="1" s="1"/>
  <c r="CE52" i="1"/>
  <c r="CF52" i="1" s="1"/>
  <c r="K37" i="1"/>
  <c r="J37" i="1"/>
  <c r="L37" i="1" s="1"/>
  <c r="BZ37" i="1" s="1"/>
  <c r="CA37" i="1" s="1"/>
  <c r="BV9" i="1"/>
  <c r="BV70" i="1" s="1"/>
  <c r="K16" i="2" s="1"/>
  <c r="BV16" i="1"/>
  <c r="CE35" i="1"/>
  <c r="CF35" i="1" s="1"/>
  <c r="T47" i="1"/>
  <c r="S47" i="1"/>
  <c r="U47" i="1" s="1"/>
  <c r="T55" i="1"/>
  <c r="S55" i="1"/>
  <c r="U55" i="1" s="1"/>
  <c r="AL73" i="1"/>
  <c r="N11" i="2" s="1"/>
  <c r="AL67" i="1"/>
  <c r="H11" i="2" s="1"/>
  <c r="CE37" i="1"/>
  <c r="CF37" i="1" s="1"/>
  <c r="BV37" i="1"/>
  <c r="BU37" i="1"/>
  <c r="BW37" i="1" s="1"/>
  <c r="AU73" i="1"/>
  <c r="N12" i="2" s="1"/>
  <c r="CE8" i="1"/>
  <c r="CF8" i="1" s="1"/>
  <c r="CE12" i="1"/>
  <c r="CF12" i="1" s="1"/>
  <c r="BZ18" i="1"/>
  <c r="CA18" i="1" s="1"/>
  <c r="BZ22" i="1"/>
  <c r="CA22" i="1" s="1"/>
  <c r="BZ25" i="1"/>
  <c r="CA25" i="1" s="1"/>
  <c r="BZ31" i="1"/>
  <c r="CA31" i="1" s="1"/>
  <c r="AC40" i="1"/>
  <c r="AB40" i="1"/>
  <c r="AD40" i="1" s="1"/>
  <c r="BZ40" i="1" s="1"/>
  <c r="CA40" i="1" s="1"/>
  <c r="CE42" i="1"/>
  <c r="CF42" i="1" s="1"/>
  <c r="BD42" i="1"/>
  <c r="BC42" i="1"/>
  <c r="BE42" i="1" s="1"/>
  <c r="T51" i="1"/>
  <c r="S51" i="1"/>
  <c r="U51" i="1" s="1"/>
  <c r="CE34" i="1"/>
  <c r="CF34" i="1" s="1"/>
  <c r="BD34" i="1"/>
  <c r="BC34" i="1"/>
  <c r="BE34" i="1" s="1"/>
  <c r="BD48" i="1"/>
  <c r="BC48" i="1"/>
  <c r="BE48" i="1" s="1"/>
  <c r="BU8" i="1"/>
  <c r="BW8" i="1" s="1"/>
  <c r="S12" i="1"/>
  <c r="U12" i="1" s="1"/>
  <c r="BZ12" i="1" s="1"/>
  <c r="CA12" i="1" s="1"/>
  <c r="AK12" i="1"/>
  <c r="AM12" i="1" s="1"/>
  <c r="BC12" i="1"/>
  <c r="BE12" i="1" s="1"/>
  <c r="BU12" i="1"/>
  <c r="BW12" i="1" s="1"/>
  <c r="BZ17" i="1"/>
  <c r="CA17" i="1" s="1"/>
  <c r="BZ21" i="1"/>
  <c r="CA21" i="1" s="1"/>
  <c r="CB26" i="1"/>
  <c r="BZ27" i="1"/>
  <c r="CA27" i="1" s="1"/>
  <c r="BZ29" i="1"/>
  <c r="CA29" i="1" s="1"/>
  <c r="AL39" i="1"/>
  <c r="AL72" i="1" s="1"/>
  <c r="AK39" i="1"/>
  <c r="AM39" i="1" s="1"/>
  <c r="BZ39" i="1" s="1"/>
  <c r="CA39" i="1" s="1"/>
  <c r="AU43" i="1"/>
  <c r="AT43" i="1"/>
  <c r="AV43" i="1" s="1"/>
  <c r="BZ48" i="1"/>
  <c r="CA48" i="1" s="1"/>
  <c r="BD52" i="1"/>
  <c r="BC52" i="1"/>
  <c r="BE52" i="1" s="1"/>
  <c r="CI26" i="1"/>
  <c r="AC68" i="1"/>
  <c r="I10" i="2" s="1"/>
  <c r="AC73" i="1"/>
  <c r="N10" i="2" s="1"/>
  <c r="AC71" i="1"/>
  <c r="L10" i="2" s="1"/>
  <c r="AC72" i="1"/>
  <c r="AC67" i="1"/>
  <c r="H10" i="2" s="1"/>
  <c r="AC66" i="1"/>
  <c r="G10" i="2" s="1"/>
  <c r="AC65" i="1"/>
  <c r="F10" i="2" s="1"/>
  <c r="AC69" i="1"/>
  <c r="J10" i="2" s="1"/>
  <c r="AC70" i="1"/>
  <c r="K10" i="2" s="1"/>
  <c r="K69" i="1"/>
  <c r="J8" i="2" s="1"/>
  <c r="K67" i="1"/>
  <c r="H8" i="2" s="1"/>
  <c r="K71" i="1"/>
  <c r="L8" i="2" s="1"/>
  <c r="BL9" i="1"/>
  <c r="BN9" i="1" s="1"/>
  <c r="BZ9" i="1" s="1"/>
  <c r="CA9" i="1" s="1"/>
  <c r="BC10" i="1"/>
  <c r="BE10" i="1" s="1"/>
  <c r="AB11" i="1"/>
  <c r="AD11" i="1" s="1"/>
  <c r="BZ11" i="1" s="1"/>
  <c r="CA11" i="1" s="1"/>
  <c r="BZ24" i="1"/>
  <c r="CA24" i="1" s="1"/>
  <c r="BZ32" i="1"/>
  <c r="CA32" i="1" s="1"/>
  <c r="AU35" i="1"/>
  <c r="AU70" i="1" s="1"/>
  <c r="K12" i="2" s="1"/>
  <c r="AT35" i="1"/>
  <c r="AV35" i="1" s="1"/>
  <c r="BZ35" i="1" s="1"/>
  <c r="CA35" i="1" s="1"/>
  <c r="BZ42" i="1"/>
  <c r="CA42" i="1" s="1"/>
  <c r="BZ52" i="1"/>
  <c r="CA52" i="1" s="1"/>
  <c r="BZ61" i="1"/>
  <c r="CA61" i="1" s="1"/>
  <c r="BD66" i="1"/>
  <c r="G13" i="2" s="1"/>
  <c r="BZ16" i="1"/>
  <c r="CA16" i="1" s="1"/>
  <c r="BZ34" i="1"/>
  <c r="CA34" i="1" s="1"/>
  <c r="BZ43" i="1"/>
  <c r="CA43" i="1" s="1"/>
  <c r="K45" i="1"/>
  <c r="K68" i="1" s="1"/>
  <c r="I8" i="2" s="1"/>
  <c r="J45" i="1"/>
  <c r="L45" i="1" s="1"/>
  <c r="CE45" i="1"/>
  <c r="CF45" i="1" s="1"/>
  <c r="BV45" i="1"/>
  <c r="BU45" i="1"/>
  <c r="BW45" i="1" s="1"/>
  <c r="CE46" i="1"/>
  <c r="CF46" i="1" s="1"/>
  <c r="BV48" i="1"/>
  <c r="CE50" i="1"/>
  <c r="CF50" i="1" s="1"/>
  <c r="BV52" i="1"/>
  <c r="CE54" i="1"/>
  <c r="CF54" i="1" s="1"/>
  <c r="BZ58" i="1"/>
  <c r="CA58" i="1" s="1"/>
  <c r="BZ63" i="1"/>
  <c r="CA63" i="1" s="1"/>
  <c r="CE38" i="1"/>
  <c r="CF38" i="1" s="1"/>
  <c r="BZ53" i="1"/>
  <c r="CA53" i="1" s="1"/>
  <c r="CE41" i="1"/>
  <c r="CF41" i="1" s="1"/>
  <c r="CE47" i="1"/>
  <c r="CF47" i="1" s="1"/>
  <c r="CE51" i="1"/>
  <c r="CF51" i="1" s="1"/>
  <c r="BC35" i="1"/>
  <c r="BE35" i="1" s="1"/>
  <c r="AT36" i="1"/>
  <c r="AV36" i="1" s="1"/>
  <c r="BZ36" i="1" s="1"/>
  <c r="CA36" i="1" s="1"/>
  <c r="CE36" i="1"/>
  <c r="CF36" i="1" s="1"/>
  <c r="S37" i="1"/>
  <c r="U37" i="1" s="1"/>
  <c r="J38" i="1"/>
  <c r="L38" i="1" s="1"/>
  <c r="BZ38" i="1" s="1"/>
  <c r="CA38" i="1" s="1"/>
  <c r="BU38" i="1"/>
  <c r="BW38" i="1" s="1"/>
  <c r="BL39" i="1"/>
  <c r="BN39" i="1" s="1"/>
  <c r="AK40" i="1"/>
  <c r="AM40" i="1" s="1"/>
  <c r="AB41" i="1"/>
  <c r="AD41" i="1" s="1"/>
  <c r="BZ41" i="1" s="1"/>
  <c r="CA41" i="1" s="1"/>
  <c r="BC43" i="1"/>
  <c r="BE43" i="1" s="1"/>
  <c r="AT44" i="1"/>
  <c r="AV44" i="1" s="1"/>
  <c r="BZ44" i="1" s="1"/>
  <c r="CA44" i="1" s="1"/>
  <c r="CE44" i="1"/>
  <c r="CF44" i="1" s="1"/>
  <c r="S45" i="1"/>
  <c r="U45" i="1" s="1"/>
  <c r="J46" i="1"/>
  <c r="L46" i="1" s="1"/>
  <c r="BZ46" i="1" s="1"/>
  <c r="CA46" i="1" s="1"/>
  <c r="AK49" i="1"/>
  <c r="AM49" i="1" s="1"/>
  <c r="BZ49" i="1" s="1"/>
  <c r="CA49" i="1" s="1"/>
  <c r="BU50" i="1"/>
  <c r="BW50" i="1" s="1"/>
  <c r="BZ50" i="1" s="1"/>
  <c r="CA50" i="1" s="1"/>
  <c r="AK53" i="1"/>
  <c r="AM53" i="1" s="1"/>
  <c r="BU54" i="1"/>
  <c r="BW54" i="1" s="1"/>
  <c r="BZ54" i="1" s="1"/>
  <c r="CA54" i="1" s="1"/>
  <c r="BZ59" i="1"/>
  <c r="CA59" i="1" s="1"/>
  <c r="CE39" i="1"/>
  <c r="CF39" i="1" s="1"/>
  <c r="AL49" i="1"/>
  <c r="AL70" i="1" s="1"/>
  <c r="K11" i="2" s="1"/>
  <c r="AL53" i="1"/>
  <c r="CE55" i="1"/>
  <c r="CF55" i="1" s="1"/>
  <c r="BZ57" i="1"/>
  <c r="CA57" i="1" s="1"/>
  <c r="BZ47" i="1"/>
  <c r="CA47" i="1" s="1"/>
  <c r="BZ51" i="1"/>
  <c r="CA51" i="1" s="1"/>
  <c r="BZ55" i="1"/>
  <c r="CA55" i="1" s="1"/>
  <c r="BZ56" i="1"/>
  <c r="CA56" i="1" s="1"/>
  <c r="BZ60" i="1"/>
  <c r="CA60" i="1" s="1"/>
  <c r="BL61" i="1"/>
  <c r="BN61" i="1" s="1"/>
  <c r="BV9" i="5"/>
  <c r="BU9" i="5"/>
  <c r="BW9" i="5" s="1"/>
  <c r="AK14" i="5"/>
  <c r="AM14" i="5" s="1"/>
  <c r="CE61" i="1"/>
  <c r="CF61" i="1" s="1"/>
  <c r="BV8" i="5"/>
  <c r="BU8" i="5"/>
  <c r="BW8" i="5" s="1"/>
  <c r="T9" i="5"/>
  <c r="S9" i="5"/>
  <c r="U9" i="5" s="1"/>
  <c r="BZ9" i="5" s="1"/>
  <c r="CA9" i="5" s="1"/>
  <c r="CE11" i="5"/>
  <c r="CF11" i="5" s="1"/>
  <c r="BZ14" i="5"/>
  <c r="CA14" i="5" s="1"/>
  <c r="BZ26" i="5"/>
  <c r="CA26" i="5" s="1"/>
  <c r="CE63" i="1"/>
  <c r="CF63" i="1" s="1"/>
  <c r="T8" i="5"/>
  <c r="S8" i="5"/>
  <c r="U8" i="5" s="1"/>
  <c r="BZ8" i="5" s="1"/>
  <c r="CA8" i="5" s="1"/>
  <c r="BZ29" i="5"/>
  <c r="CA29" i="5" s="1"/>
  <c r="BU61" i="1"/>
  <c r="BW61" i="1" s="1"/>
  <c r="BD9" i="5"/>
  <c r="BC9" i="5"/>
  <c r="BE9" i="5" s="1"/>
  <c r="CE9" i="5"/>
  <c r="CF9" i="5" s="1"/>
  <c r="AK10" i="5"/>
  <c r="AM10" i="5" s="1"/>
  <c r="BU10" i="5"/>
  <c r="BW10" i="5" s="1"/>
  <c r="S11" i="5"/>
  <c r="U11" i="5" s="1"/>
  <c r="BC11" i="5"/>
  <c r="BE11" i="5" s="1"/>
  <c r="BZ11" i="5" s="1"/>
  <c r="CA11" i="5" s="1"/>
  <c r="BZ15" i="5"/>
  <c r="CA15" i="5" s="1"/>
  <c r="BZ21" i="5"/>
  <c r="CA21" i="5" s="1"/>
  <c r="BD8" i="5"/>
  <c r="BC8" i="5"/>
  <c r="BE8" i="5" s="1"/>
  <c r="CE8" i="5"/>
  <c r="CF8" i="5" s="1"/>
  <c r="CE12" i="5"/>
  <c r="CF12" i="5" s="1"/>
  <c r="S14" i="5"/>
  <c r="U14" i="5" s="1"/>
  <c r="CE10" i="5"/>
  <c r="CF10" i="5" s="1"/>
  <c r="AL9" i="5"/>
  <c r="AK9" i="5"/>
  <c r="AM9" i="5" s="1"/>
  <c r="S12" i="5"/>
  <c r="U12" i="5" s="1"/>
  <c r="BC12" i="5"/>
  <c r="BE12" i="5" s="1"/>
  <c r="BZ12" i="5" s="1"/>
  <c r="CA12" i="5" s="1"/>
  <c r="BZ13" i="5"/>
  <c r="CA13" i="5" s="1"/>
  <c r="AU17" i="5"/>
  <c r="AT17" i="5"/>
  <c r="AV17" i="5" s="1"/>
  <c r="BM23" i="5"/>
  <c r="BL23" i="5"/>
  <c r="BN23" i="5" s="1"/>
  <c r="AC26" i="5"/>
  <c r="AB26" i="5"/>
  <c r="AD26" i="5" s="1"/>
  <c r="AL8" i="5"/>
  <c r="AK8" i="5"/>
  <c r="AM8" i="5" s="1"/>
  <c r="S10" i="5"/>
  <c r="U10" i="5" s="1"/>
  <c r="BZ10" i="5" s="1"/>
  <c r="CA10" i="5" s="1"/>
  <c r="BC10" i="5"/>
  <c r="BE10" i="5" s="1"/>
  <c r="AK11" i="5"/>
  <c r="AM11" i="5" s="1"/>
  <c r="BU11" i="5"/>
  <c r="BW11" i="5" s="1"/>
  <c r="CE14" i="5"/>
  <c r="CF14" i="5" s="1"/>
  <c r="T18" i="5"/>
  <c r="S18" i="5"/>
  <c r="U18" i="5" s="1"/>
  <c r="AL19" i="5"/>
  <c r="CE19" i="5"/>
  <c r="CF19" i="5" s="1"/>
  <c r="AK19" i="5"/>
  <c r="AM19" i="5" s="1"/>
  <c r="AC22" i="5"/>
  <c r="AB22" i="5"/>
  <c r="AD22" i="5" s="1"/>
  <c r="BZ22" i="5" s="1"/>
  <c r="CA22" i="5" s="1"/>
  <c r="BZ28" i="5"/>
  <c r="CA28" i="5" s="1"/>
  <c r="BZ35" i="5"/>
  <c r="CA35" i="5" s="1"/>
  <c r="S41" i="5"/>
  <c r="U41" i="5" s="1"/>
  <c r="T41" i="5"/>
  <c r="BV14" i="5"/>
  <c r="BV15" i="5"/>
  <c r="CE17" i="5"/>
  <c r="CF17" i="5" s="1"/>
  <c r="BL27" i="5"/>
  <c r="BN27" i="5" s="1"/>
  <c r="AL28" i="5"/>
  <c r="BV29" i="5"/>
  <c r="BD30" i="5"/>
  <c r="BV32" i="5"/>
  <c r="AL33" i="5"/>
  <c r="AL34" i="5"/>
  <c r="AU35" i="5"/>
  <c r="AT35" i="5"/>
  <c r="AV35" i="5" s="1"/>
  <c r="AT36" i="5"/>
  <c r="AV36" i="5" s="1"/>
  <c r="S40" i="5"/>
  <c r="U40" i="5" s="1"/>
  <c r="T40" i="5"/>
  <c r="AC46" i="5"/>
  <c r="AB46" i="5"/>
  <c r="AD46" i="5" s="1"/>
  <c r="CE22" i="5"/>
  <c r="CF22" i="5" s="1"/>
  <c r="CE26" i="5"/>
  <c r="CF26" i="5" s="1"/>
  <c r="BZ30" i="5"/>
  <c r="CA30" i="5" s="1"/>
  <c r="AU34" i="5"/>
  <c r="AT34" i="5"/>
  <c r="AV34" i="5" s="1"/>
  <c r="BZ34" i="5" s="1"/>
  <c r="CA34" i="5" s="1"/>
  <c r="K38" i="5"/>
  <c r="J38" i="5"/>
  <c r="L38" i="5" s="1"/>
  <c r="BZ38" i="5" s="1"/>
  <c r="CA38" i="5" s="1"/>
  <c r="K39" i="5"/>
  <c r="K73" i="5" s="1"/>
  <c r="J39" i="5"/>
  <c r="L39" i="5" s="1"/>
  <c r="CE39" i="5"/>
  <c r="CF39" i="5" s="1"/>
  <c r="AK42" i="5"/>
  <c r="AM42" i="5" s="1"/>
  <c r="AL42" i="5"/>
  <c r="J16" i="5"/>
  <c r="L16" i="5" s="1"/>
  <c r="AB16" i="5"/>
  <c r="AD16" i="5" s="1"/>
  <c r="AT16" i="5"/>
  <c r="AV16" i="5" s="1"/>
  <c r="BL16" i="5"/>
  <c r="BN16" i="5" s="1"/>
  <c r="J17" i="5"/>
  <c r="L17" i="5" s="1"/>
  <c r="BU17" i="5"/>
  <c r="BW17" i="5" s="1"/>
  <c r="BL18" i="5"/>
  <c r="BN18" i="5" s="1"/>
  <c r="S19" i="5"/>
  <c r="U19" i="5" s="1"/>
  <c r="BZ19" i="5" s="1"/>
  <c r="CA19" i="5" s="1"/>
  <c r="AT20" i="5"/>
  <c r="AV20" i="5" s="1"/>
  <c r="BZ20" i="5" s="1"/>
  <c r="CA20" i="5" s="1"/>
  <c r="AB23" i="5"/>
  <c r="AD23" i="5" s="1"/>
  <c r="BZ23" i="5" s="1"/>
  <c r="CA23" i="5" s="1"/>
  <c r="AB27" i="5"/>
  <c r="AD27" i="5" s="1"/>
  <c r="BZ27" i="5" s="1"/>
  <c r="CA27" i="5" s="1"/>
  <c r="AL29" i="5"/>
  <c r="CE30" i="5"/>
  <c r="CF30" i="5" s="1"/>
  <c r="BZ42" i="5"/>
  <c r="CA42" i="5" s="1"/>
  <c r="AC45" i="5"/>
  <c r="AB45" i="5"/>
  <c r="AD45" i="5" s="1"/>
  <c r="AT18" i="5"/>
  <c r="AV18" i="5" s="1"/>
  <c r="CE18" i="5"/>
  <c r="CF18" i="5" s="1"/>
  <c r="CE23" i="5"/>
  <c r="CF23" i="5" s="1"/>
  <c r="CE27" i="5"/>
  <c r="CF27" i="5" s="1"/>
  <c r="CE28" i="5"/>
  <c r="CF28" i="5" s="1"/>
  <c r="T29" i="5"/>
  <c r="BV31" i="5"/>
  <c r="BZ32" i="5"/>
  <c r="CA32" i="5" s="1"/>
  <c r="K37" i="5"/>
  <c r="J37" i="5"/>
  <c r="L37" i="5" s="1"/>
  <c r="BZ37" i="5" s="1"/>
  <c r="CA37" i="5" s="1"/>
  <c r="BM37" i="5"/>
  <c r="BL37" i="5"/>
  <c r="BN37" i="5" s="1"/>
  <c r="CE38" i="5"/>
  <c r="CF38" i="5" s="1"/>
  <c r="BD50" i="5"/>
  <c r="BC50" i="5"/>
  <c r="BE50" i="5" s="1"/>
  <c r="BZ50" i="5" s="1"/>
  <c r="CA50" i="5" s="1"/>
  <c r="CE50" i="5"/>
  <c r="CF50" i="5" s="1"/>
  <c r="AB58" i="5"/>
  <c r="AD58" i="5" s="1"/>
  <c r="AC58" i="5"/>
  <c r="AC76" i="5" s="1"/>
  <c r="CE32" i="5"/>
  <c r="CF32" i="5" s="1"/>
  <c r="BM35" i="5"/>
  <c r="BM79" i="5" s="1"/>
  <c r="BL35" i="5"/>
  <c r="BN35" i="5" s="1"/>
  <c r="BM36" i="5"/>
  <c r="BL36" i="5"/>
  <c r="BN36" i="5" s="1"/>
  <c r="K79" i="5"/>
  <c r="AC75" i="5"/>
  <c r="AU78" i="5"/>
  <c r="AU73" i="5"/>
  <c r="S17" i="5"/>
  <c r="U17" i="5" s="1"/>
  <c r="J18" i="5"/>
  <c r="L18" i="5" s="1"/>
  <c r="BZ18" i="5" s="1"/>
  <c r="CA18" i="5" s="1"/>
  <c r="BU18" i="5"/>
  <c r="BW18" i="5" s="1"/>
  <c r="AB19" i="5"/>
  <c r="AD19" i="5" s="1"/>
  <c r="AT21" i="5"/>
  <c r="AV21" i="5" s="1"/>
  <c r="J24" i="5"/>
  <c r="L24" i="5" s="1"/>
  <c r="BZ24" i="5" s="1"/>
  <c r="CA24" i="5" s="1"/>
  <c r="CE24" i="5"/>
  <c r="CF24" i="5" s="1"/>
  <c r="AT25" i="5"/>
  <c r="AV25" i="5" s="1"/>
  <c r="BZ25" i="5" s="1"/>
  <c r="CA25" i="5" s="1"/>
  <c r="CE29" i="5"/>
  <c r="CF29" i="5" s="1"/>
  <c r="BD31" i="5"/>
  <c r="AC33" i="5"/>
  <c r="AC78" i="5" s="1"/>
  <c r="AB33" i="5"/>
  <c r="AD33" i="5" s="1"/>
  <c r="BZ33" i="5" s="1"/>
  <c r="CA33" i="5" s="1"/>
  <c r="AC47" i="5"/>
  <c r="AC79" i="5" s="1"/>
  <c r="AB47" i="5"/>
  <c r="AD47" i="5" s="1"/>
  <c r="AB48" i="5"/>
  <c r="AD48" i="5" s="1"/>
  <c r="BZ48" i="5" s="1"/>
  <c r="CA48" i="5" s="1"/>
  <c r="AC48" i="5"/>
  <c r="CE48" i="5"/>
  <c r="CF48" i="5" s="1"/>
  <c r="BZ31" i="5"/>
  <c r="CA31" i="5" s="1"/>
  <c r="CE33" i="5"/>
  <c r="CF33" i="5" s="1"/>
  <c r="BZ36" i="5"/>
  <c r="CA36" i="5" s="1"/>
  <c r="CE36" i="5"/>
  <c r="CF36" i="5" s="1"/>
  <c r="CE35" i="5"/>
  <c r="CF35" i="5" s="1"/>
  <c r="CE42" i="5"/>
  <c r="CF42" i="5" s="1"/>
  <c r="BZ44" i="5"/>
  <c r="CA44" i="5" s="1"/>
  <c r="CE44" i="5"/>
  <c r="CF44" i="5" s="1"/>
  <c r="AT49" i="5"/>
  <c r="AV49" i="5" s="1"/>
  <c r="AU49" i="5"/>
  <c r="BM45" i="5"/>
  <c r="BM77" i="5" s="1"/>
  <c r="BL45" i="5"/>
  <c r="BN45" i="5" s="1"/>
  <c r="BM46" i="5"/>
  <c r="BL46" i="5"/>
  <c r="BN46" i="5" s="1"/>
  <c r="BM47" i="5"/>
  <c r="BL47" i="5"/>
  <c r="BN47" i="5" s="1"/>
  <c r="AL48" i="5"/>
  <c r="AK48" i="5"/>
  <c r="AM48" i="5" s="1"/>
  <c r="BZ49" i="5"/>
  <c r="CA49" i="5" s="1"/>
  <c r="BZ41" i="5"/>
  <c r="CA41" i="5" s="1"/>
  <c r="K45" i="5"/>
  <c r="J45" i="5"/>
  <c r="L45" i="5" s="1"/>
  <c r="BZ45" i="5" s="1"/>
  <c r="CA45" i="5" s="1"/>
  <c r="K46" i="5"/>
  <c r="J46" i="5"/>
  <c r="L46" i="5" s="1"/>
  <c r="K47" i="5"/>
  <c r="J47" i="5"/>
  <c r="L47" i="5" s="1"/>
  <c r="BD49" i="5"/>
  <c r="BC49" i="5"/>
  <c r="BE49" i="5" s="1"/>
  <c r="BZ52" i="5"/>
  <c r="CA52" i="5" s="1"/>
  <c r="BZ53" i="5"/>
  <c r="CA53" i="5" s="1"/>
  <c r="CE34" i="5"/>
  <c r="CF34" i="5" s="1"/>
  <c r="AL41" i="5"/>
  <c r="CE41" i="5"/>
  <c r="CF41" i="5" s="1"/>
  <c r="BD43" i="5"/>
  <c r="T44" i="5"/>
  <c r="BU50" i="5"/>
  <c r="BW50" i="5" s="1"/>
  <c r="BZ43" i="5"/>
  <c r="CA43" i="5" s="1"/>
  <c r="CE43" i="5"/>
  <c r="CF43" i="5" s="1"/>
  <c r="AU45" i="5"/>
  <c r="AU74" i="5" s="1"/>
  <c r="AT45" i="5"/>
  <c r="AV45" i="5" s="1"/>
  <c r="AU46" i="5"/>
  <c r="AU80" i="5" s="1"/>
  <c r="AU84" i="5" s="1"/>
  <c r="AT46" i="5"/>
  <c r="AV46" i="5" s="1"/>
  <c r="AU47" i="5"/>
  <c r="AT47" i="5"/>
  <c r="AV47" i="5" s="1"/>
  <c r="AK69" i="5"/>
  <c r="AM69" i="5" s="1"/>
  <c r="AL69" i="5"/>
  <c r="BZ40" i="5"/>
  <c r="CA40" i="5" s="1"/>
  <c r="AL43" i="5"/>
  <c r="BV44" i="5"/>
  <c r="AC49" i="5"/>
  <c r="AT66" i="5"/>
  <c r="AV66" i="5" s="1"/>
  <c r="CE66" i="5"/>
  <c r="CF66" i="5" s="1"/>
  <c r="AU66" i="5"/>
  <c r="J68" i="5"/>
  <c r="L68" i="5" s="1"/>
  <c r="BZ68" i="5" s="1"/>
  <c r="CA68" i="5" s="1"/>
  <c r="K68" i="5"/>
  <c r="AB39" i="5"/>
  <c r="AD39" i="5" s="1"/>
  <c r="AL40" i="5"/>
  <c r="CE40" i="5"/>
  <c r="CF40" i="5" s="1"/>
  <c r="BD42" i="5"/>
  <c r="BC48" i="5"/>
  <c r="BE48" i="5" s="1"/>
  <c r="BL56" i="5"/>
  <c r="BN56" i="5" s="1"/>
  <c r="CE56" i="5"/>
  <c r="CF56" i="5" s="1"/>
  <c r="BM56" i="5"/>
  <c r="AT57" i="5"/>
  <c r="AV57" i="5" s="1"/>
  <c r="AU57" i="5"/>
  <c r="J59" i="5"/>
  <c r="L59" i="5" s="1"/>
  <c r="K59" i="5"/>
  <c r="AT62" i="5"/>
  <c r="AV62" i="5" s="1"/>
  <c r="BZ62" i="5" s="1"/>
  <c r="CA62" i="5" s="1"/>
  <c r="CE62" i="5"/>
  <c r="CF62" i="5" s="1"/>
  <c r="AU62" i="5"/>
  <c r="J64" i="5"/>
  <c r="L64" i="5" s="1"/>
  <c r="BZ64" i="5" s="1"/>
  <c r="CA64" i="5" s="1"/>
  <c r="K64" i="5"/>
  <c r="BZ66" i="5"/>
  <c r="CA66" i="5" s="1"/>
  <c r="CE55" i="5"/>
  <c r="CF55" i="5" s="1"/>
  <c r="J60" i="5"/>
  <c r="L60" i="5" s="1"/>
  <c r="BZ60" i="5" s="1"/>
  <c r="CA60" i="5" s="1"/>
  <c r="K60" i="5"/>
  <c r="BZ51" i="5"/>
  <c r="CA51" i="5" s="1"/>
  <c r="CE45" i="5"/>
  <c r="CF45" i="5" s="1"/>
  <c r="CE46" i="5"/>
  <c r="CF46" i="5" s="1"/>
  <c r="BM48" i="5"/>
  <c r="BM49" i="5"/>
  <c r="CE49" i="5"/>
  <c r="CF49" i="5" s="1"/>
  <c r="J56" i="5"/>
  <c r="L56" i="5" s="1"/>
  <c r="BZ56" i="5" s="1"/>
  <c r="CA56" i="5" s="1"/>
  <c r="K56" i="5"/>
  <c r="BD60" i="5"/>
  <c r="BZ61" i="5"/>
  <c r="CA61" i="5" s="1"/>
  <c r="J58" i="5"/>
  <c r="L58" i="5" s="1"/>
  <c r="BZ58" i="5" s="1"/>
  <c r="CA58" i="5" s="1"/>
  <c r="K58" i="5"/>
  <c r="AT58" i="5"/>
  <c r="AV58" i="5" s="1"/>
  <c r="AU58" i="5"/>
  <c r="BL65" i="5"/>
  <c r="BN65" i="5" s="1"/>
  <c r="BZ65" i="5" s="1"/>
  <c r="CA65" i="5" s="1"/>
  <c r="CE65" i="5"/>
  <c r="CF65" i="5" s="1"/>
  <c r="BM65" i="5"/>
  <c r="BM75" i="5" s="1"/>
  <c r="AB67" i="5"/>
  <c r="AD67" i="5" s="1"/>
  <c r="BZ67" i="5" s="1"/>
  <c r="CA67" i="5" s="1"/>
  <c r="AC67" i="5"/>
  <c r="K55" i="5"/>
  <c r="BV55" i="5"/>
  <c r="BU55" i="5"/>
  <c r="BW55" i="5" s="1"/>
  <c r="BZ55" i="5" s="1"/>
  <c r="CA55" i="5" s="1"/>
  <c r="AT56" i="5"/>
  <c r="AV56" i="5" s="1"/>
  <c r="AU56" i="5"/>
  <c r="AB57" i="5"/>
  <c r="AD57" i="5" s="1"/>
  <c r="BZ57" i="5" s="1"/>
  <c r="CA57" i="5" s="1"/>
  <c r="AC57" i="5"/>
  <c r="BL57" i="5"/>
  <c r="BN57" i="5" s="1"/>
  <c r="CE57" i="5"/>
  <c r="CF57" i="5" s="1"/>
  <c r="BM57" i="5"/>
  <c r="AB59" i="5"/>
  <c r="AD59" i="5" s="1"/>
  <c r="AC59" i="5"/>
  <c r="BL61" i="5"/>
  <c r="BN61" i="5" s="1"/>
  <c r="CE61" i="5"/>
  <c r="CF61" i="5" s="1"/>
  <c r="BM61" i="5"/>
  <c r="AB63" i="5"/>
  <c r="AD63" i="5" s="1"/>
  <c r="BZ63" i="5" s="1"/>
  <c r="CA63" i="5" s="1"/>
  <c r="AC63" i="5"/>
  <c r="BZ54" i="5"/>
  <c r="CA54" i="5" s="1"/>
  <c r="CE58" i="5"/>
  <c r="CF58" i="5" s="1"/>
  <c r="BU59" i="5"/>
  <c r="BW59" i="5" s="1"/>
  <c r="CE59" i="5"/>
  <c r="CF59" i="5" s="1"/>
  <c r="BU70" i="5"/>
  <c r="BW70" i="5" s="1"/>
  <c r="BV70" i="5"/>
  <c r="BM60" i="5"/>
  <c r="CE60" i="5"/>
  <c r="CF60" i="5" s="1"/>
  <c r="AU61" i="5"/>
  <c r="AC62" i="5"/>
  <c r="K63" i="5"/>
  <c r="BM64" i="5"/>
  <c r="CE64" i="5"/>
  <c r="CF64" i="5" s="1"/>
  <c r="AU65" i="5"/>
  <c r="AC66" i="5"/>
  <c r="K67" i="5"/>
  <c r="BM68" i="5"/>
  <c r="CE68" i="5"/>
  <c r="CF68" i="5" s="1"/>
  <c r="T69" i="5"/>
  <c r="CE69" i="5"/>
  <c r="CF69" i="5" s="1"/>
  <c r="BU69" i="5"/>
  <c r="BW69" i="5" s="1"/>
  <c r="BZ69" i="5" s="1"/>
  <c r="CA69" i="5" s="1"/>
  <c r="BC70" i="5"/>
  <c r="BE70" i="5" s="1"/>
  <c r="BD70" i="5"/>
  <c r="BM59" i="5"/>
  <c r="AU60" i="5"/>
  <c r="AC61" i="5"/>
  <c r="K62" i="5"/>
  <c r="BM63" i="5"/>
  <c r="CE63" i="5"/>
  <c r="CF63" i="5" s="1"/>
  <c r="AU64" i="5"/>
  <c r="AC65" i="5"/>
  <c r="K66" i="5"/>
  <c r="BM67" i="5"/>
  <c r="CE67" i="5"/>
  <c r="CF67" i="5" s="1"/>
  <c r="AU68" i="5"/>
  <c r="BV69" i="5"/>
  <c r="CE70" i="5"/>
  <c r="CF70" i="5" s="1"/>
  <c r="AK70" i="5"/>
  <c r="AM70" i="5" s="1"/>
  <c r="BZ70" i="5" s="1"/>
  <c r="CA70" i="5" s="1"/>
  <c r="AL70" i="5"/>
  <c r="CC10" i="5" l="1"/>
  <c r="CI10" i="5"/>
  <c r="CB10" i="5"/>
  <c r="CC44" i="1"/>
  <c r="CI44" i="1"/>
  <c r="CB44" i="1"/>
  <c r="CI63" i="5"/>
  <c r="CC63" i="5"/>
  <c r="CB63" i="5"/>
  <c r="CC25" i="5"/>
  <c r="CB25" i="5"/>
  <c r="CI25" i="5"/>
  <c r="CI27" i="5"/>
  <c r="CC27" i="5"/>
  <c r="CB27" i="5"/>
  <c r="CC54" i="1"/>
  <c r="CI54" i="1"/>
  <c r="CB54" i="1"/>
  <c r="CC36" i="1"/>
  <c r="CI36" i="1"/>
  <c r="CB36" i="1"/>
  <c r="CC9" i="1"/>
  <c r="CB9" i="1"/>
  <c r="CI9" i="1"/>
  <c r="CB10" i="1"/>
  <c r="CI10" i="1"/>
  <c r="CC10" i="1"/>
  <c r="CC12" i="5"/>
  <c r="CI12" i="5"/>
  <c r="CB12" i="5"/>
  <c r="CC41" i="1"/>
  <c r="CI41" i="1"/>
  <c r="CB41" i="1"/>
  <c r="CC40" i="1"/>
  <c r="CB40" i="1"/>
  <c r="CI40" i="1"/>
  <c r="CI55" i="5"/>
  <c r="CC55" i="5"/>
  <c r="CB55" i="5"/>
  <c r="CC35" i="1"/>
  <c r="CI35" i="1"/>
  <c r="CB35" i="1"/>
  <c r="CI8" i="1"/>
  <c r="CC8" i="1"/>
  <c r="CB8" i="1"/>
  <c r="CI12" i="1"/>
  <c r="CC12" i="1"/>
  <c r="CB12" i="1"/>
  <c r="CB70" i="5"/>
  <c r="CI70" i="5"/>
  <c r="CC70" i="5"/>
  <c r="CC48" i="5"/>
  <c r="CB48" i="5"/>
  <c r="CI48" i="5"/>
  <c r="CI20" i="5"/>
  <c r="CC20" i="5"/>
  <c r="CB20" i="5"/>
  <c r="CB34" i="5"/>
  <c r="CC34" i="5"/>
  <c r="CI34" i="5"/>
  <c r="CC50" i="1"/>
  <c r="CI50" i="1"/>
  <c r="CB50" i="1"/>
  <c r="CC62" i="5"/>
  <c r="CB62" i="5"/>
  <c r="CI62" i="5"/>
  <c r="CI19" i="5"/>
  <c r="CC19" i="5"/>
  <c r="CB19" i="5"/>
  <c r="CC49" i="1"/>
  <c r="CB49" i="1"/>
  <c r="CI49" i="1"/>
  <c r="CC39" i="1"/>
  <c r="CI39" i="1"/>
  <c r="CB39" i="1"/>
  <c r="CC11" i="5"/>
  <c r="CI11" i="5"/>
  <c r="CB11" i="5"/>
  <c r="CI67" i="5"/>
  <c r="CC67" i="5"/>
  <c r="CB67" i="5"/>
  <c r="CI23" i="5"/>
  <c r="CC23" i="5"/>
  <c r="CB23" i="5"/>
  <c r="CC69" i="5"/>
  <c r="CB69" i="5"/>
  <c r="CI57" i="5"/>
  <c r="CC57" i="5"/>
  <c r="CB57" i="5"/>
  <c r="CB65" i="5"/>
  <c r="CI65" i="5"/>
  <c r="CC65" i="5"/>
  <c r="CB33" i="5"/>
  <c r="CC33" i="5"/>
  <c r="CI33" i="5"/>
  <c r="CB50" i="5"/>
  <c r="CC50" i="5"/>
  <c r="CI50" i="5"/>
  <c r="CB22" i="5"/>
  <c r="CI22" i="5"/>
  <c r="CC22" i="5"/>
  <c r="CB9" i="5"/>
  <c r="CI9" i="5"/>
  <c r="CC9" i="5"/>
  <c r="M11" i="2"/>
  <c r="AL76" i="1"/>
  <c r="O11" i="2" s="1"/>
  <c r="P11" i="2" s="1"/>
  <c r="CB8" i="5"/>
  <c r="CI8" i="5"/>
  <c r="CC8" i="5"/>
  <c r="CC11" i="1"/>
  <c r="CB11" i="1"/>
  <c r="CI45" i="5"/>
  <c r="CB45" i="5"/>
  <c r="CC45" i="5"/>
  <c r="CB37" i="5"/>
  <c r="CI37" i="5"/>
  <c r="CC37" i="5"/>
  <c r="CC58" i="1"/>
  <c r="CI58" i="1"/>
  <c r="CB58" i="1"/>
  <c r="T73" i="1"/>
  <c r="N9" i="2" s="1"/>
  <c r="CI24" i="5"/>
  <c r="CC24" i="5"/>
  <c r="CB24" i="5"/>
  <c r="BM74" i="5"/>
  <c r="AU75" i="5"/>
  <c r="AC77" i="5"/>
  <c r="AC80" i="5"/>
  <c r="AC84" i="5" s="1"/>
  <c r="K81" i="5"/>
  <c r="CB38" i="5"/>
  <c r="CI38" i="5"/>
  <c r="CC38" i="5"/>
  <c r="CC15" i="5"/>
  <c r="CB15" i="5"/>
  <c r="CI15" i="5"/>
  <c r="BD77" i="5"/>
  <c r="BD76" i="5"/>
  <c r="BD81" i="5"/>
  <c r="BD80" i="5"/>
  <c r="BD84" i="5" s="1"/>
  <c r="BD75" i="5"/>
  <c r="BD78" i="5"/>
  <c r="BD74" i="5"/>
  <c r="BD79" i="5"/>
  <c r="BD73" i="5"/>
  <c r="CC55" i="1"/>
  <c r="CI55" i="1"/>
  <c r="CB55" i="1"/>
  <c r="CC46" i="1"/>
  <c r="CI46" i="1"/>
  <c r="CB46" i="1"/>
  <c r="BZ45" i="1"/>
  <c r="CA45" i="1" s="1"/>
  <c r="BD67" i="1"/>
  <c r="H13" i="2" s="1"/>
  <c r="CC52" i="1"/>
  <c r="CI52" i="1"/>
  <c r="CB52" i="1"/>
  <c r="K72" i="1"/>
  <c r="AC76" i="1"/>
  <c r="O10" i="2" s="1"/>
  <c r="P10" i="2" s="1"/>
  <c r="M10" i="2"/>
  <c r="CI17" i="1"/>
  <c r="CC17" i="1"/>
  <c r="CB17" i="1"/>
  <c r="AU69" i="1"/>
  <c r="J12" i="2" s="1"/>
  <c r="AL71" i="1"/>
  <c r="L11" i="2" s="1"/>
  <c r="CC28" i="1"/>
  <c r="CB28" i="1"/>
  <c r="CI28" i="1"/>
  <c r="T65" i="1"/>
  <c r="F9" i="2" s="1"/>
  <c r="BV73" i="1"/>
  <c r="N16" i="2" s="1"/>
  <c r="BV69" i="1"/>
  <c r="J16" i="2" s="1"/>
  <c r="BM68" i="1"/>
  <c r="CB52" i="5"/>
  <c r="CI52" i="5"/>
  <c r="CC52" i="5"/>
  <c r="CC48" i="1"/>
  <c r="CI48" i="1"/>
  <c r="CB48" i="1"/>
  <c r="CI21" i="1"/>
  <c r="CC21" i="1"/>
  <c r="CB21" i="1"/>
  <c r="CC37" i="1"/>
  <c r="CB37" i="1"/>
  <c r="CI37" i="1"/>
  <c r="BZ59" i="5"/>
  <c r="CA59" i="5" s="1"/>
  <c r="CC41" i="5"/>
  <c r="CI41" i="5"/>
  <c r="CB41" i="5"/>
  <c r="BM80" i="5"/>
  <c r="BM84" i="5" s="1"/>
  <c r="AU77" i="5"/>
  <c r="AC74" i="5"/>
  <c r="K75" i="5"/>
  <c r="K76" i="5"/>
  <c r="CC32" i="5"/>
  <c r="CI32" i="5"/>
  <c r="CB32" i="5"/>
  <c r="CC13" i="5"/>
  <c r="CI13" i="5"/>
  <c r="CB13" i="5"/>
  <c r="CB26" i="5"/>
  <c r="CI26" i="5"/>
  <c r="CC26" i="5"/>
  <c r="CC51" i="1"/>
  <c r="CI51" i="1"/>
  <c r="CB51" i="1"/>
  <c r="CC59" i="1"/>
  <c r="CI59" i="1"/>
  <c r="CB59" i="1"/>
  <c r="CC38" i="1"/>
  <c r="CI38" i="1"/>
  <c r="CB38" i="1"/>
  <c r="BD68" i="1"/>
  <c r="I13" i="2" s="1"/>
  <c r="K73" i="1"/>
  <c r="N8" i="2" s="1"/>
  <c r="AU71" i="1"/>
  <c r="L12" i="2" s="1"/>
  <c r="AL69" i="1"/>
  <c r="J11" i="2" s="1"/>
  <c r="CC23" i="1"/>
  <c r="CB23" i="1"/>
  <c r="CI23" i="1"/>
  <c r="T66" i="1"/>
  <c r="G9" i="2" s="1"/>
  <c r="BV65" i="1"/>
  <c r="F16" i="2" s="1"/>
  <c r="BM71" i="1"/>
  <c r="L15" i="2" s="1"/>
  <c r="CI60" i="5"/>
  <c r="CC60" i="5"/>
  <c r="CB60" i="5"/>
  <c r="CC21" i="5"/>
  <c r="CB21" i="5"/>
  <c r="CI21" i="5"/>
  <c r="K77" i="5"/>
  <c r="BZ16" i="5"/>
  <c r="CA16" i="5" s="1"/>
  <c r="CB35" i="5"/>
  <c r="CI35" i="5"/>
  <c r="CC35" i="5"/>
  <c r="CI29" i="5"/>
  <c r="CC29" i="5"/>
  <c r="CB29" i="5"/>
  <c r="CC14" i="5"/>
  <c r="CI14" i="5"/>
  <c r="CB14" i="5"/>
  <c r="CC47" i="1"/>
  <c r="CI47" i="1"/>
  <c r="CB47" i="1"/>
  <c r="CC53" i="1"/>
  <c r="CB53" i="1"/>
  <c r="CI53" i="1"/>
  <c r="CC43" i="1"/>
  <c r="CI43" i="1"/>
  <c r="CB43" i="1"/>
  <c r="BD73" i="1"/>
  <c r="N13" i="2" s="1"/>
  <c r="CC42" i="1"/>
  <c r="CB42" i="1"/>
  <c r="CI42" i="1"/>
  <c r="AU67" i="1"/>
  <c r="H12" i="2" s="1"/>
  <c r="AL65" i="1"/>
  <c r="F11" i="2" s="1"/>
  <c r="CI30" i="1"/>
  <c r="CC30" i="1"/>
  <c r="CB30" i="1"/>
  <c r="T68" i="1"/>
  <c r="I9" i="2" s="1"/>
  <c r="BV72" i="1"/>
  <c r="BM73" i="1"/>
  <c r="N15" i="2" s="1"/>
  <c r="CB61" i="5"/>
  <c r="CI61" i="5"/>
  <c r="CC61" i="5"/>
  <c r="CC56" i="1"/>
  <c r="CI56" i="1"/>
  <c r="CB56" i="1"/>
  <c r="CB61" i="1"/>
  <c r="CI61" i="1"/>
  <c r="CC61" i="1"/>
  <c r="CC66" i="5"/>
  <c r="CB66" i="5"/>
  <c r="CI66" i="5"/>
  <c r="CI49" i="5"/>
  <c r="CC49" i="5"/>
  <c r="CB49" i="5"/>
  <c r="BM78" i="5"/>
  <c r="CB54" i="5"/>
  <c r="CI54" i="5"/>
  <c r="CC54" i="5"/>
  <c r="CB51" i="5"/>
  <c r="CC51" i="5"/>
  <c r="CI51" i="5"/>
  <c r="BZ47" i="5"/>
  <c r="CA47" i="5" s="1"/>
  <c r="AU76" i="5"/>
  <c r="K74" i="5"/>
  <c r="CI28" i="5"/>
  <c r="CC28" i="5"/>
  <c r="CB28" i="5"/>
  <c r="CC57" i="1"/>
  <c r="CI57" i="1"/>
  <c r="CB57" i="1"/>
  <c r="BD65" i="1"/>
  <c r="F13" i="2" s="1"/>
  <c r="K70" i="1"/>
  <c r="K8" i="2" s="1"/>
  <c r="AU65" i="1"/>
  <c r="F12" i="2" s="1"/>
  <c r="AU72" i="1"/>
  <c r="AL68" i="1"/>
  <c r="I11" i="2" s="1"/>
  <c r="CB14" i="1"/>
  <c r="CI14" i="1"/>
  <c r="CC14" i="1"/>
  <c r="T67" i="1"/>
  <c r="H9" i="2" s="1"/>
  <c r="BV66" i="1"/>
  <c r="G16" i="2" s="1"/>
  <c r="BM69" i="1"/>
  <c r="J15" i="2" s="1"/>
  <c r="BM70" i="1"/>
  <c r="K15" i="2" s="1"/>
  <c r="CI64" i="5"/>
  <c r="CC64" i="5"/>
  <c r="CB64" i="5"/>
  <c r="CC40" i="5"/>
  <c r="CB40" i="5"/>
  <c r="CI40" i="5"/>
  <c r="CC31" i="5"/>
  <c r="CB31" i="5"/>
  <c r="CI31" i="5"/>
  <c r="CB18" i="5"/>
  <c r="CI18" i="5"/>
  <c r="CC18" i="5"/>
  <c r="BM81" i="5"/>
  <c r="AU79" i="5"/>
  <c r="AC73" i="5"/>
  <c r="K80" i="5"/>
  <c r="K84" i="5" s="1"/>
  <c r="CC42" i="5"/>
  <c r="CI42" i="5"/>
  <c r="CB42" i="5"/>
  <c r="CC30" i="5"/>
  <c r="CI30" i="5"/>
  <c r="CB30" i="5"/>
  <c r="BV76" i="5"/>
  <c r="BV81" i="5"/>
  <c r="BV80" i="5"/>
  <c r="BV84" i="5" s="1"/>
  <c r="BV75" i="5"/>
  <c r="BV78" i="5"/>
  <c r="BV74" i="5"/>
  <c r="BV77" i="5"/>
  <c r="BV73" i="5"/>
  <c r="BV79" i="5"/>
  <c r="CC34" i="1"/>
  <c r="CB34" i="1"/>
  <c r="CI34" i="1"/>
  <c r="BD69" i="1"/>
  <c r="J13" i="2" s="1"/>
  <c r="K65" i="1"/>
  <c r="F8" i="2" s="1"/>
  <c r="CI29" i="1"/>
  <c r="CC29" i="1"/>
  <c r="CB29" i="1"/>
  <c r="CI31" i="1"/>
  <c r="CC31" i="1"/>
  <c r="CB31" i="1"/>
  <c r="AU66" i="1"/>
  <c r="G12" i="2" s="1"/>
  <c r="AL66" i="1"/>
  <c r="G11" i="2" s="1"/>
  <c r="T71" i="1"/>
  <c r="L9" i="2" s="1"/>
  <c r="T72" i="1"/>
  <c r="BV67" i="1"/>
  <c r="H16" i="2" s="1"/>
  <c r="BM65" i="1"/>
  <c r="CB56" i="5"/>
  <c r="CC56" i="5"/>
  <c r="CI56" i="5"/>
  <c r="CB36" i="5"/>
  <c r="CI36" i="5"/>
  <c r="CC36" i="5"/>
  <c r="CC58" i="5"/>
  <c r="CB58" i="5"/>
  <c r="CI58" i="5"/>
  <c r="CI68" i="5"/>
  <c r="CC68" i="5"/>
  <c r="CB68" i="5"/>
  <c r="BZ46" i="5"/>
  <c r="CA46" i="5" s="1"/>
  <c r="BM73" i="5"/>
  <c r="AU81" i="5"/>
  <c r="AC81" i="5"/>
  <c r="K78" i="5"/>
  <c r="AL79" i="5"/>
  <c r="AL78" i="5"/>
  <c r="AL77" i="5"/>
  <c r="AL73" i="5"/>
  <c r="AL76" i="5"/>
  <c r="AL81" i="5"/>
  <c r="AL80" i="5"/>
  <c r="AL84" i="5" s="1"/>
  <c r="AL75" i="5"/>
  <c r="AL74" i="5"/>
  <c r="T81" i="5"/>
  <c r="T80" i="5"/>
  <c r="T84" i="5" s="1"/>
  <c r="T78" i="5"/>
  <c r="T74" i="5"/>
  <c r="T77" i="5"/>
  <c r="T73" i="5"/>
  <c r="T76" i="5"/>
  <c r="T79" i="5"/>
  <c r="T75" i="5"/>
  <c r="CC16" i="1"/>
  <c r="CB16" i="1"/>
  <c r="CI16" i="1"/>
  <c r="BD70" i="1"/>
  <c r="K13" i="2" s="1"/>
  <c r="CI32" i="1"/>
  <c r="CC32" i="1"/>
  <c r="CB32" i="1"/>
  <c r="K66" i="1"/>
  <c r="G8" i="2" s="1"/>
  <c r="CC27" i="1"/>
  <c r="CI27" i="1"/>
  <c r="CB27" i="1"/>
  <c r="CI25" i="1"/>
  <c r="CC25" i="1"/>
  <c r="CB25" i="1"/>
  <c r="AU68" i="1"/>
  <c r="I12" i="2" s="1"/>
  <c r="CI13" i="1"/>
  <c r="CC13" i="1"/>
  <c r="CB13" i="1"/>
  <c r="T70" i="1"/>
  <c r="K9" i="2" s="1"/>
  <c r="BV71" i="1"/>
  <c r="L16" i="2" s="1"/>
  <c r="BM72" i="1"/>
  <c r="CI18" i="1"/>
  <c r="CC18" i="1"/>
  <c r="CB18" i="1"/>
  <c r="CC43" i="5"/>
  <c r="CI43" i="5"/>
  <c r="CB43" i="5"/>
  <c r="CB53" i="5"/>
  <c r="CI53" i="5"/>
  <c r="CC53" i="5"/>
  <c r="CC44" i="5"/>
  <c r="CI44" i="5"/>
  <c r="CB44" i="5"/>
  <c r="BM76" i="5"/>
  <c r="BZ17" i="5"/>
  <c r="CA17" i="5" s="1"/>
  <c r="BZ39" i="5"/>
  <c r="CA39" i="5" s="1"/>
  <c r="CC60" i="1"/>
  <c r="CB60" i="1"/>
  <c r="CI60" i="1"/>
  <c r="CI63" i="1"/>
  <c r="CC63" i="1"/>
  <c r="CB63" i="1"/>
  <c r="BD72" i="1"/>
  <c r="CI24" i="1"/>
  <c r="CC24" i="1"/>
  <c r="CB24" i="1"/>
  <c r="CI22" i="1"/>
  <c r="CC22" i="1"/>
  <c r="CB22" i="1"/>
  <c r="CB19" i="1"/>
  <c r="CC19" i="1"/>
  <c r="CI19" i="1"/>
  <c r="M13" i="2" l="1"/>
  <c r="BD76" i="1"/>
  <c r="O13" i="2" s="1"/>
  <c r="P13" i="2" s="1"/>
  <c r="CI59" i="5"/>
  <c r="CC59" i="5"/>
  <c r="CB59" i="5"/>
  <c r="CC45" i="1"/>
  <c r="CB45" i="1"/>
  <c r="CI45" i="1"/>
  <c r="CI65" i="1" s="1"/>
  <c r="CB69" i="1"/>
  <c r="I8" i="3" s="1"/>
  <c r="I11" i="3" s="1"/>
  <c r="CB73" i="1"/>
  <c r="CB70" i="1"/>
  <c r="J8" i="3" s="1"/>
  <c r="J11" i="3" s="1"/>
  <c r="CB71" i="1"/>
  <c r="K8" i="3" s="1"/>
  <c r="K11" i="3" s="1"/>
  <c r="CB67" i="1"/>
  <c r="G8" i="3" s="1"/>
  <c r="G11" i="3" s="1"/>
  <c r="CB66" i="1"/>
  <c r="F8" i="3" s="1"/>
  <c r="F11" i="3" s="1"/>
  <c r="CB72" i="1"/>
  <c r="CB68" i="1"/>
  <c r="H8" i="3" s="1"/>
  <c r="H11" i="3" s="1"/>
  <c r="CB65" i="1"/>
  <c r="E8" i="3" s="1"/>
  <c r="E11" i="3" s="1"/>
  <c r="M16" i="2"/>
  <c r="BV76" i="1"/>
  <c r="O16" i="2" s="1"/>
  <c r="P16" i="2" s="1"/>
  <c r="M15" i="2"/>
  <c r="BM76" i="1"/>
  <c r="M12" i="2"/>
  <c r="AU76" i="1"/>
  <c r="O12" i="2" s="1"/>
  <c r="P12" i="2" s="1"/>
  <c r="M8" i="2"/>
  <c r="K76" i="1"/>
  <c r="O8" i="2" s="1"/>
  <c r="P8" i="2" s="1"/>
  <c r="CC47" i="5"/>
  <c r="CB47" i="5"/>
  <c r="CI47" i="5"/>
  <c r="CB39" i="5"/>
  <c r="CI39" i="5"/>
  <c r="CC39" i="5"/>
  <c r="CC16" i="5"/>
  <c r="CB16" i="5"/>
  <c r="CB80" i="5" s="1"/>
  <c r="CB84" i="5" s="1"/>
  <c r="CI16" i="5"/>
  <c r="CI74" i="5" s="1"/>
  <c r="CI68" i="1"/>
  <c r="CI67" i="1"/>
  <c r="CI66" i="1"/>
  <c r="CB17" i="5"/>
  <c r="CB74" i="5" s="1"/>
  <c r="CI17" i="5"/>
  <c r="CC17" i="5"/>
  <c r="T76" i="1"/>
  <c r="O9" i="2" s="1"/>
  <c r="P9" i="2" s="1"/>
  <c r="M9" i="2"/>
  <c r="CI46" i="5"/>
  <c r="CB46" i="5"/>
  <c r="CC46" i="5"/>
  <c r="CB81" i="5" l="1"/>
  <c r="CB79" i="5"/>
  <c r="CB78" i="5"/>
  <c r="CB76" i="5"/>
  <c r="CI69" i="1"/>
  <c r="CB76" i="1"/>
  <c r="M8" i="3" s="1"/>
  <c r="M11" i="3" s="1"/>
  <c r="L8" i="3"/>
  <c r="L11" i="3" s="1"/>
  <c r="CB73" i="5"/>
  <c r="CI75" i="5"/>
  <c r="CB75" i="5"/>
  <c r="CI76" i="5"/>
  <c r="CB77" i="5"/>
  <c r="CI73" i="5"/>
  <c r="CI77" i="5"/>
</calcChain>
</file>

<file path=xl/sharedStrings.xml><?xml version="1.0" encoding="utf-8"?>
<sst xmlns="http://schemas.openxmlformats.org/spreadsheetml/2006/main" count="937" uniqueCount="351">
  <si>
    <t>BANGALORE INSTITUTE OF TECHNOLOGY</t>
  </si>
  <si>
    <t xml:space="preserve">(Affiliated to Visvesvaraya Technological University, Belagavi, Recognised by AICTE, New Delhi)
K.R. Road, V.V. Pura, Bengaluru – 560 004. Phone: 26613237/26615865   Fax: 22426796
</t>
  </si>
  <si>
    <t>Provisional Results of Second Semester 2022 Batch Examination for the Academic year 2023-24 (Sep/Oct 2023)</t>
  </si>
  <si>
    <t>Department of CSE-Data Science</t>
  </si>
  <si>
    <t>Mathematics for CSE Stream -II           (BMATS201)</t>
  </si>
  <si>
    <t>Chemistry for CSE Stream                (BCHES202)</t>
  </si>
  <si>
    <t>Computer-Aided Engineering Drawing (BCEDK203)</t>
  </si>
  <si>
    <t>Introduction to Electronics Communication               (BESCK204C)</t>
  </si>
  <si>
    <t>Introduction to Python Programming (BPLCK205B)</t>
  </si>
  <si>
    <t>Professional Writing Skills in English (BPWSK206)</t>
  </si>
  <si>
    <t xml:space="preserve">Samskrutika Kannada / Balake Kannada (BKSKK207 / BKBKK207) </t>
  </si>
  <si>
    <t>Scientific Foundations of Health (BSFHK2058)</t>
  </si>
  <si>
    <t>Sl.No</t>
  </si>
  <si>
    <t>USN</t>
  </si>
  <si>
    <t>Student Name</t>
  </si>
  <si>
    <t>Section</t>
  </si>
  <si>
    <t>IN</t>
  </si>
  <si>
    <t>EX</t>
  </si>
  <si>
    <t>RV</t>
  </si>
  <si>
    <t>T</t>
  </si>
  <si>
    <t>CR</t>
  </si>
  <si>
    <t>GP</t>
  </si>
  <si>
    <t>GR</t>
  </si>
  <si>
    <t>CR*GP</t>
  </si>
  <si>
    <t>IA</t>
  </si>
  <si>
    <t>SGPA</t>
  </si>
  <si>
    <t>Final Grade</t>
  </si>
  <si>
    <t>Percentage</t>
  </si>
  <si>
    <t>Total Marks</t>
  </si>
  <si>
    <t>1BI23CD001</t>
  </si>
  <si>
    <t>ALTAF MAKASHI</t>
  </si>
  <si>
    <t>D</t>
  </si>
  <si>
    <t>Balake Kannada</t>
  </si>
  <si>
    <t>1BI23CD002</t>
  </si>
  <si>
    <t>ANJALI M</t>
  </si>
  <si>
    <t>Samskrutika Kannada</t>
  </si>
  <si>
    <t>1BI23CD003</t>
  </si>
  <si>
    <t>ANKIT KUMAR</t>
  </si>
  <si>
    <t>1BI23CD004</t>
  </si>
  <si>
    <t>ARYAN KASHYAP</t>
  </si>
  <si>
    <t>F</t>
  </si>
  <si>
    <t>1BI23CD005</t>
  </si>
  <si>
    <t>ARYAN SAHU</t>
  </si>
  <si>
    <t>1BI23CD006</t>
  </si>
  <si>
    <t>ASHWINI KULKARNI</t>
  </si>
  <si>
    <t>1BI23CD007</t>
  </si>
  <si>
    <t>AYUSH KUMAR</t>
  </si>
  <si>
    <t>1BI23CD008</t>
  </si>
  <si>
    <t>AYUSH KUMAR BHADANI</t>
  </si>
  <si>
    <t>1BI23CD009</t>
  </si>
  <si>
    <t>AYUSH RAJ</t>
  </si>
  <si>
    <t>1BI23CD010</t>
  </si>
  <si>
    <t>B ANKITH KUMAR</t>
  </si>
  <si>
    <t>1BI23CD013</t>
  </si>
  <si>
    <t>CHETHAN S</t>
  </si>
  <si>
    <t>1BI23CD014</t>
  </si>
  <si>
    <t>DARSHITH C M</t>
  </si>
  <si>
    <t>1BI23CD015</t>
  </si>
  <si>
    <t>DEEKSHA R S</t>
  </si>
  <si>
    <t>1BI23CD016</t>
  </si>
  <si>
    <t>ESHWAR R J</t>
  </si>
  <si>
    <t>1BI23CD017</t>
  </si>
  <si>
    <t>G VINITH SAI REDDY</t>
  </si>
  <si>
    <t>1BI23CD018</t>
  </si>
  <si>
    <t>GALLA NAVATEJA</t>
  </si>
  <si>
    <t>1BI23CD019</t>
  </si>
  <si>
    <t>GOPA SAI RUTHVIK</t>
  </si>
  <si>
    <t>1BI23CD020</t>
  </si>
  <si>
    <t>HARINI K</t>
  </si>
  <si>
    <t>1BI23CD021</t>
  </si>
  <si>
    <t>JASHANK K</t>
  </si>
  <si>
    <t>1BI23CD022</t>
  </si>
  <si>
    <t>kala manjunatha</t>
  </si>
  <si>
    <t>1BI23CD023</t>
  </si>
  <si>
    <t>KARTIKEY VARSHNEY</t>
  </si>
  <si>
    <t>1BI23CD024</t>
  </si>
  <si>
    <t>KOMANNUTHALA P SRI HARSHA</t>
  </si>
  <si>
    <t>1BI23CD025</t>
  </si>
  <si>
    <t>KOTLA HIMASREE</t>
  </si>
  <si>
    <t>1BI23CD026</t>
  </si>
  <si>
    <t>KUSHAL S</t>
  </si>
  <si>
    <t>1BI23CD027</t>
  </si>
  <si>
    <t>MADHURA M</t>
  </si>
  <si>
    <t>1BI23CD028</t>
  </si>
  <si>
    <t>Mayur Arjun reddy</t>
  </si>
  <si>
    <t>1BI23CD029</t>
  </si>
  <si>
    <t>mitu shyam</t>
  </si>
  <si>
    <t>1BI23CD030</t>
  </si>
  <si>
    <t>N NAYANA THARA</t>
  </si>
  <si>
    <t>1BI23CD031</t>
  </si>
  <si>
    <t>Narasingh s jadhav</t>
  </si>
  <si>
    <t>1BI23CD032</t>
  </si>
  <si>
    <t>NAVYA N MOGER</t>
  </si>
  <si>
    <t>1BI23CD033</t>
  </si>
  <si>
    <t>NEHA PATEL J K</t>
  </si>
  <si>
    <t>1BI23CD034</t>
  </si>
  <si>
    <t>NIHAr s</t>
  </si>
  <si>
    <t>1BI23CD035</t>
  </si>
  <si>
    <t>NISHANT KUMAR RAI</t>
  </si>
  <si>
    <t>1BI23CD036</t>
  </si>
  <si>
    <t>PRANAV A S</t>
  </si>
  <si>
    <t>1BI23CD037</t>
  </si>
  <si>
    <t>RATNESH SANTOSH CHAURASIYA</t>
  </si>
  <si>
    <t>1BI23CD038</t>
  </si>
  <si>
    <t>ROHAN S GOWDA</t>
  </si>
  <si>
    <t>1BI23CD039</t>
  </si>
  <si>
    <t>ROHIT R KASHYAP</t>
  </si>
  <si>
    <t>1BI23CD040</t>
  </si>
  <si>
    <t>SALAGALLA CHETAN</t>
  </si>
  <si>
    <t>1BI23CD041</t>
  </si>
  <si>
    <t>SAMARTH B H</t>
  </si>
  <si>
    <t>1BI23CD042</t>
  </si>
  <si>
    <t>SANJEEV M D</t>
  </si>
  <si>
    <t>1BI23CD043</t>
  </si>
  <si>
    <t>SHANTANNU GUPTA</t>
  </si>
  <si>
    <t>1BI23CD044</t>
  </si>
  <si>
    <t>SHARANYA S DEVADIGA</t>
  </si>
  <si>
    <t>1BI23CD045</t>
  </si>
  <si>
    <t>SHREEYA B</t>
  </si>
  <si>
    <t>1BI23CD046</t>
  </si>
  <si>
    <t>SPARSH JAIN</t>
  </si>
  <si>
    <t>1BI23CD047</t>
  </si>
  <si>
    <t>SRINIVAS SHREYAS</t>
  </si>
  <si>
    <t>1BI23CD048</t>
  </si>
  <si>
    <t>SRIVATSA K</t>
  </si>
  <si>
    <t>1BI23CD049</t>
  </si>
  <si>
    <t>SWASTIK ATHARVA</t>
  </si>
  <si>
    <t>1BI23CD050</t>
  </si>
  <si>
    <t>TALACHERU MOKSHAGNA LAKSHMI RAHUL</t>
  </si>
  <si>
    <t>1BI23CD051</t>
  </si>
  <si>
    <t>TEJAS C</t>
  </si>
  <si>
    <t>1BI23CD052</t>
  </si>
  <si>
    <t>TRIVIKRAM NARAYANAN</t>
  </si>
  <si>
    <t>1BI23CD053</t>
  </si>
  <si>
    <t>UMME SALMA</t>
  </si>
  <si>
    <t>1BI23CD054</t>
  </si>
  <si>
    <t>VANKA SASHANK</t>
  </si>
  <si>
    <t>1BI23CD055</t>
  </si>
  <si>
    <t>VISHAL S</t>
  </si>
  <si>
    <t>1BI23CD056</t>
  </si>
  <si>
    <t>vishwa</t>
  </si>
  <si>
    <t xml:space="preserve">Mathematics for CSE Stream -II </t>
  </si>
  <si>
    <t>Chemistry for CSE Stream</t>
  </si>
  <si>
    <t xml:space="preserve">Computer-Aided Engineering Drawing </t>
  </si>
  <si>
    <t xml:space="preserve">Introduction to Electronics Engineering </t>
  </si>
  <si>
    <t>Introduction to Python Programming</t>
  </si>
  <si>
    <t>Professional Writing Skills in English</t>
  </si>
  <si>
    <t xml:space="preserve">Samskrutika Kannada / Balake Kannada </t>
  </si>
  <si>
    <t xml:space="preserve">Scientific Foundations of Health </t>
  </si>
  <si>
    <t>Total No. of</t>
  </si>
  <si>
    <t>O</t>
  </si>
  <si>
    <t>FCD</t>
  </si>
  <si>
    <t>A+</t>
  </si>
  <si>
    <t>FC</t>
  </si>
  <si>
    <t>A</t>
  </si>
  <si>
    <t>SC</t>
  </si>
  <si>
    <t>B+</t>
  </si>
  <si>
    <t>PASS</t>
  </si>
  <si>
    <t>B</t>
  </si>
  <si>
    <t>FAIL</t>
  </si>
  <si>
    <t>C</t>
  </si>
  <si>
    <t>P</t>
  </si>
  <si>
    <t>AB</t>
  </si>
  <si>
    <t>Total No. of Students Appeared</t>
  </si>
  <si>
    <t>Total No. of Students Passed</t>
  </si>
  <si>
    <t xml:space="preserve"> Subject Wise Result Analysis of Second Semester 2022 Batch Examination for the Academic year 2022-23 (Sep/Oct 2023)</t>
  </si>
  <si>
    <t>Sl. No.</t>
  </si>
  <si>
    <t>Course Code</t>
  </si>
  <si>
    <t>Course Name</t>
  </si>
  <si>
    <t>TOTAL</t>
  </si>
  <si>
    <t>APP</t>
  </si>
  <si>
    <t>O%</t>
  </si>
  <si>
    <t>A+%</t>
  </si>
  <si>
    <t>A%</t>
  </si>
  <si>
    <t>B+%</t>
  </si>
  <si>
    <t>B%</t>
  </si>
  <si>
    <t>C%</t>
  </si>
  <si>
    <t>P%</t>
  </si>
  <si>
    <t>F%</t>
  </si>
  <si>
    <t>Absent</t>
  </si>
  <si>
    <t>TOTAL PASS</t>
  </si>
  <si>
    <t>TOTAL PERCENTAGE</t>
  </si>
  <si>
    <t>BMATS201</t>
  </si>
  <si>
    <t>Mathematics for CSE Stream-II</t>
  </si>
  <si>
    <t>BCHES202</t>
  </si>
  <si>
    <t>BCEDK203</t>
  </si>
  <si>
    <t>BESCK204C</t>
  </si>
  <si>
    <t>BPLCK205B</t>
  </si>
  <si>
    <t>BPWSK206</t>
  </si>
  <si>
    <t xml:space="preserve">Professional Writing Skills in English </t>
  </si>
  <si>
    <t>BKSKK207</t>
  </si>
  <si>
    <t>BKBKK207</t>
  </si>
  <si>
    <t xml:space="preserve">Balake Kannada </t>
  </si>
  <si>
    <t>BSFHK258</t>
  </si>
  <si>
    <t>HOD, CSE-DATA SCIENCE</t>
  </si>
  <si>
    <t xml:space="preserve"> Overall Result Analysis of Second Semester 2022 Batch Examination for the Academic year 2022-23 (Sep/Oct 2023)</t>
  </si>
  <si>
    <t>TOTAL STUDENTS</t>
  </si>
  <si>
    <t>TOTAL NO OF STUDENTS APPEARED IN ALL SUBJECTS</t>
  </si>
  <si>
    <t>TOTAL O</t>
  </si>
  <si>
    <t>TOTAL A+</t>
  </si>
  <si>
    <t>TOTAL A</t>
  </si>
  <si>
    <t>TOTAL B+</t>
  </si>
  <si>
    <t>TOTAL B</t>
  </si>
  <si>
    <t>TOTAL C</t>
  </si>
  <si>
    <t>TOTAL P</t>
  </si>
  <si>
    <t>TOTAL FAIL</t>
  </si>
  <si>
    <t xml:space="preserve">TOTAL O% </t>
  </si>
  <si>
    <t>TOTAL A+%</t>
  </si>
  <si>
    <t>TOTAL A%</t>
  </si>
  <si>
    <t>TOTAL B%</t>
  </si>
  <si>
    <t>TOTAL B+%</t>
  </si>
  <si>
    <t>TOTAL C%</t>
  </si>
  <si>
    <t>TOTAL P%</t>
  </si>
  <si>
    <t>TOTAL FAIL%</t>
  </si>
  <si>
    <t>TOTAL PASS%</t>
  </si>
  <si>
    <t xml:space="preserve"> Absentees List of Second Semester 2022 Batch Examination for the Academic year 2022-23 (Sep/Oct 2023)</t>
  </si>
  <si>
    <t>NIL</t>
  </si>
  <si>
    <t>HoD, CSE-DS</t>
  </si>
  <si>
    <t>Provisional Results of Second Semester 2022 Batch Examination for the Academic year 2022-23 (Sep/Oct 2023)</t>
  </si>
  <si>
    <t>1BI22CD015</t>
  </si>
  <si>
    <t>HARSHA K L</t>
  </si>
  <si>
    <t>1BI22CD025</t>
  </si>
  <si>
    <t>MITTA THANVITHA</t>
  </si>
  <si>
    <t>1BI22CD063</t>
  </si>
  <si>
    <t>YASHVI BHUWALKA</t>
  </si>
  <si>
    <t>1BI22CD018</t>
  </si>
  <si>
    <t>KANNIKA MAHESH D</t>
  </si>
  <si>
    <t>1BI22CD045</t>
  </si>
  <si>
    <t>SARA TAHOOR</t>
  </si>
  <si>
    <t>1BI22CD049</t>
  </si>
  <si>
    <t>SHEEWAM KUMAR</t>
  </si>
  <si>
    <t>1BI22CD023</t>
  </si>
  <si>
    <t>M KRITHIKA</t>
  </si>
  <si>
    <t>1BI22CD034</t>
  </si>
  <si>
    <t>PRIYANKA S</t>
  </si>
  <si>
    <t>1BI22CD055</t>
  </si>
  <si>
    <t>SURAJ A R</t>
  </si>
  <si>
    <t>1BI22CD031</t>
  </si>
  <si>
    <t>PRANAV GUPTA</t>
  </si>
  <si>
    <t>1BI22CD048</t>
  </si>
  <si>
    <t>SHASHI KIRAN J</t>
  </si>
  <si>
    <t>1BI22CD062</t>
  </si>
  <si>
    <t>VIVEK DESAI</t>
  </si>
  <si>
    <t>1BI22CD058</t>
  </si>
  <si>
    <t>THANYA S</t>
  </si>
  <si>
    <t>1BI22CD016</t>
  </si>
  <si>
    <t>JANANI P</t>
  </si>
  <si>
    <t>1BI22CD006</t>
  </si>
  <si>
    <t>BHUMIKA KALASAREDDY</t>
  </si>
  <si>
    <t>1BI22CD003</t>
  </si>
  <si>
    <t>ARPITA KRISHNA</t>
  </si>
  <si>
    <t>1BI22CD010</t>
  </si>
  <si>
    <t>DEVAJ S</t>
  </si>
  <si>
    <t>1BI22CD047</t>
  </si>
  <si>
    <t>SHARAD KRISHNA J S</t>
  </si>
  <si>
    <t>1BI22CD027</t>
  </si>
  <si>
    <t>NAGASUPRIYA BANDLAMUDI</t>
  </si>
  <si>
    <t>1BI22CD035</t>
  </si>
  <si>
    <t>PUNITH S</t>
  </si>
  <si>
    <t>1BI22CD057</t>
  </si>
  <si>
    <t>THANUSH J</t>
  </si>
  <si>
    <t>1BI22CD002</t>
  </si>
  <si>
    <t>ARATI</t>
  </si>
  <si>
    <t>1BI22CD052</t>
  </si>
  <si>
    <t>SHRIHARI M V</t>
  </si>
  <si>
    <t>1BI22CD041</t>
  </si>
  <si>
    <t>S MOHAMMED HASNAIN</t>
  </si>
  <si>
    <t>1BI22CD005</t>
  </si>
  <si>
    <t>ARYA B V</t>
  </si>
  <si>
    <t>1BI22CD053</t>
  </si>
  <si>
    <t>SINCHANA R P</t>
  </si>
  <si>
    <t>1BI22CD033</t>
  </si>
  <si>
    <t>PRIYAM KUMARI</t>
  </si>
  <si>
    <t>1BI22CD038</t>
  </si>
  <si>
    <t>RAVIKUMAR L</t>
  </si>
  <si>
    <t>1BI22CD029</t>
  </si>
  <si>
    <t>NITESH N</t>
  </si>
  <si>
    <t>1BI22CD042</t>
  </si>
  <si>
    <t>SAHANA H R</t>
  </si>
  <si>
    <t>1BI22CD007</t>
  </si>
  <si>
    <t>BHUMIKA P</t>
  </si>
  <si>
    <t>1BI22CD019</t>
  </si>
  <si>
    <t>KHUSHI KUMARI</t>
  </si>
  <si>
    <t>1BI22CD060</t>
  </si>
  <si>
    <t>VARCHAS V</t>
  </si>
  <si>
    <t>1BI22CD032</t>
  </si>
  <si>
    <t>PREETHAM GOWDA R</t>
  </si>
  <si>
    <t>1BI22CD014</t>
  </si>
  <si>
    <t>GOURAV CHAHAR</t>
  </si>
  <si>
    <t>1BI22CD024</t>
  </si>
  <si>
    <t>MANYASHREE P</t>
  </si>
  <si>
    <t>1BI22CD054</t>
  </si>
  <si>
    <t>SRASHTI</t>
  </si>
  <si>
    <t>1BI22CD059</t>
  </si>
  <si>
    <t>VAIBHAV KUMAR</t>
  </si>
  <si>
    <t>1BI22CD028</t>
  </si>
  <si>
    <t>NISHANT BHARDWAJ</t>
  </si>
  <si>
    <t>1BI22CD021</t>
  </si>
  <si>
    <t>KRUTHIKA S S</t>
  </si>
  <si>
    <t>1BI22CD056</t>
  </si>
  <si>
    <t>TANISH PANDEY</t>
  </si>
  <si>
    <t>1BI22CD009</t>
  </si>
  <si>
    <t>DARSHAN E</t>
  </si>
  <si>
    <t>1BI22CD001</t>
  </si>
  <si>
    <t>ANANYA BATTINENI</t>
  </si>
  <si>
    <t>1BI22CD030</t>
  </si>
  <si>
    <t>PAVAN D</t>
  </si>
  <si>
    <t>1BI22CD017</t>
  </si>
  <si>
    <t>JEEVAN K</t>
  </si>
  <si>
    <t>1BI22CD026</t>
  </si>
  <si>
    <t>MOHAMMED AMAAN</t>
  </si>
  <si>
    <t>1BI22CD037</t>
  </si>
  <si>
    <t>RAGHAVENDRA RAMESH DIVATE</t>
  </si>
  <si>
    <t>1BI22CD061</t>
  </si>
  <si>
    <t>VISHRUTHA S</t>
  </si>
  <si>
    <t>1BI22CD051</t>
  </si>
  <si>
    <t>SHREYAS RACHAPPA BAGALKOT</t>
  </si>
  <si>
    <t>1BI22CD012</t>
  </si>
  <si>
    <t>ESHWAR R</t>
  </si>
  <si>
    <t>1BI22CD040</t>
  </si>
  <si>
    <t>RUPESH KUMAR SINGH</t>
  </si>
  <si>
    <t>1BI22CD013</t>
  </si>
  <si>
    <t>G RAM CHARAN</t>
  </si>
  <si>
    <t>1BI22CD044</t>
  </si>
  <si>
    <t>SANYA RAMESH</t>
  </si>
  <si>
    <t>1BI22CD011</t>
  </si>
  <si>
    <t>DIA SHARMA</t>
  </si>
  <si>
    <t>1BI22CD036</t>
  </si>
  <si>
    <t>PUVVADI VENKATA TANAY</t>
  </si>
  <si>
    <t>1BI22CD022</t>
  </si>
  <si>
    <t>KUSHAL N</t>
  </si>
  <si>
    <t>1BI22CD046</t>
  </si>
  <si>
    <t>SARANG SINGH</t>
  </si>
  <si>
    <t>1BI22CD043</t>
  </si>
  <si>
    <t>SAIYAM JAIN H M</t>
  </si>
  <si>
    <t>1BI22CD020</t>
  </si>
  <si>
    <t>KRUTHIKA S</t>
  </si>
  <si>
    <t>1BI22CD050</t>
  </si>
  <si>
    <t>SHREELAKSHMI C GOWDA</t>
  </si>
  <si>
    <t>1BI22CD039</t>
  </si>
  <si>
    <t>REESHA L N PRABHU</t>
  </si>
  <si>
    <t>1BI22CD004</t>
  </si>
  <si>
    <t>ARVIND</t>
  </si>
  <si>
    <t>1BI22CD008</t>
  </si>
  <si>
    <t>CHARITHA D</t>
  </si>
  <si>
    <t>Sl</t>
  </si>
  <si>
    <t>NAME</t>
  </si>
  <si>
    <t>1St</t>
  </si>
  <si>
    <t>2nd</t>
  </si>
  <si>
    <t>3rd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</si>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</sst>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Arial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indexed="8"/>
      <name val="Calibri"/>
      <family val="2"/>
    </font>
    <font>
      <b/>
      <sz val="12"/>
      <name val="Times New Roman"/>
      <family val="1"/>
    </font>
    <font>
      <b/>
      <sz val="16"/>
      <color theme="1"/>
      <name val="Verdana"/>
      <family val="2"/>
    </font>
    <font>
      <b/>
      <sz val="8"/>
      <color rgb="FF000000"/>
      <name val="Verdana"/>
      <family val="2"/>
    </font>
    <font>
      <b/>
      <sz val="14"/>
      <color theme="1"/>
      <name val="Verdana"/>
      <family val="2"/>
    </font>
    <font>
      <b/>
      <sz val="16"/>
      <color theme="1"/>
      <name val="Times New Roman"/>
      <family val="1"/>
    </font>
    <font>
      <b/>
      <sz val="9"/>
      <name val="Times New Roman"/>
      <family val="1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name val="Arial"/>
      <family val="2"/>
    </font>
    <font>
      <sz val="12"/>
      <name val="Times New Roman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9" fontId="13" fillId="0" borderId="0"/>
  </cellStyleXfs>
  <cellXfs count="1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4" fillId="0" borderId="8" xfId="0" applyFont="1" applyBorder="1"/>
    <xf numFmtId="0" fontId="9" fillId="0" borderId="0" xfId="0" applyFont="1" applyAlignment="1">
      <alignment vertical="top" wrapText="1"/>
    </xf>
    <xf numFmtId="0" fontId="10" fillId="0" borderId="0" xfId="0" applyFont="1"/>
    <xf numFmtId="0" fontId="8" fillId="0" borderId="0" xfId="0" applyFont="1"/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4" fillId="3" borderId="0" xfId="0" applyFont="1" applyFill="1"/>
    <xf numFmtId="0" fontId="2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" fillId="0" borderId="11" xfId="0" applyFont="1" applyBorder="1"/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4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1" xfId="0" applyFont="1" applyFill="1" applyBorder="1"/>
    <xf numFmtId="2" fontId="2" fillId="4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0" fontId="16" fillId="0" borderId="0" xfId="0" applyFont="1"/>
    <xf numFmtId="0" fontId="17" fillId="0" borderId="6" xfId="1" applyFont="1" applyBorder="1" applyAlignment="1">
      <alignment horizontal="center" wrapText="1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0" fontId="17" fillId="0" borderId="7" xfId="1" applyFont="1" applyBorder="1" applyAlignment="1">
      <alignment horizontal="center"/>
    </xf>
    <xf numFmtId="0" fontId="17" fillId="0" borderId="0" xfId="1" applyFont="1" applyAlignment="1">
      <alignment horizontal="center"/>
    </xf>
    <xf numFmtId="9" fontId="17" fillId="0" borderId="5" xfId="2" applyFont="1" applyBorder="1" applyAlignment="1">
      <alignment horizontal="center"/>
    </xf>
    <xf numFmtId="0" fontId="17" fillId="0" borderId="5" xfId="1" applyFont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4" fillId="0" borderId="0" xfId="0" applyFont="1"/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2" fontId="19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0" fontId="19" fillId="0" borderId="1" xfId="0" applyFont="1" applyBorder="1"/>
    <xf numFmtId="0" fontId="21" fillId="0" borderId="1" xfId="0" applyFont="1" applyBorder="1" applyAlignment="1">
      <alignment vertical="center" wrapText="1"/>
    </xf>
    <xf numFmtId="0" fontId="0" fillId="0" borderId="1" xfId="0" applyBorder="1"/>
    <xf numFmtId="0" fontId="0" fillId="5" borderId="1" xfId="0" applyFill="1" applyBorder="1"/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1" xfId="0" applyFont="1" applyFill="1" applyBorder="1"/>
    <xf numFmtId="0" fontId="14" fillId="6" borderId="0" xfId="0" applyFont="1" applyFill="1"/>
    <xf numFmtId="2" fontId="2" fillId="6" borderId="1" xfId="0" applyNumberFormat="1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3" fillId="6" borderId="0" xfId="0" applyFont="1" applyFill="1"/>
    <xf numFmtId="0" fontId="2" fillId="0" borderId="3" xfId="0" applyFont="1" applyBorder="1" applyAlignment="1">
      <alignment horizontal="center" wrapText="1"/>
    </xf>
    <xf numFmtId="0" fontId="0" fillId="0" borderId="3" xfId="0" applyBorder="1"/>
    <xf numFmtId="0" fontId="3" fillId="0" borderId="3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1" fillId="0" borderId="0" xfId="0" applyFont="1" applyAlignment="1">
      <alignment horizontal="center"/>
    </xf>
  </cellXfs>
  <cellStyles count="3">
    <cellStyle name="Excel Built-in Normal" xfId="1" xr:uid="{00000000-0005-0000-0000-000001000000}"/>
    <cellStyle name="Normal" xfId="0" builtinId="0"/>
    <cellStyle name="Percent" xfId="2" builtinId="5"/>
  </cellStyles>
  <dxfs count="84"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color rgb="FFFFFF00"/>
      </font>
    </dxf>
    <dxf>
      <font>
        <color rgb="FFFF0000"/>
      </font>
    </dxf>
    <dxf>
      <font>
        <b/>
        <color rgb="FFFFFF00"/>
      </font>
    </dxf>
    <dxf>
      <font>
        <b/>
        <color rgb="FFFF0000"/>
      </font>
    </dxf>
    <dxf>
      <font>
        <b/>
        <i/>
        <color theme="7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color rgb="FFFF0000"/>
      </font>
    </dxf>
    <dxf>
      <font>
        <b/>
        <color rgb="FFFFFF00"/>
      </font>
    </dxf>
    <dxf>
      <font>
        <b/>
        <i/>
        <color theme="7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color rgb="FFFF0000"/>
      </font>
    </dxf>
    <dxf>
      <font>
        <b/>
        <i/>
        <color theme="7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i/>
        <color theme="7"/>
      </font>
    </dxf>
    <dxf>
      <font>
        <b/>
        <color rgb="FFFF0000"/>
      </font>
    </dxf>
    <dxf>
      <font>
        <b/>
        <color rgb="FFFFFF00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b/>
        <strike val="0"/>
        <sz val="11"/>
        <color rgb="FFFF0000"/>
        <name val="Calibri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83"/>
      <tableStyleElement type="headerRow" dxfId="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SubjectWise!$F$7</c:f>
              <c:strCache>
                <c:ptCount val="1"/>
                <c:pt idx="0">
                  <c:v>O%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SubjectWise!$F$8:$F$16</c:f>
              <c:numCache>
                <c:formatCode>General</c:formatCode>
                <c:ptCount val="9"/>
                <c:pt idx="0">
                  <c:v>8</c:v>
                </c:pt>
                <c:pt idx="1">
                  <c:v>14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19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6-4325-8396-487566664F77}"/>
            </c:ext>
          </c:extLst>
        </c:ser>
        <c:ser>
          <c:idx val="1"/>
          <c:order val="1"/>
          <c:tx>
            <c:strRef>
              <c:f>SubjectWise!$G$7</c:f>
              <c:strCache>
                <c:ptCount val="1"/>
                <c:pt idx="0">
                  <c:v>A+%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SubjectWise!$G$8:$G$16</c:f>
              <c:numCache>
                <c:formatCode>General</c:formatCode>
                <c:ptCount val="9"/>
                <c:pt idx="0">
                  <c:v>6</c:v>
                </c:pt>
                <c:pt idx="1">
                  <c:v>26</c:v>
                </c:pt>
                <c:pt idx="2">
                  <c:v>9</c:v>
                </c:pt>
                <c:pt idx="3">
                  <c:v>25</c:v>
                </c:pt>
                <c:pt idx="4">
                  <c:v>32</c:v>
                </c:pt>
                <c:pt idx="5">
                  <c:v>12</c:v>
                </c:pt>
                <c:pt idx="6">
                  <c:v>17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6-4325-8396-487566664F77}"/>
            </c:ext>
          </c:extLst>
        </c:ser>
        <c:ser>
          <c:idx val="2"/>
          <c:order val="2"/>
          <c:tx>
            <c:strRef>
              <c:f>SubjectWise!$H$7</c:f>
              <c:strCache>
                <c:ptCount val="1"/>
                <c:pt idx="0">
                  <c:v>A%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SubjectWise!$H$8:$H$16</c:f>
              <c:numCache>
                <c:formatCode>General</c:formatCode>
                <c:ptCount val="9"/>
                <c:pt idx="0">
                  <c:v>21</c:v>
                </c:pt>
                <c:pt idx="1">
                  <c:v>7</c:v>
                </c:pt>
                <c:pt idx="2">
                  <c:v>23</c:v>
                </c:pt>
                <c:pt idx="3">
                  <c:v>25</c:v>
                </c:pt>
                <c:pt idx="4">
                  <c:v>13</c:v>
                </c:pt>
                <c:pt idx="5">
                  <c:v>24</c:v>
                </c:pt>
                <c:pt idx="6">
                  <c:v>16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16-4325-8396-487566664F77}"/>
            </c:ext>
          </c:extLst>
        </c:ser>
        <c:ser>
          <c:idx val="3"/>
          <c:order val="3"/>
          <c:tx>
            <c:strRef>
              <c:f>SubjectWise!$I$7</c:f>
              <c:strCache>
                <c:ptCount val="1"/>
                <c:pt idx="0">
                  <c:v>B+%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SubjectWise!$I$8:$I$16</c:f>
              <c:numCache>
                <c:formatCode>General</c:formatCode>
                <c:ptCount val="9"/>
                <c:pt idx="0">
                  <c:v>12</c:v>
                </c:pt>
                <c:pt idx="1">
                  <c:v>5</c:v>
                </c:pt>
                <c:pt idx="2">
                  <c:v>13</c:v>
                </c:pt>
                <c:pt idx="3">
                  <c:v>2</c:v>
                </c:pt>
                <c:pt idx="4">
                  <c:v>3</c:v>
                </c:pt>
                <c:pt idx="5">
                  <c:v>15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16-4325-8396-487566664F77}"/>
            </c:ext>
          </c:extLst>
        </c:ser>
        <c:ser>
          <c:idx val="4"/>
          <c:order val="4"/>
          <c:tx>
            <c:strRef>
              <c:f>SubjectWise!$J$7</c:f>
              <c:strCache>
                <c:ptCount val="1"/>
                <c:pt idx="0">
                  <c:v>B%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SubjectWise!$J$8:$J$16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16-4325-8396-487566664F77}"/>
            </c:ext>
          </c:extLst>
        </c:ser>
        <c:ser>
          <c:idx val="5"/>
          <c:order val="5"/>
          <c:tx>
            <c:strRef>
              <c:f>SubjectWise!$K$7</c:f>
              <c:strCache>
                <c:ptCount val="1"/>
                <c:pt idx="0">
                  <c:v>C%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SubjectWise!$K$8:$K$16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16-4325-8396-487566664F77}"/>
            </c:ext>
          </c:extLst>
        </c:ser>
        <c:ser>
          <c:idx val="6"/>
          <c:order val="6"/>
          <c:tx>
            <c:strRef>
              <c:f>SubjectWise!$L$7</c:f>
              <c:strCache>
                <c:ptCount val="1"/>
                <c:pt idx="0">
                  <c:v>P%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SubjectWise!$L$8:$L$16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16-4325-8396-487566664F77}"/>
            </c:ext>
          </c:extLst>
        </c:ser>
        <c:ser>
          <c:idx val="7"/>
          <c:order val="7"/>
          <c:tx>
            <c:strRef>
              <c:f>SubjectWise!$M$7</c:f>
              <c:strCache>
                <c:ptCount val="1"/>
                <c:pt idx="0">
                  <c:v>F%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SubjectWise!$M$8:$M$16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16-4325-8396-487566664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199488"/>
        <c:axId val="259810432"/>
      </c:barChart>
      <c:catAx>
        <c:axId val="25719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9810432"/>
        <c:crosses val="autoZero"/>
        <c:auto val="1"/>
        <c:lblAlgn val="ctr"/>
        <c:lblOffset val="100"/>
        <c:noMultiLvlLbl val="0"/>
      </c:catAx>
      <c:valAx>
        <c:axId val="259810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199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6633995925334508E-2"/>
          <c:y val="0.12769949275088011"/>
          <c:w val="0.83698841840574123"/>
          <c:h val="0.74078836544649274"/>
        </c:manualLayout>
      </c:layout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FinalResult!$E$10:$M$10</c:f>
              <c:strCache>
                <c:ptCount val="9"/>
                <c:pt idx="0">
                  <c:v>TOTAL O% </c:v>
                </c:pt>
                <c:pt idx="1">
                  <c:v>TOTAL A+%</c:v>
                </c:pt>
                <c:pt idx="2">
                  <c:v>TOTAL A%</c:v>
                </c:pt>
                <c:pt idx="3">
                  <c:v>TOTAL B%</c:v>
                </c:pt>
                <c:pt idx="4">
                  <c:v>TOTAL B+%</c:v>
                </c:pt>
                <c:pt idx="5">
                  <c:v>TOTAL C%</c:v>
                </c:pt>
                <c:pt idx="6">
                  <c:v>TOTAL P%</c:v>
                </c:pt>
                <c:pt idx="7">
                  <c:v>TOTAL FAIL%</c:v>
                </c:pt>
                <c:pt idx="8">
                  <c:v>TOTAL PASS%</c:v>
                </c:pt>
              </c:strCache>
            </c:strRef>
          </c:cat>
          <c:val>
            <c:numRef>
              <c:f>FinalResult!$E$11:$M$11</c:f>
              <c:numCache>
                <c:formatCode>0%</c:formatCode>
                <c:ptCount val="9"/>
                <c:pt idx="0">
                  <c:v>0.21428571428571427</c:v>
                </c:pt>
                <c:pt idx="1">
                  <c:v>0.5357142857142857</c:v>
                </c:pt>
                <c:pt idx="2">
                  <c:v>0.14285714285714285</c:v>
                </c:pt>
                <c:pt idx="3">
                  <c:v>7.1428571428571425E-2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>
                  <c:v>3.5714285714285712E-2</c:v>
                </c:pt>
                <c:pt idx="8">
                  <c:v>0.9642857142857143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1-4544-9649-2D9CC9A42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768896"/>
        <c:axId val="154770432"/>
      </c:barChart>
      <c:catAx>
        <c:axId val="154768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4770432"/>
        <c:crosses val="autoZero"/>
        <c:auto val="1"/>
        <c:lblAlgn val="ctr"/>
        <c:lblOffset val="100"/>
        <c:noMultiLvlLbl val="0"/>
      </c:catAx>
      <c:valAx>
        <c:axId val="1547704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54768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216177</xdr:colOff>
      <xdr:row>0</xdr:row>
      <xdr:rowOff>127553</xdr:rowOff>
    </xdr:from>
    <xdr:to>
      <xdr:col>19</xdr:col>
      <xdr:colOff>1</xdr:colOff>
      <xdr:row>3</xdr:row>
      <xdr:rowOff>153726</xdr:rowOff>
    </xdr:to>
    <xdr:pic>
      <xdr:nvPicPr>
        <xdr:cNvPr id="2" name="Picture 1" descr="D:\CSE-Office-12-19\bit-logo-may202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01220" y="127553"/>
          <a:ext cx="718103" cy="821303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19</xdr:row>
      <xdr:rowOff>72390</xdr:rowOff>
    </xdr:from>
    <xdr:to>
      <xdr:col>14</xdr:col>
      <xdr:colOff>137160</xdr:colOff>
      <xdr:row>37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523875</xdr:colOff>
      <xdr:row>0</xdr:row>
      <xdr:rowOff>0</xdr:rowOff>
    </xdr:from>
    <xdr:to>
      <xdr:col>2</xdr:col>
      <xdr:colOff>381000</xdr:colOff>
      <xdr:row>2</xdr:row>
      <xdr:rowOff>160020</xdr:rowOff>
    </xdr:to>
    <xdr:pic>
      <xdr:nvPicPr>
        <xdr:cNvPr id="6" name="Picture 5" descr="D:\CSE-Office-12-19\bit-logo-may2020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2975" y="0"/>
          <a:ext cx="771525" cy="73914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12</xdr:row>
      <xdr:rowOff>76199</xdr:rowOff>
    </xdr:from>
    <xdr:to>
      <xdr:col>12</xdr:col>
      <xdr:colOff>285750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624841</xdr:colOff>
      <xdr:row>0</xdr:row>
      <xdr:rowOff>45721</xdr:rowOff>
    </xdr:from>
    <xdr:to>
      <xdr:col>2</xdr:col>
      <xdr:colOff>708660</xdr:colOff>
      <xdr:row>2</xdr:row>
      <xdr:rowOff>175260</xdr:rowOff>
    </xdr:to>
    <xdr:pic>
      <xdr:nvPicPr>
        <xdr:cNvPr id="3" name="Picture 1" descr="D:\CSE-Office-12-19\bit-logo-may2020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4841" y="45721"/>
          <a:ext cx="708659" cy="769619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350520</xdr:colOff>
      <xdr:row>0</xdr:row>
      <xdr:rowOff>38100</xdr:rowOff>
    </xdr:from>
    <xdr:to>
      <xdr:col>1</xdr:col>
      <xdr:colOff>419100</xdr:colOff>
      <xdr:row>2</xdr:row>
      <xdr:rowOff>182880</xdr:rowOff>
    </xdr:to>
    <xdr:pic>
      <xdr:nvPicPr>
        <xdr:cNvPr id="2" name="Picture 1" descr="D:\CSE-Office-12-19\bit-logo-may2020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0520" y="38100"/>
          <a:ext cx="739140" cy="75438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216177</xdr:colOff>
      <xdr:row>0</xdr:row>
      <xdr:rowOff>127553</xdr:rowOff>
    </xdr:from>
    <xdr:to>
      <xdr:col>84</xdr:col>
      <xdr:colOff>12424</xdr:colOff>
      <xdr:row>3</xdr:row>
      <xdr:rowOff>106101</xdr:rowOff>
    </xdr:to>
    <xdr:pic>
      <xdr:nvPicPr>
        <xdr:cNvPr id="2" name="Picture 1" descr="D:\CSE-Office-12-19\bit-logo-may2020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31452" y="127553"/>
          <a:ext cx="726799" cy="835798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907"/>
  <sheetViews>
    <sheetView zoomScaleNormal="100" workbookViewId="0">
      <selection activeCell="BF10" sqref="BF10"/>
    </sheetView>
  </sheetViews>
  <sheetFormatPr defaultColWidth="12.59765625" defaultRowHeight="15" customHeight="1" x14ac:dyDescent="0.25"/>
  <cols>
    <col min="1" max="1" width="6" style="1" customWidth="1"/>
    <col min="2" max="2" width="12.19921875" style="1" customWidth="1"/>
    <col min="3" max="3" width="32.3984375" style="1" customWidth="1"/>
    <col min="4" max="4" width="3.8984375" style="17" customWidth="1"/>
    <col min="5" max="5" width="4" style="20" customWidth="1"/>
    <col min="6" max="10" width="4.09765625" style="20" customWidth="1"/>
    <col min="11" max="13" width="4.09765625" style="1" customWidth="1"/>
    <col min="14" max="18" width="4.09765625" style="20" customWidth="1"/>
    <col min="19" max="20" width="4.09765625" style="1" customWidth="1"/>
    <col min="21" max="21" width="4.8984375" style="1" customWidth="1"/>
    <col min="22" max="23" width="4.09765625" style="1" customWidth="1"/>
    <col min="24" max="24" width="4.3984375" style="1" customWidth="1"/>
    <col min="25" max="33" width="4.09765625" style="1" customWidth="1"/>
    <col min="34" max="34" width="3.59765625" style="1" customWidth="1"/>
    <col min="35" max="38" width="4.09765625" style="1" customWidth="1"/>
    <col min="39" max="39" width="4.69921875" style="1" customWidth="1"/>
    <col min="40" max="78" width="4.09765625" style="1" customWidth="1"/>
    <col min="79" max="79" width="6.69921875" style="1" customWidth="1"/>
    <col min="80" max="80" width="5.59765625" style="20" customWidth="1"/>
    <col min="81" max="82" width="5.59765625" style="1" customWidth="1"/>
    <col min="83" max="84" width="5.59765625" style="20" customWidth="1"/>
    <col min="85" max="86" width="5.59765625" style="1" customWidth="1"/>
    <col min="87" max="87" width="10.19921875" style="1" customWidth="1"/>
    <col min="88" max="109" width="5.59765625" style="1" customWidth="1"/>
    <col min="110" max="110" width="12.59765625" style="1" customWidth="1"/>
    <col min="111" max="16384" width="12.59765625" style="1"/>
  </cols>
  <sheetData>
    <row r="1" spans="1:88" ht="21" customHeight="1" x14ac:dyDescent="0.3">
      <c r="A1" s="107" t="s">
        <v>0</v>
      </c>
      <c r="B1" s="101"/>
      <c r="C1" s="101"/>
      <c r="D1" s="102"/>
      <c r="E1" s="103"/>
      <c r="F1" s="103"/>
      <c r="G1" s="103"/>
      <c r="H1" s="103"/>
      <c r="I1" s="103"/>
      <c r="J1" s="103"/>
      <c r="K1" s="101"/>
      <c r="L1" s="101"/>
      <c r="M1" s="101"/>
      <c r="N1" s="103"/>
      <c r="O1" s="103"/>
      <c r="P1" s="103"/>
      <c r="Q1" s="103"/>
      <c r="R1" s="103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</row>
    <row r="2" spans="1:88" ht="29.25" customHeight="1" x14ac:dyDescent="0.25">
      <c r="A2" s="106" t="s">
        <v>1</v>
      </c>
      <c r="B2" s="101"/>
      <c r="C2" s="101"/>
      <c r="D2" s="102"/>
      <c r="E2" s="103"/>
      <c r="F2" s="103"/>
      <c r="G2" s="103"/>
      <c r="H2" s="103"/>
      <c r="I2" s="103"/>
      <c r="J2" s="103"/>
      <c r="K2" s="101"/>
      <c r="L2" s="101"/>
      <c r="M2" s="101"/>
      <c r="N2" s="103"/>
      <c r="O2" s="103"/>
      <c r="P2" s="103"/>
      <c r="Q2" s="103"/>
      <c r="R2" s="103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</row>
    <row r="3" spans="1:88" ht="13.5" customHeight="1" x14ac:dyDescent="0.3">
      <c r="A3" s="100" t="s">
        <v>2</v>
      </c>
      <c r="B3" s="101"/>
      <c r="C3" s="101"/>
      <c r="D3" s="102"/>
      <c r="E3" s="103"/>
      <c r="F3" s="103"/>
      <c r="G3" s="103"/>
      <c r="H3" s="103"/>
      <c r="I3" s="103"/>
      <c r="J3" s="103"/>
      <c r="K3" s="101"/>
      <c r="L3" s="101"/>
      <c r="M3" s="101"/>
      <c r="N3" s="103"/>
      <c r="O3" s="103"/>
      <c r="P3" s="103"/>
      <c r="Q3" s="103"/>
      <c r="R3" s="103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</row>
    <row r="4" spans="1:88" ht="23.25" customHeight="1" x14ac:dyDescent="0.3">
      <c r="A4" s="107" t="s">
        <v>3</v>
      </c>
      <c r="B4" s="101"/>
      <c r="C4" s="101"/>
      <c r="D4" s="102"/>
      <c r="E4" s="103"/>
      <c r="F4" s="103"/>
      <c r="G4" s="103"/>
      <c r="H4" s="103"/>
      <c r="I4" s="103"/>
      <c r="J4" s="103"/>
      <c r="K4" s="101"/>
      <c r="L4" s="101"/>
      <c r="M4" s="101"/>
      <c r="N4" s="103"/>
      <c r="O4" s="103"/>
      <c r="P4" s="103"/>
      <c r="Q4" s="103"/>
      <c r="R4" s="103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</row>
    <row r="5" spans="1:88" ht="30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</row>
    <row r="6" spans="1:88" ht="30" customHeight="1" x14ac:dyDescent="0.3">
      <c r="A6" s="12"/>
      <c r="B6" s="12"/>
      <c r="C6" s="13"/>
      <c r="D6" s="108" t="s">
        <v>4</v>
      </c>
      <c r="E6" s="98"/>
      <c r="F6" s="98"/>
      <c r="G6" s="98"/>
      <c r="H6" s="98"/>
      <c r="I6" s="98"/>
      <c r="J6" s="98"/>
      <c r="K6" s="98"/>
      <c r="L6" s="98"/>
      <c r="M6" s="14"/>
      <c r="N6" s="99" t="s">
        <v>5</v>
      </c>
      <c r="O6" s="98"/>
      <c r="P6" s="98"/>
      <c r="Q6" s="98"/>
      <c r="R6" s="98"/>
      <c r="S6" s="98"/>
      <c r="T6" s="98"/>
      <c r="U6" s="98"/>
      <c r="W6" s="97" t="s">
        <v>6</v>
      </c>
      <c r="X6" s="98"/>
      <c r="Y6" s="98"/>
      <c r="Z6" s="98"/>
      <c r="AA6" s="98"/>
      <c r="AB6" s="98"/>
      <c r="AC6" s="98"/>
      <c r="AD6" s="98"/>
      <c r="AF6" s="99" t="s">
        <v>7</v>
      </c>
      <c r="AG6" s="98"/>
      <c r="AH6" s="98"/>
      <c r="AI6" s="98"/>
      <c r="AJ6" s="98"/>
      <c r="AK6" s="98"/>
      <c r="AL6" s="98"/>
      <c r="AM6" s="98"/>
      <c r="AO6" s="99" t="s">
        <v>8</v>
      </c>
      <c r="AP6" s="98"/>
      <c r="AQ6" s="98"/>
      <c r="AR6" s="98"/>
      <c r="AS6" s="98"/>
      <c r="AT6" s="98"/>
      <c r="AU6" s="98"/>
      <c r="AV6" s="98"/>
      <c r="AX6" s="99" t="s">
        <v>9</v>
      </c>
      <c r="AY6" s="98"/>
      <c r="AZ6" s="98"/>
      <c r="BA6" s="98"/>
      <c r="BB6" s="98"/>
      <c r="BC6" s="98"/>
      <c r="BD6" s="98"/>
      <c r="BE6" s="98"/>
      <c r="BG6" s="99" t="s">
        <v>10</v>
      </c>
      <c r="BH6" s="98"/>
      <c r="BI6" s="98"/>
      <c r="BJ6" s="98"/>
      <c r="BK6" s="98"/>
      <c r="BL6" s="98"/>
      <c r="BM6" s="98"/>
      <c r="BN6" s="98"/>
      <c r="BP6" s="99" t="s">
        <v>11</v>
      </c>
      <c r="BQ6" s="98"/>
      <c r="BR6" s="98"/>
      <c r="BS6" s="98"/>
      <c r="BT6" s="98"/>
      <c r="BU6" s="98"/>
      <c r="BV6" s="98"/>
      <c r="BW6" s="98"/>
      <c r="BX6" s="20"/>
    </row>
    <row r="7" spans="1:88" ht="30" customHeight="1" x14ac:dyDescent="0.25">
      <c r="A7" s="4" t="s">
        <v>12</v>
      </c>
      <c r="B7" s="36" t="s">
        <v>13</v>
      </c>
      <c r="C7" s="36" t="s">
        <v>14</v>
      </c>
      <c r="D7" s="4" t="s">
        <v>15</v>
      </c>
      <c r="E7" s="15" t="s">
        <v>16</v>
      </c>
      <c r="F7" s="4" t="s">
        <v>17</v>
      </c>
      <c r="G7" s="4" t="s">
        <v>18</v>
      </c>
      <c r="H7" s="4" t="s">
        <v>19</v>
      </c>
      <c r="I7" s="4" t="s">
        <v>20</v>
      </c>
      <c r="J7" s="4" t="s">
        <v>21</v>
      </c>
      <c r="K7" s="4" t="s">
        <v>22</v>
      </c>
      <c r="L7" s="16" t="s">
        <v>23</v>
      </c>
      <c r="M7" s="17"/>
      <c r="N7" s="15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16" t="s">
        <v>23</v>
      </c>
      <c r="V7" s="17"/>
      <c r="W7" s="15" t="s">
        <v>24</v>
      </c>
      <c r="X7" s="4" t="s">
        <v>17</v>
      </c>
      <c r="Y7" s="4" t="s">
        <v>18</v>
      </c>
      <c r="Z7" s="4" t="s">
        <v>19</v>
      </c>
      <c r="AA7" s="4" t="s">
        <v>20</v>
      </c>
      <c r="AB7" s="4" t="s">
        <v>21</v>
      </c>
      <c r="AC7" s="4" t="s">
        <v>22</v>
      </c>
      <c r="AD7" s="16" t="s">
        <v>23</v>
      </c>
      <c r="AE7" s="17"/>
      <c r="AF7" s="15" t="s">
        <v>24</v>
      </c>
      <c r="AG7" s="4" t="s">
        <v>17</v>
      </c>
      <c r="AH7" s="4" t="s">
        <v>18</v>
      </c>
      <c r="AI7" s="4" t="s">
        <v>19</v>
      </c>
      <c r="AJ7" s="4" t="s">
        <v>20</v>
      </c>
      <c r="AK7" s="4" t="s">
        <v>21</v>
      </c>
      <c r="AL7" s="4" t="s">
        <v>22</v>
      </c>
      <c r="AM7" s="16" t="s">
        <v>23</v>
      </c>
      <c r="AN7" s="17"/>
      <c r="AO7" s="15" t="s">
        <v>24</v>
      </c>
      <c r="AP7" s="4" t="s">
        <v>17</v>
      </c>
      <c r="AQ7" s="4" t="s">
        <v>18</v>
      </c>
      <c r="AR7" s="4" t="s">
        <v>19</v>
      </c>
      <c r="AS7" s="4" t="s">
        <v>20</v>
      </c>
      <c r="AT7" s="4" t="s">
        <v>21</v>
      </c>
      <c r="AU7" s="4" t="s">
        <v>22</v>
      </c>
      <c r="AV7" s="16" t="s">
        <v>23</v>
      </c>
      <c r="AW7" s="17"/>
      <c r="AX7" s="15" t="s">
        <v>24</v>
      </c>
      <c r="AY7" s="4" t="s">
        <v>17</v>
      </c>
      <c r="AZ7" s="4" t="s">
        <v>18</v>
      </c>
      <c r="BA7" s="4" t="s">
        <v>19</v>
      </c>
      <c r="BB7" s="4" t="s">
        <v>20</v>
      </c>
      <c r="BC7" s="4" t="s">
        <v>21</v>
      </c>
      <c r="BD7" s="4" t="s">
        <v>22</v>
      </c>
      <c r="BE7" s="16" t="s">
        <v>23</v>
      </c>
      <c r="BF7" s="17"/>
      <c r="BG7" s="15" t="s">
        <v>24</v>
      </c>
      <c r="BH7" s="4" t="s">
        <v>17</v>
      </c>
      <c r="BI7" s="4" t="s">
        <v>18</v>
      </c>
      <c r="BJ7" s="4" t="s">
        <v>19</v>
      </c>
      <c r="BK7" s="4" t="s">
        <v>20</v>
      </c>
      <c r="BL7" s="4" t="s">
        <v>21</v>
      </c>
      <c r="BM7" s="4" t="s">
        <v>22</v>
      </c>
      <c r="BN7" s="16" t="s">
        <v>23</v>
      </c>
      <c r="BO7" s="17"/>
      <c r="BP7" s="15" t="s">
        <v>24</v>
      </c>
      <c r="BQ7" s="4" t="s">
        <v>17</v>
      </c>
      <c r="BR7" s="4" t="s">
        <v>18</v>
      </c>
      <c r="BS7" s="4" t="s">
        <v>19</v>
      </c>
      <c r="BT7" s="4" t="s">
        <v>20</v>
      </c>
      <c r="BU7" s="4" t="s">
        <v>21</v>
      </c>
      <c r="BV7" s="4" t="s">
        <v>22</v>
      </c>
      <c r="BW7" s="16" t="s">
        <v>23</v>
      </c>
      <c r="BX7" s="16"/>
      <c r="BY7" s="17"/>
      <c r="BZ7" s="17"/>
      <c r="CA7" s="17" t="s">
        <v>25</v>
      </c>
      <c r="CB7" s="48" t="s">
        <v>26</v>
      </c>
      <c r="CC7" s="23" t="s">
        <v>27</v>
      </c>
      <c r="CE7" s="48" t="s">
        <v>28</v>
      </c>
      <c r="CF7" s="48" t="s">
        <v>27</v>
      </c>
    </row>
    <row r="8" spans="1:88" ht="15.75" customHeight="1" x14ac:dyDescent="0.3">
      <c r="A8" s="35">
        <v>1</v>
      </c>
      <c r="B8" s="85" t="s">
        <v>29</v>
      </c>
      <c r="C8" s="85" t="s">
        <v>30</v>
      </c>
      <c r="D8" s="47" t="s">
        <v>31</v>
      </c>
      <c r="E8" s="9">
        <v>20</v>
      </c>
      <c r="F8" s="9">
        <v>43</v>
      </c>
      <c r="G8" s="9"/>
      <c r="H8" s="18">
        <f t="shared" ref="H8:H39" si="0">SUM(E8:F8)</f>
        <v>63</v>
      </c>
      <c r="I8" s="18">
        <v>4</v>
      </c>
      <c r="J8" s="18" t="str">
        <f t="shared" ref="J8:J39" si="1">IF(F8&lt;=17,"0",IF(H8&lt;=39,"0",IF(H8&lt;=49,"4",IF(H8&lt;=54,"5",IF(H8&lt;=59,"6",IF(H8&lt;=69,"7",IF(H8&lt;=79,"8",IF(H8&lt;=89,"9","10"))))))))</f>
        <v>7</v>
      </c>
      <c r="K8" s="18" t="str">
        <f t="shared" ref="K8:K39" si="2">IF(F8&lt;=17,"F",IF(H8&lt;=39,"F",IF(H8&lt;=49,"P",IF(H8&lt;=54,"C",IF(H8&lt;=59,"B",IF(H8&lt;=69,"B+",IF(H8&lt;=79,"A",IF(H8&lt;=89,"A+","O"))))))))</f>
        <v>B+</v>
      </c>
      <c r="L8" s="18">
        <f t="shared" ref="L8:L39" si="3">I8*J8</f>
        <v>28</v>
      </c>
      <c r="M8" s="18"/>
      <c r="N8" s="9">
        <v>29</v>
      </c>
      <c r="O8" s="9">
        <v>47</v>
      </c>
      <c r="P8" s="9"/>
      <c r="Q8" s="18">
        <f t="shared" ref="Q8:Q39" si="4">SUM(N8:O8)</f>
        <v>76</v>
      </c>
      <c r="R8" s="18">
        <v>4</v>
      </c>
      <c r="S8" s="18" t="str">
        <f t="shared" ref="S8:S39" si="5">IF(O8&lt;=17,"0",IF(Q8&lt;=39,"4",IF(Q8&lt;=49,"4",IF(Q8&lt;=54,"5",IF(Q8&lt;=59,"6",IF(Q8&lt;=69,"7",IF(Q8&lt;=79,"8",IF(Q8&lt;=89,"9","10"))))))))</f>
        <v>8</v>
      </c>
      <c r="T8" s="18" t="str">
        <f t="shared" ref="T8:T39" si="6">IF(O8&lt;=17,"F",IF(Q8&lt;=39,"F",IF(Q8&lt;=49,"P",IF(Q8&lt;=54,"C",IF(Q8&lt;=59,"B",IF(Q8&lt;=69,"B+",IF(Q8&lt;=79,"A",IF(Q8&lt;=89,"A+","O"))))))))</f>
        <v>A</v>
      </c>
      <c r="U8" s="18">
        <f t="shared" ref="U8:U39" si="7">R8*S8</f>
        <v>32</v>
      </c>
      <c r="V8" s="18"/>
      <c r="W8" s="9">
        <v>31</v>
      </c>
      <c r="X8" s="9">
        <v>41</v>
      </c>
      <c r="Y8" s="18"/>
      <c r="Z8" s="18">
        <f t="shared" ref="Z8:Z39" si="8">SUM(W8:X8)</f>
        <v>72</v>
      </c>
      <c r="AA8" s="18">
        <v>3</v>
      </c>
      <c r="AB8" s="18" t="str">
        <f t="shared" ref="AB8:AB39" si="9">IF(X8&lt;=17,"0",IF(Z8&lt;=39,"0",IF(Z8&lt;=49,"4",IF(Z8&lt;=54,"5",IF(Z8&lt;=59,"6",IF(Z8&lt;=69,"7",IF(Z8&lt;=79,"8",IF(Z8&lt;=89,"9","10"))))))))</f>
        <v>8</v>
      </c>
      <c r="AC8" s="18" t="str">
        <f t="shared" ref="AC8:AC39" si="10">IF(X8&lt;=17,"F",IF(Z8&lt;=39,"F",IF(Z8&lt;=49,"P",IF(Z8&lt;=54,"C",IF(Z8&lt;=59,"B",IF(Z8&lt;=69,"B+",IF(Z8&lt;=79,"A",IF(Z8&lt;=89,"A+","O"))))))))</f>
        <v>A</v>
      </c>
      <c r="AD8" s="18">
        <f t="shared" ref="AD8:AD39" si="11">AA8*AB8</f>
        <v>24</v>
      </c>
      <c r="AE8" s="18"/>
      <c r="AF8" s="46">
        <v>26</v>
      </c>
      <c r="AG8" s="46">
        <v>41</v>
      </c>
      <c r="AH8" s="9"/>
      <c r="AI8" s="18">
        <f t="shared" ref="AI8:AI39" si="12">SUM(AF8:AG8)</f>
        <v>67</v>
      </c>
      <c r="AJ8" s="18">
        <v>3</v>
      </c>
      <c r="AK8" s="18" t="str">
        <f t="shared" ref="AK8:AK39" si="13">IF(AG8&lt;=17,"0",IF(AI8&lt;=39,"0",IF(AI8&lt;=49,"4",IF(AI8&lt;=54,"5",IF(AI8&lt;=59,"6",IF(AI8&lt;=69,"7",IF(AI8&lt;=79,"8",IF(AI8&lt;=89,"9","10"))))))))</f>
        <v>7</v>
      </c>
      <c r="AL8" s="18" t="str">
        <f t="shared" ref="AL8:AL39" si="14">IF(AG8&lt;=17,"F",IF(AI8&lt;=39,"F",IF(AI8&lt;=49,"P",IF(AI8&lt;=54,"C",IF(AI8&lt;=59,"B",IF(AI8&lt;=69,"B+",IF(AI8&lt;=79,"A",IF(AI8&lt;=89,"A+","O"))))))))</f>
        <v>B+</v>
      </c>
      <c r="AM8" s="18">
        <f t="shared" ref="AM8:AM39" si="15">AJ8*AK8</f>
        <v>21</v>
      </c>
      <c r="AN8" s="18"/>
      <c r="AO8" s="46">
        <v>41</v>
      </c>
      <c r="AP8" s="46">
        <v>44</v>
      </c>
      <c r="AQ8" s="9"/>
      <c r="AR8" s="18">
        <f t="shared" ref="AR8:AR39" si="16">(AO8+AP8)</f>
        <v>85</v>
      </c>
      <c r="AS8" s="18">
        <v>3</v>
      </c>
      <c r="AT8" s="18" t="str">
        <f t="shared" ref="AT8:AT39" si="17">IF(AP8&lt;=17,"0",IF(AR8&lt;=39,"0",IF(AR8&lt;=49,"4",IF(AR8&lt;=54,"5",IF(AR8&lt;=59,"6",IF(AR8&lt;=69,"7",IF(AR8&lt;=79,"8",IF(AR8&lt;=89,"9","10"))))))))</f>
        <v>9</v>
      </c>
      <c r="AU8" s="18" t="str">
        <f t="shared" ref="AU8:AU39" si="18">IF(AP8&lt;=17,"F",IF(AR8&lt;=39,"F",IF(AR8&lt;=49,"P",IF(AR8&lt;=54,"C",IF(AR8&lt;=59,"B",IF(AR8&lt;=69,"B+",IF(AR8&lt;=79,"A",IF(AR8&lt;=89,"A+","O"))))))))</f>
        <v>A+</v>
      </c>
      <c r="AV8" s="18">
        <f t="shared" ref="AV8:AV39" si="19">AS8*AT8</f>
        <v>27</v>
      </c>
      <c r="AW8" s="18"/>
      <c r="AX8" s="9">
        <v>25</v>
      </c>
      <c r="AY8" s="9">
        <v>41</v>
      </c>
      <c r="AZ8" s="9"/>
      <c r="BA8" s="18">
        <f t="shared" ref="BA8:BA39" si="20">(AX8+AY8)</f>
        <v>66</v>
      </c>
      <c r="BB8" s="18">
        <v>1</v>
      </c>
      <c r="BC8" s="18" t="str">
        <f t="shared" ref="BC8:BC39" si="21">IF(AY8&lt;=17,"0",IF(BA8&lt;=39,"0",IF(BA8&lt;=49,"4",IF(BA8&lt;=54,"5",IF(BA8&lt;=59,"6",IF(BA8&lt;=69,"7",IF(BA8&lt;=79,"8",IF(BA8&lt;=89,"9","10"))))))))</f>
        <v>7</v>
      </c>
      <c r="BD8" s="18" t="str">
        <f t="shared" ref="BD8:BD39" si="22">IF(AY8&lt;=17,"F",IF(BA8&lt;=39,"F",IF(BA8&lt;=49,"P",IF(BA8&lt;=54,"C",IF(BA8&lt;=59,"B",IF(BA8&lt;=69,"B+",IF(BA8&lt;=79,"A",IF(BA8&lt;=89,"A+","O"))))))))</f>
        <v>B+</v>
      </c>
      <c r="BE8" s="18">
        <f t="shared" ref="BE8:BE39" si="23">BB8*BC8</f>
        <v>7</v>
      </c>
      <c r="BF8" s="43" t="s">
        <v>32</v>
      </c>
      <c r="BG8" s="9">
        <v>31</v>
      </c>
      <c r="BH8" s="9">
        <v>43</v>
      </c>
      <c r="BI8" s="9"/>
      <c r="BJ8" s="18">
        <f t="shared" ref="BJ8:BJ39" si="24">(BG8+BH8)</f>
        <v>74</v>
      </c>
      <c r="BK8" s="18">
        <v>1</v>
      </c>
      <c r="BL8" s="18" t="str">
        <f t="shared" ref="BL8:BL39" si="25">IF(BH8&lt;=17,"0",IF(BJ8&lt;=39,"0",IF(BJ8&lt;=49,"4",IF(BJ8&lt;=54,"5",IF(BJ8&lt;=59,"6",IF(BJ8&lt;=69,"7",IF(BJ8&lt;=79,"8",IF(BJ8&lt;=89,"9","10"))))))))</f>
        <v>8</v>
      </c>
      <c r="BM8" s="18" t="str">
        <f t="shared" ref="BM8:BM39" si="26">IF(BH8&lt;=17,"F",IF(BJ8&lt;=39,"F",IF(BJ8&lt;=49,"P",IF(BJ8&lt;=54,"C",IF(BJ8&lt;=59,"B",IF(BJ8&lt;=69,"B+",IF(BJ8&lt;=79,"A",IF(BJ8&lt;=89,"A+","O"))))))))</f>
        <v>A</v>
      </c>
      <c r="BN8" s="18">
        <f t="shared" ref="BN8:BN39" si="27">BK8*BL8</f>
        <v>8</v>
      </c>
      <c r="BO8" s="18"/>
      <c r="BP8" s="9">
        <v>31</v>
      </c>
      <c r="BQ8" s="9">
        <v>580</v>
      </c>
      <c r="BR8" s="9"/>
      <c r="BS8" s="18">
        <f t="shared" ref="BS8:BS39" si="28">(BP8+BQ8)</f>
        <v>611</v>
      </c>
      <c r="BT8" s="18">
        <v>1</v>
      </c>
      <c r="BU8" s="18" t="str">
        <f t="shared" ref="BU8:BU39" si="29">IF(BQ8&lt;=17,"0",IF(BS8&lt;=39,"0",IF(BS8&lt;=49,"4",IF(BS8&lt;=54,"5",IF(BS8&lt;=59,"6",IF(BS8&lt;=69,"7",IF(BS8&lt;=79,"8",IF(BS8&lt;=89,"9","10"))))))))</f>
        <v>10</v>
      </c>
      <c r="BV8" s="18" t="str">
        <f t="shared" ref="BV8:BV39" si="30">IF(BQ8&lt;=17,"F",IF(BS8&lt;=39,"F",IF(BS8&lt;=49,"P",IF(BS8&lt;=54,"C",IF(BS8&lt;=59,"B",IF(BS8&lt;=69,"B+",IF(BS8&lt;=79,"A",IF(BS8&lt;=89,"A+","O"))))))))</f>
        <v>O</v>
      </c>
      <c r="BW8" s="18">
        <f t="shared" ref="BW8:BW39" si="31">BT8*BU8</f>
        <v>10</v>
      </c>
      <c r="BX8" s="18"/>
      <c r="BY8" s="18"/>
      <c r="BZ8" s="18">
        <f t="shared" ref="BZ8:BZ39" si="32">L8+U8+AD8+AM8+AV8+BE8+BN8+BW8</f>
        <v>157</v>
      </c>
      <c r="CA8" s="19">
        <f t="shared" ref="CA8:CA39" si="33">BZ8/20</f>
        <v>7.85</v>
      </c>
      <c r="CB8" s="28" t="str">
        <f t="shared" ref="CB8:CB39" si="34">IF(CA8&lt;4,"F",IF(BV8="F","F",IF(BM8="F","F",IF(BD8="F","F",IF(AU8="F","F",IF(AL8="F","F",IF(AC8="F","F",IF(T8="F","F",IF(K8="F","F",IF(CA8&lt;=5,"C",IF(CA8&lt;6,"B",IF(CA8&lt;7,"B+",IF(CA8&lt;8,"A",IF(CA8&lt;=9,"A+","O"))))))))))))))</f>
        <v>A</v>
      </c>
      <c r="CC8" s="27">
        <f t="shared" ref="CC8:CC39" si="35">CA8*9.5</f>
        <v>74.575000000000003</v>
      </c>
      <c r="CD8" s="27"/>
      <c r="CE8" s="28">
        <f t="shared" ref="CE8:CE39" si="36">SUM(BS8,BJ8,BA8,AR8,AI8,Z8,Q8,H8)</f>
        <v>1114</v>
      </c>
      <c r="CF8" s="28">
        <f t="shared" ref="CF8:CF39" si="37">(CE8/800)*100</f>
        <v>139.25</v>
      </c>
      <c r="CG8" s="27"/>
      <c r="CH8" s="27"/>
      <c r="CI8" s="27" t="str">
        <f>IF(CA8&lt;=4,"F",IF(CA8&lt;=6,"PASS",IF(CA8&lt;=6.5,"SC",IF(CA8&lt;=7.5,"FC",IF(CA8&lt;="10","FCD")))))</f>
        <v>FCD</v>
      </c>
    </row>
    <row r="9" spans="1:88" ht="15.75" customHeight="1" x14ac:dyDescent="0.3">
      <c r="A9" s="35">
        <f t="shared" ref="A9:A40" si="38">A8+1</f>
        <v>2</v>
      </c>
      <c r="B9" s="85" t="s">
        <v>33</v>
      </c>
      <c r="C9" s="85" t="s">
        <v>34</v>
      </c>
      <c r="D9" s="47" t="s">
        <v>31</v>
      </c>
      <c r="E9" s="53">
        <v>30</v>
      </c>
      <c r="F9" s="53">
        <v>47</v>
      </c>
      <c r="G9" s="9"/>
      <c r="H9" s="18">
        <f t="shared" si="0"/>
        <v>77</v>
      </c>
      <c r="I9" s="18">
        <v>4</v>
      </c>
      <c r="J9" s="18" t="str">
        <f t="shared" si="1"/>
        <v>8</v>
      </c>
      <c r="K9" s="18" t="str">
        <f t="shared" si="2"/>
        <v>A</v>
      </c>
      <c r="L9" s="18">
        <f t="shared" si="3"/>
        <v>32</v>
      </c>
      <c r="M9" s="18"/>
      <c r="N9" s="9">
        <v>35</v>
      </c>
      <c r="O9" s="9">
        <v>48</v>
      </c>
      <c r="P9" s="9"/>
      <c r="Q9" s="18">
        <f t="shared" si="4"/>
        <v>83</v>
      </c>
      <c r="R9" s="18">
        <v>4</v>
      </c>
      <c r="S9" s="18" t="str">
        <f t="shared" si="5"/>
        <v>9</v>
      </c>
      <c r="T9" s="18" t="str">
        <f t="shared" si="6"/>
        <v>A+</v>
      </c>
      <c r="U9" s="18">
        <f t="shared" si="7"/>
        <v>36</v>
      </c>
      <c r="V9" s="18"/>
      <c r="W9" s="9">
        <v>43</v>
      </c>
      <c r="X9" s="9">
        <v>46</v>
      </c>
      <c r="Y9" s="18"/>
      <c r="Z9" s="18">
        <f t="shared" si="8"/>
        <v>89</v>
      </c>
      <c r="AA9" s="18">
        <v>3</v>
      </c>
      <c r="AB9" s="18" t="str">
        <f t="shared" si="9"/>
        <v>9</v>
      </c>
      <c r="AC9" s="18" t="str">
        <f t="shared" si="10"/>
        <v>A+</v>
      </c>
      <c r="AD9" s="18">
        <f t="shared" si="11"/>
        <v>27</v>
      </c>
      <c r="AE9" s="18"/>
      <c r="AF9" s="46">
        <v>36</v>
      </c>
      <c r="AG9" s="46">
        <v>48</v>
      </c>
      <c r="AH9" s="9"/>
      <c r="AI9" s="18">
        <f t="shared" si="12"/>
        <v>84</v>
      </c>
      <c r="AJ9" s="18">
        <v>3</v>
      </c>
      <c r="AK9" s="18" t="str">
        <f t="shared" si="13"/>
        <v>9</v>
      </c>
      <c r="AL9" s="18" t="str">
        <f t="shared" si="14"/>
        <v>A+</v>
      </c>
      <c r="AM9" s="18">
        <f t="shared" si="15"/>
        <v>27</v>
      </c>
      <c r="AO9" s="9">
        <v>41</v>
      </c>
      <c r="AP9" s="46">
        <v>45</v>
      </c>
      <c r="AQ9" s="9"/>
      <c r="AR9" s="18">
        <f t="shared" si="16"/>
        <v>86</v>
      </c>
      <c r="AS9" s="18">
        <v>3</v>
      </c>
      <c r="AT9" s="18" t="str">
        <f t="shared" si="17"/>
        <v>9</v>
      </c>
      <c r="AU9" s="18" t="str">
        <f t="shared" si="18"/>
        <v>A+</v>
      </c>
      <c r="AV9" s="18">
        <f t="shared" si="19"/>
        <v>27</v>
      </c>
      <c r="AW9" s="18"/>
      <c r="AX9" s="9">
        <v>29</v>
      </c>
      <c r="AY9" s="9">
        <v>43</v>
      </c>
      <c r="AZ9" s="9"/>
      <c r="BA9" s="18">
        <f t="shared" si="20"/>
        <v>72</v>
      </c>
      <c r="BB9" s="18">
        <v>1</v>
      </c>
      <c r="BC9" s="18" t="str">
        <f t="shared" si="21"/>
        <v>8</v>
      </c>
      <c r="BD9" s="18" t="str">
        <f t="shared" si="22"/>
        <v>A</v>
      </c>
      <c r="BE9" s="18">
        <f t="shared" si="23"/>
        <v>8</v>
      </c>
      <c r="BF9" s="43" t="s">
        <v>35</v>
      </c>
      <c r="BG9" s="9">
        <v>37</v>
      </c>
      <c r="BH9" s="9">
        <v>47</v>
      </c>
      <c r="BI9" s="9"/>
      <c r="BJ9" s="18">
        <f t="shared" si="24"/>
        <v>84</v>
      </c>
      <c r="BK9" s="18">
        <v>1</v>
      </c>
      <c r="BL9" s="18" t="str">
        <f t="shared" si="25"/>
        <v>9</v>
      </c>
      <c r="BM9" s="18" t="str">
        <f t="shared" si="26"/>
        <v>A+</v>
      </c>
      <c r="BN9" s="18">
        <f t="shared" si="27"/>
        <v>9</v>
      </c>
      <c r="BO9" s="18"/>
      <c r="BP9" s="9">
        <v>32</v>
      </c>
      <c r="BQ9" s="9">
        <v>655</v>
      </c>
      <c r="BR9" s="9"/>
      <c r="BS9" s="18">
        <f t="shared" si="28"/>
        <v>687</v>
      </c>
      <c r="BT9" s="18">
        <v>1</v>
      </c>
      <c r="BU9" s="18" t="str">
        <f t="shared" si="29"/>
        <v>10</v>
      </c>
      <c r="BV9" s="18" t="str">
        <f t="shared" si="30"/>
        <v>O</v>
      </c>
      <c r="BW9" s="18">
        <f t="shared" si="31"/>
        <v>10</v>
      </c>
      <c r="BX9" s="18"/>
      <c r="BY9" s="18"/>
      <c r="BZ9" s="18">
        <f t="shared" si="32"/>
        <v>176</v>
      </c>
      <c r="CA9" s="19">
        <f t="shared" si="33"/>
        <v>8.8000000000000007</v>
      </c>
      <c r="CB9" s="28" t="str">
        <f t="shared" si="34"/>
        <v>A+</v>
      </c>
      <c r="CC9" s="27">
        <f t="shared" si="35"/>
        <v>83.600000000000009</v>
      </c>
      <c r="CD9" s="27"/>
      <c r="CE9" s="28">
        <f t="shared" si="36"/>
        <v>1262</v>
      </c>
      <c r="CF9" s="28">
        <f t="shared" si="37"/>
        <v>157.75</v>
      </c>
      <c r="CG9" s="27"/>
      <c r="CH9" s="27"/>
      <c r="CI9" s="27" t="str">
        <f>IF(CA9&lt;=4,"F",IF(CA9&lt;=6,"PASS",IF(CA9&lt;=6.5,"SC",IF(CA9&lt;=7.5,"FC",IF(CA9&lt;="10","FCD")))))</f>
        <v>FCD</v>
      </c>
    </row>
    <row r="10" spans="1:88" ht="15.75" customHeight="1" x14ac:dyDescent="0.3">
      <c r="A10" s="35">
        <f t="shared" si="38"/>
        <v>3</v>
      </c>
      <c r="B10" s="85" t="s">
        <v>36</v>
      </c>
      <c r="C10" s="85" t="s">
        <v>37</v>
      </c>
      <c r="D10" s="47" t="s">
        <v>31</v>
      </c>
      <c r="E10" s="9">
        <v>35</v>
      </c>
      <c r="F10" s="9">
        <v>49</v>
      </c>
      <c r="G10" s="9"/>
      <c r="H10" s="18">
        <f t="shared" si="0"/>
        <v>84</v>
      </c>
      <c r="I10" s="18">
        <v>4</v>
      </c>
      <c r="J10" s="18" t="str">
        <f t="shared" si="1"/>
        <v>9</v>
      </c>
      <c r="K10" s="18" t="str">
        <f t="shared" si="2"/>
        <v>A+</v>
      </c>
      <c r="L10" s="18">
        <f t="shared" si="3"/>
        <v>36</v>
      </c>
      <c r="M10" s="18"/>
      <c r="N10" s="9">
        <v>49</v>
      </c>
      <c r="O10" s="9">
        <v>48</v>
      </c>
      <c r="P10" s="9"/>
      <c r="Q10" s="18">
        <f t="shared" si="4"/>
        <v>97</v>
      </c>
      <c r="R10" s="18">
        <v>4</v>
      </c>
      <c r="S10" s="18" t="str">
        <f t="shared" si="5"/>
        <v>10</v>
      </c>
      <c r="T10" s="18" t="str">
        <f t="shared" si="6"/>
        <v>O</v>
      </c>
      <c r="U10" s="18">
        <f t="shared" si="7"/>
        <v>40</v>
      </c>
      <c r="V10" s="18"/>
      <c r="W10" s="9">
        <v>46</v>
      </c>
      <c r="X10" s="9">
        <v>47</v>
      </c>
      <c r="Y10" s="18"/>
      <c r="Z10" s="18">
        <f t="shared" si="8"/>
        <v>93</v>
      </c>
      <c r="AA10" s="18">
        <v>3</v>
      </c>
      <c r="AB10" s="18" t="str">
        <f t="shared" si="9"/>
        <v>10</v>
      </c>
      <c r="AC10" s="18" t="str">
        <f t="shared" si="10"/>
        <v>O</v>
      </c>
      <c r="AD10" s="18">
        <f t="shared" si="11"/>
        <v>30</v>
      </c>
      <c r="AE10" s="18"/>
      <c r="AF10" s="46">
        <v>40</v>
      </c>
      <c r="AG10" s="46">
        <v>48</v>
      </c>
      <c r="AH10" s="9"/>
      <c r="AI10" s="18">
        <f t="shared" si="12"/>
        <v>88</v>
      </c>
      <c r="AJ10" s="18">
        <v>3</v>
      </c>
      <c r="AK10" s="18" t="str">
        <f t="shared" si="13"/>
        <v>9</v>
      </c>
      <c r="AL10" s="18" t="str">
        <f t="shared" si="14"/>
        <v>A+</v>
      </c>
      <c r="AM10" s="18">
        <f t="shared" si="15"/>
        <v>27</v>
      </c>
      <c r="AN10" s="18"/>
      <c r="AO10" s="46">
        <v>44</v>
      </c>
      <c r="AP10" s="46">
        <v>45</v>
      </c>
      <c r="AQ10" s="9"/>
      <c r="AR10" s="18">
        <f t="shared" si="16"/>
        <v>89</v>
      </c>
      <c r="AS10" s="18">
        <v>3</v>
      </c>
      <c r="AT10" s="18" t="str">
        <f t="shared" si="17"/>
        <v>9</v>
      </c>
      <c r="AU10" s="18" t="str">
        <f t="shared" si="18"/>
        <v>A+</v>
      </c>
      <c r="AV10" s="18">
        <f t="shared" si="19"/>
        <v>27</v>
      </c>
      <c r="AW10" s="18"/>
      <c r="AX10" s="9">
        <v>34</v>
      </c>
      <c r="AY10" s="9">
        <v>47</v>
      </c>
      <c r="AZ10" s="9"/>
      <c r="BA10" s="18">
        <f t="shared" si="20"/>
        <v>81</v>
      </c>
      <c r="BB10" s="18">
        <v>1</v>
      </c>
      <c r="BC10" s="18" t="str">
        <f t="shared" si="21"/>
        <v>9</v>
      </c>
      <c r="BD10" s="18" t="str">
        <f t="shared" si="22"/>
        <v>A+</v>
      </c>
      <c r="BE10" s="18">
        <f t="shared" si="23"/>
        <v>9</v>
      </c>
      <c r="BF10" s="43" t="s">
        <v>32</v>
      </c>
      <c r="BG10" s="9">
        <v>40</v>
      </c>
      <c r="BH10" s="9">
        <v>48</v>
      </c>
      <c r="BI10" s="9"/>
      <c r="BJ10" s="18">
        <f t="shared" si="24"/>
        <v>88</v>
      </c>
      <c r="BK10" s="18">
        <v>1</v>
      </c>
      <c r="BL10" s="18" t="str">
        <f t="shared" si="25"/>
        <v>9</v>
      </c>
      <c r="BM10" s="18" t="str">
        <f t="shared" si="26"/>
        <v>A+</v>
      </c>
      <c r="BN10" s="18">
        <f t="shared" si="27"/>
        <v>9</v>
      </c>
      <c r="BO10" s="18"/>
      <c r="BP10" s="9">
        <v>35</v>
      </c>
      <c r="BQ10" s="9">
        <v>705</v>
      </c>
      <c r="BR10" s="9"/>
      <c r="BS10" s="18">
        <f t="shared" si="28"/>
        <v>740</v>
      </c>
      <c r="BT10" s="18">
        <v>1</v>
      </c>
      <c r="BU10" s="18" t="str">
        <f t="shared" si="29"/>
        <v>10</v>
      </c>
      <c r="BV10" s="18" t="str">
        <f t="shared" si="30"/>
        <v>O</v>
      </c>
      <c r="BW10" s="18">
        <f t="shared" si="31"/>
        <v>10</v>
      </c>
      <c r="BX10" s="18"/>
      <c r="BY10" s="18"/>
      <c r="BZ10" s="18">
        <f t="shared" si="32"/>
        <v>188</v>
      </c>
      <c r="CA10" s="19">
        <f t="shared" si="33"/>
        <v>9.4</v>
      </c>
      <c r="CB10" s="28" t="str">
        <f t="shared" si="34"/>
        <v>O</v>
      </c>
      <c r="CC10" s="27">
        <f t="shared" si="35"/>
        <v>89.3</v>
      </c>
      <c r="CD10" s="27"/>
      <c r="CE10" s="28">
        <f t="shared" si="36"/>
        <v>1360</v>
      </c>
      <c r="CF10" s="28">
        <f t="shared" si="37"/>
        <v>170</v>
      </c>
      <c r="CG10" s="27"/>
      <c r="CH10" s="27"/>
      <c r="CI10" s="27" t="str">
        <f>IF(CA10&lt;=4,"F",IF(CA10&lt;=6,"PASS",IF(CA10&lt;=6.5,"SC",IF(CA10&lt;=7.5,"FC",IF(CA10&lt;="10","FCD")))))</f>
        <v>FCD</v>
      </c>
    </row>
    <row r="11" spans="1:88" s="59" customFormat="1" ht="15.75" customHeight="1" x14ac:dyDescent="0.3">
      <c r="A11" s="87">
        <f t="shared" si="38"/>
        <v>4</v>
      </c>
      <c r="B11" s="86" t="s">
        <v>38</v>
      </c>
      <c r="C11" s="86" t="s">
        <v>39</v>
      </c>
      <c r="D11" s="88" t="s">
        <v>31</v>
      </c>
      <c r="E11" s="53">
        <v>18</v>
      </c>
      <c r="F11" s="53">
        <v>38</v>
      </c>
      <c r="G11" s="89"/>
      <c r="H11" s="90">
        <f t="shared" si="0"/>
        <v>56</v>
      </c>
      <c r="I11" s="90">
        <v>4</v>
      </c>
      <c r="J11" s="90" t="str">
        <f t="shared" si="1"/>
        <v>6</v>
      </c>
      <c r="K11" s="90" t="str">
        <f t="shared" si="2"/>
        <v>B</v>
      </c>
      <c r="L11" s="90">
        <f t="shared" si="3"/>
        <v>24</v>
      </c>
      <c r="M11" s="90"/>
      <c r="N11" s="89">
        <v>24</v>
      </c>
      <c r="O11" s="89">
        <v>34</v>
      </c>
      <c r="P11" s="89"/>
      <c r="Q11" s="90">
        <f t="shared" si="4"/>
        <v>58</v>
      </c>
      <c r="R11" s="90">
        <v>4</v>
      </c>
      <c r="S11" s="90" t="str">
        <f t="shared" si="5"/>
        <v>6</v>
      </c>
      <c r="T11" s="90" t="str">
        <f t="shared" si="6"/>
        <v>B</v>
      </c>
      <c r="U11" s="90">
        <f t="shared" si="7"/>
        <v>24</v>
      </c>
      <c r="V11" s="90"/>
      <c r="W11" s="89">
        <v>18</v>
      </c>
      <c r="X11" s="89">
        <v>42</v>
      </c>
      <c r="Y11" s="90"/>
      <c r="Z11" s="90">
        <f t="shared" si="8"/>
        <v>60</v>
      </c>
      <c r="AA11" s="90">
        <v>3</v>
      </c>
      <c r="AB11" s="90" t="str">
        <f t="shared" si="9"/>
        <v>7</v>
      </c>
      <c r="AC11" s="90" t="str">
        <f t="shared" si="10"/>
        <v>B+</v>
      </c>
      <c r="AD11" s="90">
        <f t="shared" si="11"/>
        <v>21</v>
      </c>
      <c r="AE11" s="90"/>
      <c r="AF11" s="91">
        <v>37</v>
      </c>
      <c r="AG11" s="91">
        <v>39</v>
      </c>
      <c r="AH11" s="89"/>
      <c r="AI11" s="90">
        <f t="shared" si="12"/>
        <v>76</v>
      </c>
      <c r="AJ11" s="90">
        <v>3</v>
      </c>
      <c r="AK11" s="90" t="str">
        <f t="shared" si="13"/>
        <v>8</v>
      </c>
      <c r="AL11" s="90" t="str">
        <f t="shared" si="14"/>
        <v>A</v>
      </c>
      <c r="AM11" s="90">
        <f t="shared" si="15"/>
        <v>24</v>
      </c>
      <c r="AN11" s="90"/>
      <c r="AO11" s="91">
        <v>41</v>
      </c>
      <c r="AP11" s="91">
        <v>30</v>
      </c>
      <c r="AQ11" s="89"/>
      <c r="AR11" s="90">
        <f t="shared" si="16"/>
        <v>71</v>
      </c>
      <c r="AS11" s="90">
        <v>3</v>
      </c>
      <c r="AT11" s="90" t="str">
        <f t="shared" si="17"/>
        <v>8</v>
      </c>
      <c r="AU11" s="90" t="str">
        <f t="shared" si="18"/>
        <v>A</v>
      </c>
      <c r="AV11" s="90">
        <f t="shared" si="19"/>
        <v>24</v>
      </c>
      <c r="AW11" s="90"/>
      <c r="AX11" s="89">
        <v>33</v>
      </c>
      <c r="AY11" s="89">
        <v>32</v>
      </c>
      <c r="AZ11" s="89"/>
      <c r="BA11" s="90">
        <f t="shared" si="20"/>
        <v>65</v>
      </c>
      <c r="BB11" s="90">
        <v>1</v>
      </c>
      <c r="BC11" s="90" t="str">
        <f t="shared" si="21"/>
        <v>7</v>
      </c>
      <c r="BD11" s="90" t="str">
        <f t="shared" si="22"/>
        <v>B+</v>
      </c>
      <c r="BE11" s="90">
        <f t="shared" si="23"/>
        <v>7</v>
      </c>
      <c r="BF11" s="92" t="s">
        <v>35</v>
      </c>
      <c r="BG11" s="89">
        <v>13</v>
      </c>
      <c r="BH11" s="89">
        <v>32</v>
      </c>
      <c r="BI11" s="89"/>
      <c r="BJ11" s="90">
        <f t="shared" si="24"/>
        <v>45</v>
      </c>
      <c r="BK11" s="90">
        <v>1</v>
      </c>
      <c r="BL11" s="90" t="str">
        <f t="shared" si="25"/>
        <v>4</v>
      </c>
      <c r="BM11" s="90" t="str">
        <f t="shared" si="26"/>
        <v>P</v>
      </c>
      <c r="BN11" s="90">
        <f t="shared" si="27"/>
        <v>4</v>
      </c>
      <c r="BO11" s="90"/>
      <c r="BP11" s="89">
        <v>10</v>
      </c>
      <c r="BQ11" s="89">
        <v>486</v>
      </c>
      <c r="BR11" s="89"/>
      <c r="BS11" s="90">
        <f t="shared" si="28"/>
        <v>496</v>
      </c>
      <c r="BT11" s="90">
        <v>1</v>
      </c>
      <c r="BU11" s="90" t="str">
        <f t="shared" si="29"/>
        <v>10</v>
      </c>
      <c r="BV11" s="90" t="str">
        <f t="shared" si="30"/>
        <v>O</v>
      </c>
      <c r="BW11" s="90">
        <f t="shared" si="31"/>
        <v>10</v>
      </c>
      <c r="BX11" s="90"/>
      <c r="BY11" s="90"/>
      <c r="BZ11" s="90">
        <f t="shared" si="32"/>
        <v>138</v>
      </c>
      <c r="CA11" s="93">
        <f t="shared" si="33"/>
        <v>6.9</v>
      </c>
      <c r="CB11" s="94" t="str">
        <f t="shared" si="34"/>
        <v>B+</v>
      </c>
      <c r="CC11" s="95">
        <f t="shared" si="35"/>
        <v>65.55</v>
      </c>
      <c r="CD11" s="95"/>
      <c r="CE11" s="94">
        <f t="shared" si="36"/>
        <v>927</v>
      </c>
      <c r="CF11" s="94">
        <f t="shared" si="37"/>
        <v>115.875</v>
      </c>
      <c r="CG11" s="95"/>
      <c r="CH11" s="95"/>
      <c r="CI11" s="95" t="s">
        <v>40</v>
      </c>
      <c r="CJ11" s="96"/>
    </row>
    <row r="12" spans="1:88" ht="15.75" customHeight="1" x14ac:dyDescent="0.3">
      <c r="A12" s="35">
        <f t="shared" si="38"/>
        <v>5</v>
      </c>
      <c r="B12" s="85" t="s">
        <v>41</v>
      </c>
      <c r="C12" s="85" t="s">
        <v>42</v>
      </c>
      <c r="D12" s="47" t="s">
        <v>31</v>
      </c>
      <c r="E12" s="9">
        <v>31</v>
      </c>
      <c r="F12" s="9">
        <v>43</v>
      </c>
      <c r="G12" s="9"/>
      <c r="H12" s="18">
        <f t="shared" si="0"/>
        <v>74</v>
      </c>
      <c r="I12" s="18">
        <v>4</v>
      </c>
      <c r="J12" s="18" t="str">
        <f t="shared" si="1"/>
        <v>8</v>
      </c>
      <c r="K12" s="18" t="str">
        <f t="shared" si="2"/>
        <v>A</v>
      </c>
      <c r="L12" s="18">
        <f t="shared" si="3"/>
        <v>32</v>
      </c>
      <c r="M12" s="18"/>
      <c r="N12" s="9">
        <v>37</v>
      </c>
      <c r="O12" s="9">
        <v>49</v>
      </c>
      <c r="P12" s="9"/>
      <c r="Q12" s="18">
        <f t="shared" si="4"/>
        <v>86</v>
      </c>
      <c r="R12" s="18">
        <v>4</v>
      </c>
      <c r="S12" s="18" t="str">
        <f t="shared" si="5"/>
        <v>9</v>
      </c>
      <c r="T12" s="18" t="str">
        <f t="shared" si="6"/>
        <v>A+</v>
      </c>
      <c r="U12" s="18">
        <f t="shared" si="7"/>
        <v>36</v>
      </c>
      <c r="V12" s="18"/>
      <c r="W12" s="9">
        <v>35</v>
      </c>
      <c r="X12" s="9">
        <v>45</v>
      </c>
      <c r="Y12" s="18"/>
      <c r="Z12" s="18">
        <f t="shared" si="8"/>
        <v>80</v>
      </c>
      <c r="AA12" s="18">
        <v>3</v>
      </c>
      <c r="AB12" s="18" t="str">
        <f t="shared" si="9"/>
        <v>9</v>
      </c>
      <c r="AC12" s="18" t="str">
        <f t="shared" si="10"/>
        <v>A+</v>
      </c>
      <c r="AD12" s="18">
        <f t="shared" si="11"/>
        <v>27</v>
      </c>
      <c r="AE12" s="18"/>
      <c r="AF12" s="46">
        <v>36</v>
      </c>
      <c r="AG12" s="46">
        <v>49</v>
      </c>
      <c r="AH12" s="9"/>
      <c r="AI12" s="18">
        <f t="shared" si="12"/>
        <v>85</v>
      </c>
      <c r="AJ12" s="18">
        <v>3</v>
      </c>
      <c r="AK12" s="18" t="str">
        <f t="shared" si="13"/>
        <v>9</v>
      </c>
      <c r="AL12" s="18" t="str">
        <f t="shared" si="14"/>
        <v>A+</v>
      </c>
      <c r="AM12" s="18">
        <f t="shared" si="15"/>
        <v>27</v>
      </c>
      <c r="AN12" s="18"/>
      <c r="AO12" s="46">
        <v>39</v>
      </c>
      <c r="AP12" s="46">
        <v>38</v>
      </c>
      <c r="AQ12" s="9"/>
      <c r="AR12" s="18">
        <f t="shared" si="16"/>
        <v>77</v>
      </c>
      <c r="AS12" s="18">
        <v>3</v>
      </c>
      <c r="AT12" s="18" t="str">
        <f t="shared" si="17"/>
        <v>8</v>
      </c>
      <c r="AU12" s="18" t="str">
        <f t="shared" si="18"/>
        <v>A</v>
      </c>
      <c r="AV12" s="18">
        <f t="shared" si="19"/>
        <v>24</v>
      </c>
      <c r="AW12" s="18"/>
      <c r="AX12" s="9">
        <v>37</v>
      </c>
      <c r="AY12" s="9">
        <v>44</v>
      </c>
      <c r="AZ12" s="9"/>
      <c r="BA12" s="18">
        <f t="shared" si="20"/>
        <v>81</v>
      </c>
      <c r="BB12" s="18">
        <v>1</v>
      </c>
      <c r="BC12" s="18" t="str">
        <f t="shared" si="21"/>
        <v>9</v>
      </c>
      <c r="BD12" s="18" t="str">
        <f t="shared" si="22"/>
        <v>A+</v>
      </c>
      <c r="BE12" s="18">
        <f t="shared" si="23"/>
        <v>9</v>
      </c>
      <c r="BF12" s="43" t="s">
        <v>35</v>
      </c>
      <c r="BG12" s="9">
        <v>30</v>
      </c>
      <c r="BH12" s="9">
        <v>43</v>
      </c>
      <c r="BI12" s="9"/>
      <c r="BJ12" s="18">
        <f t="shared" si="24"/>
        <v>73</v>
      </c>
      <c r="BK12" s="18">
        <v>1</v>
      </c>
      <c r="BL12" s="18" t="str">
        <f t="shared" si="25"/>
        <v>8</v>
      </c>
      <c r="BM12" s="18" t="str">
        <f t="shared" si="26"/>
        <v>A</v>
      </c>
      <c r="BN12" s="18">
        <f t="shared" si="27"/>
        <v>8</v>
      </c>
      <c r="BO12" s="18"/>
      <c r="BP12" s="9">
        <v>27</v>
      </c>
      <c r="BQ12" s="9">
        <v>629</v>
      </c>
      <c r="BR12" s="9"/>
      <c r="BS12" s="18">
        <f t="shared" si="28"/>
        <v>656</v>
      </c>
      <c r="BT12" s="18">
        <v>1</v>
      </c>
      <c r="BU12" s="18" t="str">
        <f t="shared" si="29"/>
        <v>10</v>
      </c>
      <c r="BV12" s="18" t="str">
        <f t="shared" si="30"/>
        <v>O</v>
      </c>
      <c r="BW12" s="18">
        <f t="shared" si="31"/>
        <v>10</v>
      </c>
      <c r="BX12" s="18"/>
      <c r="BY12" s="18"/>
      <c r="BZ12" s="18">
        <f t="shared" si="32"/>
        <v>173</v>
      </c>
      <c r="CA12" s="19">
        <f t="shared" si="33"/>
        <v>8.65</v>
      </c>
      <c r="CB12" s="28" t="str">
        <f t="shared" si="34"/>
        <v>A+</v>
      </c>
      <c r="CC12" s="27">
        <f t="shared" si="35"/>
        <v>82.174999999999997</v>
      </c>
      <c r="CD12" s="27"/>
      <c r="CE12" s="28">
        <f t="shared" si="36"/>
        <v>1212</v>
      </c>
      <c r="CF12" s="28">
        <f t="shared" si="37"/>
        <v>151.5</v>
      </c>
      <c r="CG12" s="27"/>
      <c r="CH12" s="27"/>
      <c r="CI12" s="27" t="str">
        <f t="shared" ref="CI12:CI43" si="39">IF(CA12&lt;=4,"F",IF(CA12&lt;=6,"PASS",IF(CA12&lt;=6.5,"SC",IF(CA12&lt;=7.5,"FC",IF(CA12&lt;="10","FCD")))))</f>
        <v>FCD</v>
      </c>
    </row>
    <row r="13" spans="1:88" ht="15.75" customHeight="1" x14ac:dyDescent="0.3">
      <c r="A13" s="35">
        <f t="shared" si="38"/>
        <v>6</v>
      </c>
      <c r="B13" s="85" t="s">
        <v>43</v>
      </c>
      <c r="C13" s="85" t="s">
        <v>44</v>
      </c>
      <c r="D13" s="47" t="s">
        <v>31</v>
      </c>
      <c r="E13" s="9">
        <v>26</v>
      </c>
      <c r="F13" s="9">
        <v>44</v>
      </c>
      <c r="G13" s="9"/>
      <c r="H13" s="18">
        <f t="shared" si="0"/>
        <v>70</v>
      </c>
      <c r="I13" s="18">
        <v>4</v>
      </c>
      <c r="J13" s="18" t="str">
        <f t="shared" si="1"/>
        <v>8</v>
      </c>
      <c r="K13" s="18" t="str">
        <f t="shared" si="2"/>
        <v>A</v>
      </c>
      <c r="L13" s="18">
        <f t="shared" si="3"/>
        <v>32</v>
      </c>
      <c r="M13" s="18"/>
      <c r="N13" s="9">
        <v>40</v>
      </c>
      <c r="O13" s="9">
        <v>44</v>
      </c>
      <c r="P13" s="9"/>
      <c r="Q13" s="18">
        <f t="shared" si="4"/>
        <v>84</v>
      </c>
      <c r="R13" s="18">
        <v>4</v>
      </c>
      <c r="S13" s="18" t="str">
        <f t="shared" si="5"/>
        <v>9</v>
      </c>
      <c r="T13" s="18" t="str">
        <f t="shared" si="6"/>
        <v>A+</v>
      </c>
      <c r="U13" s="18">
        <f t="shared" si="7"/>
        <v>36</v>
      </c>
      <c r="V13" s="18"/>
      <c r="W13" s="9">
        <v>20</v>
      </c>
      <c r="X13" s="9">
        <v>44</v>
      </c>
      <c r="Y13" s="18"/>
      <c r="Z13" s="18">
        <f t="shared" si="8"/>
        <v>64</v>
      </c>
      <c r="AA13" s="18">
        <v>3</v>
      </c>
      <c r="AB13" s="18" t="str">
        <f t="shared" si="9"/>
        <v>7</v>
      </c>
      <c r="AC13" s="18" t="str">
        <f t="shared" si="10"/>
        <v>B+</v>
      </c>
      <c r="AD13" s="18">
        <f t="shared" si="11"/>
        <v>21</v>
      </c>
      <c r="AE13" s="18"/>
      <c r="AF13" s="46">
        <v>31</v>
      </c>
      <c r="AG13" s="46">
        <v>45</v>
      </c>
      <c r="AH13" s="9"/>
      <c r="AI13" s="18">
        <f t="shared" si="12"/>
        <v>76</v>
      </c>
      <c r="AJ13" s="18">
        <v>3</v>
      </c>
      <c r="AK13" s="18" t="str">
        <f t="shared" si="13"/>
        <v>8</v>
      </c>
      <c r="AL13" s="18" t="str">
        <f t="shared" si="14"/>
        <v>A</v>
      </c>
      <c r="AM13" s="18">
        <f t="shared" si="15"/>
        <v>24</v>
      </c>
      <c r="AN13" s="18"/>
      <c r="AO13" s="46">
        <v>26</v>
      </c>
      <c r="AP13" s="46">
        <v>42</v>
      </c>
      <c r="AQ13" s="9"/>
      <c r="AR13" s="18">
        <f t="shared" si="16"/>
        <v>68</v>
      </c>
      <c r="AS13" s="18">
        <v>3</v>
      </c>
      <c r="AT13" s="18" t="str">
        <f t="shared" si="17"/>
        <v>7</v>
      </c>
      <c r="AU13" s="18" t="str">
        <f t="shared" si="18"/>
        <v>B+</v>
      </c>
      <c r="AV13" s="18">
        <f t="shared" si="19"/>
        <v>21</v>
      </c>
      <c r="AW13" s="18"/>
      <c r="AX13" s="9">
        <v>25</v>
      </c>
      <c r="AY13" s="9">
        <v>44</v>
      </c>
      <c r="AZ13" s="9"/>
      <c r="BA13" s="18">
        <f t="shared" si="20"/>
        <v>69</v>
      </c>
      <c r="BB13" s="18">
        <v>1</v>
      </c>
      <c r="BC13" s="18" t="str">
        <f t="shared" si="21"/>
        <v>7</v>
      </c>
      <c r="BD13" s="18" t="str">
        <f t="shared" si="22"/>
        <v>B+</v>
      </c>
      <c r="BE13" s="18">
        <f t="shared" si="23"/>
        <v>7</v>
      </c>
      <c r="BF13" s="43" t="s">
        <v>35</v>
      </c>
      <c r="BG13" s="9">
        <v>23</v>
      </c>
      <c r="BH13" s="9">
        <v>43</v>
      </c>
      <c r="BI13" s="9"/>
      <c r="BJ13" s="18">
        <f t="shared" si="24"/>
        <v>66</v>
      </c>
      <c r="BK13" s="18">
        <v>1</v>
      </c>
      <c r="BL13" s="18" t="str">
        <f t="shared" si="25"/>
        <v>7</v>
      </c>
      <c r="BM13" s="18" t="str">
        <f t="shared" si="26"/>
        <v>B+</v>
      </c>
      <c r="BN13" s="18">
        <f t="shared" si="27"/>
        <v>7</v>
      </c>
      <c r="BO13" s="18"/>
      <c r="BP13" s="9">
        <v>11</v>
      </c>
      <c r="BQ13" s="9">
        <v>552</v>
      </c>
      <c r="BR13" s="9"/>
      <c r="BS13" s="18">
        <f t="shared" si="28"/>
        <v>563</v>
      </c>
      <c r="BT13" s="18">
        <v>1</v>
      </c>
      <c r="BU13" s="18" t="str">
        <f t="shared" si="29"/>
        <v>10</v>
      </c>
      <c r="BV13" s="18" t="str">
        <f t="shared" si="30"/>
        <v>O</v>
      </c>
      <c r="BW13" s="18">
        <f t="shared" si="31"/>
        <v>10</v>
      </c>
      <c r="BX13" s="18"/>
      <c r="BY13" s="18"/>
      <c r="BZ13" s="18">
        <f t="shared" si="32"/>
        <v>158</v>
      </c>
      <c r="CA13" s="19">
        <f t="shared" si="33"/>
        <v>7.9</v>
      </c>
      <c r="CB13" s="28" t="str">
        <f t="shared" si="34"/>
        <v>A</v>
      </c>
      <c r="CC13" s="27">
        <f t="shared" si="35"/>
        <v>75.05</v>
      </c>
      <c r="CD13" s="27"/>
      <c r="CE13" s="28">
        <f t="shared" si="36"/>
        <v>1060</v>
      </c>
      <c r="CF13" s="28">
        <f t="shared" si="37"/>
        <v>132.5</v>
      </c>
      <c r="CG13" s="27"/>
      <c r="CH13" s="27"/>
      <c r="CI13" s="27" t="str">
        <f t="shared" si="39"/>
        <v>FCD</v>
      </c>
    </row>
    <row r="14" spans="1:88" ht="15.75" customHeight="1" x14ac:dyDescent="0.3">
      <c r="A14" s="35">
        <f t="shared" si="38"/>
        <v>7</v>
      </c>
      <c r="B14" s="85" t="s">
        <v>45</v>
      </c>
      <c r="C14" s="85" t="s">
        <v>46</v>
      </c>
      <c r="D14" s="47" t="s">
        <v>31</v>
      </c>
      <c r="E14" s="9">
        <v>25</v>
      </c>
      <c r="F14" s="9">
        <v>49</v>
      </c>
      <c r="G14" s="9"/>
      <c r="H14" s="18">
        <f t="shared" si="0"/>
        <v>74</v>
      </c>
      <c r="I14" s="18">
        <v>4</v>
      </c>
      <c r="J14" s="18" t="str">
        <f t="shared" si="1"/>
        <v>8</v>
      </c>
      <c r="K14" s="18" t="str">
        <f t="shared" si="2"/>
        <v>A</v>
      </c>
      <c r="L14" s="18">
        <f t="shared" si="3"/>
        <v>32</v>
      </c>
      <c r="M14" s="18"/>
      <c r="N14" s="9">
        <v>32</v>
      </c>
      <c r="O14" s="9">
        <v>48</v>
      </c>
      <c r="P14" s="9"/>
      <c r="Q14" s="18">
        <f t="shared" si="4"/>
        <v>80</v>
      </c>
      <c r="R14" s="18">
        <v>4</v>
      </c>
      <c r="S14" s="18" t="str">
        <f t="shared" si="5"/>
        <v>9</v>
      </c>
      <c r="T14" s="18" t="str">
        <f t="shared" si="6"/>
        <v>A+</v>
      </c>
      <c r="U14" s="18">
        <f t="shared" si="7"/>
        <v>36</v>
      </c>
      <c r="V14" s="18"/>
      <c r="W14" s="9">
        <v>31</v>
      </c>
      <c r="X14" s="9">
        <v>42</v>
      </c>
      <c r="Y14" s="18"/>
      <c r="Z14" s="18">
        <f t="shared" si="8"/>
        <v>73</v>
      </c>
      <c r="AA14" s="18">
        <v>3</v>
      </c>
      <c r="AB14" s="18" t="str">
        <f t="shared" si="9"/>
        <v>8</v>
      </c>
      <c r="AC14" s="18" t="str">
        <f t="shared" si="10"/>
        <v>A</v>
      </c>
      <c r="AD14" s="18">
        <f t="shared" si="11"/>
        <v>24</v>
      </c>
      <c r="AE14" s="18"/>
      <c r="AF14" s="46">
        <v>24</v>
      </c>
      <c r="AG14" s="46">
        <v>47</v>
      </c>
      <c r="AH14" s="9"/>
      <c r="AI14" s="18">
        <f t="shared" si="12"/>
        <v>71</v>
      </c>
      <c r="AJ14" s="18">
        <v>3</v>
      </c>
      <c r="AK14" s="18" t="str">
        <f t="shared" si="13"/>
        <v>8</v>
      </c>
      <c r="AL14" s="18" t="str">
        <f t="shared" si="14"/>
        <v>A</v>
      </c>
      <c r="AM14" s="18">
        <f t="shared" si="15"/>
        <v>24</v>
      </c>
      <c r="AN14" s="18"/>
      <c r="AO14" s="46">
        <v>41</v>
      </c>
      <c r="AP14" s="46">
        <v>46</v>
      </c>
      <c r="AQ14" s="9"/>
      <c r="AR14" s="18">
        <f t="shared" si="16"/>
        <v>87</v>
      </c>
      <c r="AS14" s="18">
        <v>3</v>
      </c>
      <c r="AT14" s="18" t="str">
        <f t="shared" si="17"/>
        <v>9</v>
      </c>
      <c r="AU14" s="18" t="str">
        <f t="shared" si="18"/>
        <v>A+</v>
      </c>
      <c r="AV14" s="18">
        <f t="shared" si="19"/>
        <v>27</v>
      </c>
      <c r="AW14" s="18"/>
      <c r="AX14" s="9">
        <v>31</v>
      </c>
      <c r="AY14" s="9">
        <v>40</v>
      </c>
      <c r="AZ14" s="9"/>
      <c r="BA14" s="18">
        <f t="shared" si="20"/>
        <v>71</v>
      </c>
      <c r="BB14" s="18">
        <v>1</v>
      </c>
      <c r="BC14" s="18" t="str">
        <f t="shared" si="21"/>
        <v>8</v>
      </c>
      <c r="BD14" s="18" t="str">
        <f t="shared" si="22"/>
        <v>A</v>
      </c>
      <c r="BE14" s="18">
        <f t="shared" si="23"/>
        <v>8</v>
      </c>
      <c r="BF14" s="43" t="s">
        <v>35</v>
      </c>
      <c r="BG14" s="9">
        <v>25</v>
      </c>
      <c r="BH14" s="9">
        <v>46</v>
      </c>
      <c r="BI14" s="9"/>
      <c r="BJ14" s="18">
        <f t="shared" si="24"/>
        <v>71</v>
      </c>
      <c r="BK14" s="18">
        <v>1</v>
      </c>
      <c r="BL14" s="18" t="str">
        <f t="shared" si="25"/>
        <v>8</v>
      </c>
      <c r="BM14" s="18" t="str">
        <f t="shared" si="26"/>
        <v>A</v>
      </c>
      <c r="BN14" s="18">
        <f t="shared" si="27"/>
        <v>8</v>
      </c>
      <c r="BO14" s="18"/>
      <c r="BP14" s="9">
        <v>18</v>
      </c>
      <c r="BQ14" s="9">
        <v>594</v>
      </c>
      <c r="BR14" s="9"/>
      <c r="BS14" s="18">
        <f t="shared" si="28"/>
        <v>612</v>
      </c>
      <c r="BT14" s="18">
        <v>1</v>
      </c>
      <c r="BU14" s="18" t="str">
        <f t="shared" si="29"/>
        <v>10</v>
      </c>
      <c r="BV14" s="18" t="str">
        <f t="shared" si="30"/>
        <v>O</v>
      </c>
      <c r="BW14" s="18">
        <f t="shared" si="31"/>
        <v>10</v>
      </c>
      <c r="BX14" s="18"/>
      <c r="BY14" s="18"/>
      <c r="BZ14" s="18">
        <f t="shared" si="32"/>
        <v>169</v>
      </c>
      <c r="CA14" s="19">
        <f t="shared" si="33"/>
        <v>8.4499999999999993</v>
      </c>
      <c r="CB14" s="28" t="str">
        <f t="shared" si="34"/>
        <v>A+</v>
      </c>
      <c r="CC14" s="27">
        <f t="shared" si="35"/>
        <v>80.274999999999991</v>
      </c>
      <c r="CD14" s="27"/>
      <c r="CE14" s="28">
        <f t="shared" si="36"/>
        <v>1139</v>
      </c>
      <c r="CF14" s="28">
        <f t="shared" si="37"/>
        <v>142.375</v>
      </c>
      <c r="CG14" s="27"/>
      <c r="CH14" s="27"/>
      <c r="CI14" s="27" t="str">
        <f t="shared" si="39"/>
        <v>FCD</v>
      </c>
    </row>
    <row r="15" spans="1:88" s="59" customFormat="1" ht="15.75" customHeight="1" x14ac:dyDescent="0.3">
      <c r="A15" s="87">
        <f t="shared" si="38"/>
        <v>8</v>
      </c>
      <c r="B15" s="85" t="s">
        <v>47</v>
      </c>
      <c r="C15" s="85" t="s">
        <v>48</v>
      </c>
      <c r="D15" s="88" t="s">
        <v>31</v>
      </c>
      <c r="E15" s="9">
        <v>31</v>
      </c>
      <c r="F15" s="9">
        <v>47</v>
      </c>
      <c r="G15" s="89"/>
      <c r="H15" s="90">
        <f t="shared" si="0"/>
        <v>78</v>
      </c>
      <c r="I15" s="90">
        <v>4</v>
      </c>
      <c r="J15" s="90" t="str">
        <f t="shared" si="1"/>
        <v>8</v>
      </c>
      <c r="K15" s="90" t="str">
        <f t="shared" si="2"/>
        <v>A</v>
      </c>
      <c r="L15" s="90">
        <f t="shared" si="3"/>
        <v>32</v>
      </c>
      <c r="M15" s="90"/>
      <c r="N15" s="89">
        <v>34</v>
      </c>
      <c r="O15" s="89">
        <v>50</v>
      </c>
      <c r="P15" s="89"/>
      <c r="Q15" s="90">
        <f t="shared" si="4"/>
        <v>84</v>
      </c>
      <c r="R15" s="90">
        <v>4</v>
      </c>
      <c r="S15" s="90" t="str">
        <f t="shared" si="5"/>
        <v>9</v>
      </c>
      <c r="T15" s="90" t="str">
        <f t="shared" si="6"/>
        <v>A+</v>
      </c>
      <c r="U15" s="90">
        <f t="shared" si="7"/>
        <v>36</v>
      </c>
      <c r="V15" s="90"/>
      <c r="W15" s="89">
        <v>41</v>
      </c>
      <c r="X15" s="89">
        <v>45</v>
      </c>
      <c r="Y15" s="90"/>
      <c r="Z15" s="90">
        <f t="shared" si="8"/>
        <v>86</v>
      </c>
      <c r="AA15" s="90">
        <v>3</v>
      </c>
      <c r="AB15" s="90" t="str">
        <f t="shared" si="9"/>
        <v>9</v>
      </c>
      <c r="AC15" s="90" t="str">
        <f t="shared" si="10"/>
        <v>A+</v>
      </c>
      <c r="AD15" s="90">
        <f t="shared" si="11"/>
        <v>27</v>
      </c>
      <c r="AE15" s="90"/>
      <c r="AF15" s="91">
        <v>36</v>
      </c>
      <c r="AG15" s="91">
        <v>48</v>
      </c>
      <c r="AH15" s="89"/>
      <c r="AI15" s="90">
        <f t="shared" si="12"/>
        <v>84</v>
      </c>
      <c r="AJ15" s="90">
        <v>3</v>
      </c>
      <c r="AK15" s="90" t="str">
        <f t="shared" si="13"/>
        <v>9</v>
      </c>
      <c r="AL15" s="90" t="str">
        <f t="shared" si="14"/>
        <v>A+</v>
      </c>
      <c r="AM15" s="90">
        <f t="shared" si="15"/>
        <v>27</v>
      </c>
      <c r="AN15" s="90"/>
      <c r="AO15" s="91">
        <v>42</v>
      </c>
      <c r="AP15" s="91">
        <v>45</v>
      </c>
      <c r="AQ15" s="89"/>
      <c r="AR15" s="90">
        <f t="shared" si="16"/>
        <v>87</v>
      </c>
      <c r="AS15" s="90">
        <v>3</v>
      </c>
      <c r="AT15" s="90" t="str">
        <f t="shared" si="17"/>
        <v>9</v>
      </c>
      <c r="AU15" s="90" t="str">
        <f t="shared" si="18"/>
        <v>A+</v>
      </c>
      <c r="AV15" s="90">
        <f t="shared" si="19"/>
        <v>27</v>
      </c>
      <c r="AW15" s="90"/>
      <c r="AX15" s="89">
        <v>28</v>
      </c>
      <c r="AY15" s="89">
        <v>41</v>
      </c>
      <c r="AZ15" s="89"/>
      <c r="BA15" s="90">
        <f t="shared" si="20"/>
        <v>69</v>
      </c>
      <c r="BB15" s="90">
        <v>1</v>
      </c>
      <c r="BC15" s="90" t="str">
        <f t="shared" si="21"/>
        <v>7</v>
      </c>
      <c r="BD15" s="90" t="str">
        <f t="shared" si="22"/>
        <v>B+</v>
      </c>
      <c r="BE15" s="90">
        <f t="shared" si="23"/>
        <v>7</v>
      </c>
      <c r="BF15" s="92" t="s">
        <v>35</v>
      </c>
      <c r="BG15" s="89">
        <v>43</v>
      </c>
      <c r="BH15" s="89">
        <v>43</v>
      </c>
      <c r="BI15" s="89"/>
      <c r="BJ15" s="90">
        <f t="shared" si="24"/>
        <v>86</v>
      </c>
      <c r="BK15" s="90">
        <v>1</v>
      </c>
      <c r="BL15" s="90" t="str">
        <f t="shared" si="25"/>
        <v>9</v>
      </c>
      <c r="BM15" s="90" t="str">
        <f t="shared" si="26"/>
        <v>A+</v>
      </c>
      <c r="BN15" s="90">
        <f t="shared" si="27"/>
        <v>9</v>
      </c>
      <c r="BO15" s="90"/>
      <c r="BP15" s="89">
        <v>32</v>
      </c>
      <c r="BQ15" s="89">
        <v>655</v>
      </c>
      <c r="BR15" s="89"/>
      <c r="BS15" s="90">
        <f t="shared" si="28"/>
        <v>687</v>
      </c>
      <c r="BT15" s="90">
        <v>1</v>
      </c>
      <c r="BU15" s="90" t="str">
        <f t="shared" si="29"/>
        <v>10</v>
      </c>
      <c r="BV15" s="90" t="str">
        <f t="shared" si="30"/>
        <v>O</v>
      </c>
      <c r="BW15" s="90">
        <f t="shared" si="31"/>
        <v>10</v>
      </c>
      <c r="BX15" s="90"/>
      <c r="BY15" s="90"/>
      <c r="BZ15" s="90">
        <f t="shared" si="32"/>
        <v>175</v>
      </c>
      <c r="CA15" s="93">
        <f t="shared" si="33"/>
        <v>8.75</v>
      </c>
      <c r="CB15" s="94" t="str">
        <f t="shared" si="34"/>
        <v>A+</v>
      </c>
      <c r="CC15" s="95">
        <f t="shared" si="35"/>
        <v>83.125</v>
      </c>
      <c r="CD15" s="95"/>
      <c r="CE15" s="94">
        <f t="shared" si="36"/>
        <v>1261</v>
      </c>
      <c r="CF15" s="94">
        <f t="shared" si="37"/>
        <v>157.625</v>
      </c>
      <c r="CG15" s="95"/>
      <c r="CH15" s="95"/>
      <c r="CI15" s="95" t="str">
        <f t="shared" si="39"/>
        <v>FCD</v>
      </c>
    </row>
    <row r="16" spans="1:88" ht="15.75" customHeight="1" x14ac:dyDescent="0.3">
      <c r="A16" s="35">
        <f t="shared" si="38"/>
        <v>9</v>
      </c>
      <c r="B16" s="85" t="s">
        <v>49</v>
      </c>
      <c r="C16" s="85" t="s">
        <v>50</v>
      </c>
      <c r="D16" s="47" t="s">
        <v>31</v>
      </c>
      <c r="E16" s="9">
        <v>23</v>
      </c>
      <c r="F16" s="9">
        <v>46</v>
      </c>
      <c r="G16" s="9"/>
      <c r="H16" s="18">
        <f t="shared" si="0"/>
        <v>69</v>
      </c>
      <c r="I16" s="18">
        <v>4</v>
      </c>
      <c r="J16" s="18" t="str">
        <f t="shared" si="1"/>
        <v>7</v>
      </c>
      <c r="K16" s="18" t="str">
        <f t="shared" si="2"/>
        <v>B+</v>
      </c>
      <c r="L16" s="18">
        <f t="shared" si="3"/>
        <v>28</v>
      </c>
      <c r="M16" s="18"/>
      <c r="N16" s="9">
        <v>36</v>
      </c>
      <c r="O16" s="9">
        <v>48</v>
      </c>
      <c r="P16" s="9"/>
      <c r="Q16" s="18">
        <f t="shared" si="4"/>
        <v>84</v>
      </c>
      <c r="R16" s="18">
        <v>4</v>
      </c>
      <c r="S16" s="18" t="str">
        <f t="shared" si="5"/>
        <v>9</v>
      </c>
      <c r="T16" s="18" t="str">
        <f t="shared" si="6"/>
        <v>A+</v>
      </c>
      <c r="U16" s="18">
        <f t="shared" si="7"/>
        <v>36</v>
      </c>
      <c r="V16" s="18"/>
      <c r="W16" s="9">
        <v>31</v>
      </c>
      <c r="X16" s="9">
        <v>44</v>
      </c>
      <c r="Y16" s="18"/>
      <c r="Z16" s="18">
        <f t="shared" si="8"/>
        <v>75</v>
      </c>
      <c r="AA16" s="18">
        <v>3</v>
      </c>
      <c r="AB16" s="18" t="str">
        <f t="shared" si="9"/>
        <v>8</v>
      </c>
      <c r="AC16" s="18" t="str">
        <f t="shared" si="10"/>
        <v>A</v>
      </c>
      <c r="AD16" s="18">
        <f t="shared" si="11"/>
        <v>24</v>
      </c>
      <c r="AE16" s="18"/>
      <c r="AF16" s="46">
        <v>39</v>
      </c>
      <c r="AG16" s="46">
        <v>46</v>
      </c>
      <c r="AH16" s="9"/>
      <c r="AI16" s="18">
        <f t="shared" si="12"/>
        <v>85</v>
      </c>
      <c r="AJ16" s="18">
        <v>3</v>
      </c>
      <c r="AK16" s="18" t="str">
        <f t="shared" si="13"/>
        <v>9</v>
      </c>
      <c r="AL16" s="18" t="str">
        <f t="shared" si="14"/>
        <v>A+</v>
      </c>
      <c r="AM16" s="18">
        <f t="shared" si="15"/>
        <v>27</v>
      </c>
      <c r="AN16" s="18"/>
      <c r="AO16" s="46">
        <v>40</v>
      </c>
      <c r="AP16" s="46">
        <v>44</v>
      </c>
      <c r="AQ16" s="9"/>
      <c r="AR16" s="18">
        <f t="shared" si="16"/>
        <v>84</v>
      </c>
      <c r="AS16" s="18">
        <v>3</v>
      </c>
      <c r="AT16" s="18" t="str">
        <f t="shared" si="17"/>
        <v>9</v>
      </c>
      <c r="AU16" s="18" t="str">
        <f t="shared" si="18"/>
        <v>A+</v>
      </c>
      <c r="AV16" s="18">
        <f t="shared" si="19"/>
        <v>27</v>
      </c>
      <c r="AW16" s="18"/>
      <c r="AX16" s="9">
        <v>39</v>
      </c>
      <c r="AY16" s="9">
        <v>40</v>
      </c>
      <c r="AZ16" s="9"/>
      <c r="BA16" s="18">
        <f t="shared" si="20"/>
        <v>79</v>
      </c>
      <c r="BB16" s="18">
        <v>1</v>
      </c>
      <c r="BC16" s="18" t="str">
        <f t="shared" si="21"/>
        <v>8</v>
      </c>
      <c r="BD16" s="18" t="str">
        <f t="shared" si="22"/>
        <v>A</v>
      </c>
      <c r="BE16" s="18">
        <f t="shared" si="23"/>
        <v>8</v>
      </c>
      <c r="BF16" s="43" t="s">
        <v>35</v>
      </c>
      <c r="BG16" s="9">
        <v>32</v>
      </c>
      <c r="BH16" s="9">
        <v>40</v>
      </c>
      <c r="BI16" s="9"/>
      <c r="BJ16" s="18">
        <f t="shared" si="24"/>
        <v>72</v>
      </c>
      <c r="BK16" s="18">
        <v>1</v>
      </c>
      <c r="BL16" s="18" t="str">
        <f t="shared" si="25"/>
        <v>8</v>
      </c>
      <c r="BM16" s="18" t="str">
        <f t="shared" si="26"/>
        <v>A</v>
      </c>
      <c r="BN16" s="18">
        <f t="shared" si="27"/>
        <v>8</v>
      </c>
      <c r="BO16" s="18"/>
      <c r="BP16" s="9">
        <v>30</v>
      </c>
      <c r="BQ16" s="9">
        <v>622</v>
      </c>
      <c r="BR16" s="9"/>
      <c r="BS16" s="18">
        <f t="shared" si="28"/>
        <v>652</v>
      </c>
      <c r="BT16" s="18">
        <v>1</v>
      </c>
      <c r="BU16" s="18" t="str">
        <f t="shared" si="29"/>
        <v>10</v>
      </c>
      <c r="BV16" s="18" t="str">
        <f t="shared" si="30"/>
        <v>O</v>
      </c>
      <c r="BW16" s="18">
        <f t="shared" si="31"/>
        <v>10</v>
      </c>
      <c r="BX16" s="18"/>
      <c r="BY16" s="18"/>
      <c r="BZ16" s="18">
        <f t="shared" si="32"/>
        <v>168</v>
      </c>
      <c r="CA16" s="19">
        <f t="shared" si="33"/>
        <v>8.4</v>
      </c>
      <c r="CB16" s="28" t="str">
        <f t="shared" si="34"/>
        <v>A+</v>
      </c>
      <c r="CC16" s="27">
        <f t="shared" si="35"/>
        <v>79.8</v>
      </c>
      <c r="CD16" s="27"/>
      <c r="CE16" s="28">
        <f t="shared" si="36"/>
        <v>1200</v>
      </c>
      <c r="CF16" s="28">
        <f t="shared" si="37"/>
        <v>150</v>
      </c>
      <c r="CG16" s="27"/>
      <c r="CH16" s="27"/>
      <c r="CI16" s="27" t="str">
        <f t="shared" si="39"/>
        <v>FCD</v>
      </c>
    </row>
    <row r="17" spans="1:87" ht="15.75" customHeight="1" x14ac:dyDescent="0.3">
      <c r="A17" s="35">
        <f t="shared" si="38"/>
        <v>10</v>
      </c>
      <c r="B17" s="85" t="s">
        <v>51</v>
      </c>
      <c r="C17" s="85" t="s">
        <v>52</v>
      </c>
      <c r="D17" s="47" t="s">
        <v>31</v>
      </c>
      <c r="E17" s="9">
        <v>43</v>
      </c>
      <c r="F17" s="9">
        <v>48</v>
      </c>
      <c r="G17" s="9"/>
      <c r="H17" s="18">
        <f t="shared" si="0"/>
        <v>91</v>
      </c>
      <c r="I17" s="18">
        <v>4</v>
      </c>
      <c r="J17" s="18" t="str">
        <f t="shared" si="1"/>
        <v>10</v>
      </c>
      <c r="K17" s="18" t="str">
        <f t="shared" si="2"/>
        <v>O</v>
      </c>
      <c r="L17" s="18">
        <f t="shared" si="3"/>
        <v>40</v>
      </c>
      <c r="M17" s="18"/>
      <c r="N17" s="9">
        <v>45</v>
      </c>
      <c r="O17" s="9">
        <v>41</v>
      </c>
      <c r="P17" s="9"/>
      <c r="Q17" s="18">
        <f t="shared" si="4"/>
        <v>86</v>
      </c>
      <c r="R17" s="18">
        <v>4</v>
      </c>
      <c r="S17" s="18" t="str">
        <f t="shared" si="5"/>
        <v>9</v>
      </c>
      <c r="T17" s="18" t="str">
        <f t="shared" si="6"/>
        <v>A+</v>
      </c>
      <c r="U17" s="18">
        <f t="shared" si="7"/>
        <v>36</v>
      </c>
      <c r="V17" s="18"/>
      <c r="W17" s="9">
        <v>47</v>
      </c>
      <c r="X17" s="9">
        <v>46</v>
      </c>
      <c r="Y17" s="18"/>
      <c r="Z17" s="18">
        <f t="shared" si="8"/>
        <v>93</v>
      </c>
      <c r="AA17" s="18">
        <v>3</v>
      </c>
      <c r="AB17" s="18" t="str">
        <f t="shared" si="9"/>
        <v>10</v>
      </c>
      <c r="AC17" s="18" t="str">
        <f t="shared" si="10"/>
        <v>O</v>
      </c>
      <c r="AD17" s="18">
        <f t="shared" si="11"/>
        <v>30</v>
      </c>
      <c r="AE17" s="18"/>
      <c r="AF17" s="46">
        <v>40</v>
      </c>
      <c r="AG17" s="46">
        <v>49</v>
      </c>
      <c r="AH17" s="9"/>
      <c r="AI17" s="18">
        <f t="shared" si="12"/>
        <v>89</v>
      </c>
      <c r="AJ17" s="18">
        <v>3</v>
      </c>
      <c r="AK17" s="18" t="str">
        <f t="shared" si="13"/>
        <v>9</v>
      </c>
      <c r="AL17" s="18" t="str">
        <f t="shared" si="14"/>
        <v>A+</v>
      </c>
      <c r="AM17" s="18">
        <f t="shared" si="15"/>
        <v>27</v>
      </c>
      <c r="AN17" s="18"/>
      <c r="AO17" s="46">
        <v>40</v>
      </c>
      <c r="AP17" s="46">
        <v>47</v>
      </c>
      <c r="AQ17" s="9"/>
      <c r="AR17" s="18">
        <f t="shared" si="16"/>
        <v>87</v>
      </c>
      <c r="AS17" s="18">
        <v>3</v>
      </c>
      <c r="AT17" s="18" t="str">
        <f t="shared" si="17"/>
        <v>9</v>
      </c>
      <c r="AU17" s="18" t="str">
        <f t="shared" si="18"/>
        <v>A+</v>
      </c>
      <c r="AV17" s="18">
        <f t="shared" si="19"/>
        <v>27</v>
      </c>
      <c r="AW17" s="18"/>
      <c r="AX17" s="9">
        <v>41</v>
      </c>
      <c r="AY17" s="9">
        <v>39</v>
      </c>
      <c r="AZ17" s="9"/>
      <c r="BA17" s="18">
        <f t="shared" si="20"/>
        <v>80</v>
      </c>
      <c r="BB17" s="18">
        <v>1</v>
      </c>
      <c r="BC17" s="18" t="str">
        <f t="shared" si="21"/>
        <v>9</v>
      </c>
      <c r="BD17" s="18" t="str">
        <f t="shared" si="22"/>
        <v>A+</v>
      </c>
      <c r="BE17" s="18">
        <f t="shared" si="23"/>
        <v>9</v>
      </c>
      <c r="BF17" s="43" t="s">
        <v>35</v>
      </c>
      <c r="BG17" s="9">
        <v>39</v>
      </c>
      <c r="BH17" s="9">
        <v>36</v>
      </c>
      <c r="BI17" s="9"/>
      <c r="BJ17" s="18">
        <f t="shared" si="24"/>
        <v>75</v>
      </c>
      <c r="BK17" s="18">
        <v>1</v>
      </c>
      <c r="BL17" s="18" t="str">
        <f t="shared" si="25"/>
        <v>8</v>
      </c>
      <c r="BM17" s="18" t="str">
        <f t="shared" si="26"/>
        <v>A</v>
      </c>
      <c r="BN17" s="18">
        <f t="shared" si="27"/>
        <v>8</v>
      </c>
      <c r="BO17" s="18"/>
      <c r="BP17" s="9">
        <v>36</v>
      </c>
      <c r="BQ17" s="9">
        <v>687</v>
      </c>
      <c r="BR17" s="9"/>
      <c r="BS17" s="18">
        <f t="shared" si="28"/>
        <v>723</v>
      </c>
      <c r="BT17" s="18">
        <v>1</v>
      </c>
      <c r="BU17" s="18" t="str">
        <f t="shared" si="29"/>
        <v>10</v>
      </c>
      <c r="BV17" s="18" t="str">
        <f t="shared" si="30"/>
        <v>O</v>
      </c>
      <c r="BW17" s="18">
        <f t="shared" si="31"/>
        <v>10</v>
      </c>
      <c r="BX17" s="18"/>
      <c r="BY17" s="18"/>
      <c r="BZ17" s="18">
        <f t="shared" si="32"/>
        <v>187</v>
      </c>
      <c r="CA17" s="19">
        <f t="shared" si="33"/>
        <v>9.35</v>
      </c>
      <c r="CB17" s="28" t="str">
        <f t="shared" si="34"/>
        <v>O</v>
      </c>
      <c r="CC17" s="27">
        <f t="shared" si="35"/>
        <v>88.825000000000003</v>
      </c>
      <c r="CD17" s="27"/>
      <c r="CE17" s="28">
        <f t="shared" si="36"/>
        <v>1324</v>
      </c>
      <c r="CF17" s="28">
        <f t="shared" si="37"/>
        <v>165.5</v>
      </c>
      <c r="CG17" s="27"/>
      <c r="CH17" s="27"/>
      <c r="CI17" s="27" t="str">
        <f t="shared" si="39"/>
        <v>FCD</v>
      </c>
    </row>
    <row r="18" spans="1:87" ht="15.75" customHeight="1" x14ac:dyDescent="0.3">
      <c r="A18" s="35">
        <f t="shared" si="38"/>
        <v>11</v>
      </c>
      <c r="B18" s="86" t="s">
        <v>53</v>
      </c>
      <c r="C18" s="86" t="s">
        <v>54</v>
      </c>
      <c r="D18" s="47" t="s">
        <v>31</v>
      </c>
      <c r="E18" s="9">
        <v>7</v>
      </c>
      <c r="F18" s="9">
        <v>45</v>
      </c>
      <c r="G18" s="9"/>
      <c r="H18" s="18">
        <f t="shared" si="0"/>
        <v>52</v>
      </c>
      <c r="I18" s="18">
        <v>4</v>
      </c>
      <c r="J18" s="18" t="str">
        <f t="shared" si="1"/>
        <v>5</v>
      </c>
      <c r="K18" s="18" t="str">
        <f t="shared" si="2"/>
        <v>C</v>
      </c>
      <c r="L18" s="18">
        <f t="shared" si="3"/>
        <v>20</v>
      </c>
      <c r="M18" s="18"/>
      <c r="N18" s="9">
        <v>26</v>
      </c>
      <c r="O18" s="9">
        <v>40</v>
      </c>
      <c r="P18" s="9"/>
      <c r="Q18" s="18">
        <f t="shared" si="4"/>
        <v>66</v>
      </c>
      <c r="R18" s="18">
        <v>4</v>
      </c>
      <c r="S18" s="18" t="str">
        <f t="shared" si="5"/>
        <v>7</v>
      </c>
      <c r="T18" s="18" t="str">
        <f t="shared" si="6"/>
        <v>B+</v>
      </c>
      <c r="U18" s="18">
        <f t="shared" si="7"/>
        <v>28</v>
      </c>
      <c r="V18" s="18"/>
      <c r="W18" s="9">
        <v>27</v>
      </c>
      <c r="X18" s="9">
        <v>44</v>
      </c>
      <c r="Y18" s="18"/>
      <c r="Z18" s="18">
        <f t="shared" si="8"/>
        <v>71</v>
      </c>
      <c r="AA18" s="18">
        <v>3</v>
      </c>
      <c r="AB18" s="18" t="str">
        <f t="shared" si="9"/>
        <v>8</v>
      </c>
      <c r="AC18" s="18" t="str">
        <f t="shared" si="10"/>
        <v>A</v>
      </c>
      <c r="AD18" s="18">
        <f t="shared" si="11"/>
        <v>24</v>
      </c>
      <c r="AE18" s="18"/>
      <c r="AF18" s="46">
        <v>33</v>
      </c>
      <c r="AG18" s="46">
        <v>46</v>
      </c>
      <c r="AH18" s="9"/>
      <c r="AI18" s="18">
        <f t="shared" si="12"/>
        <v>79</v>
      </c>
      <c r="AJ18" s="18">
        <v>3</v>
      </c>
      <c r="AK18" s="18" t="str">
        <f t="shared" si="13"/>
        <v>8</v>
      </c>
      <c r="AL18" s="18" t="str">
        <f t="shared" si="14"/>
        <v>A</v>
      </c>
      <c r="AM18" s="18">
        <f t="shared" si="15"/>
        <v>24</v>
      </c>
      <c r="AN18" s="18"/>
      <c r="AO18" s="46">
        <v>31</v>
      </c>
      <c r="AP18" s="46">
        <v>40</v>
      </c>
      <c r="AQ18" s="9"/>
      <c r="AR18" s="18">
        <f t="shared" si="16"/>
        <v>71</v>
      </c>
      <c r="AS18" s="18">
        <v>3</v>
      </c>
      <c r="AT18" s="18" t="str">
        <f t="shared" si="17"/>
        <v>8</v>
      </c>
      <c r="AU18" s="18" t="str">
        <f t="shared" si="18"/>
        <v>A</v>
      </c>
      <c r="AV18" s="18">
        <f t="shared" si="19"/>
        <v>24</v>
      </c>
      <c r="AW18" s="18"/>
      <c r="AX18" s="9">
        <v>25</v>
      </c>
      <c r="AY18" s="9">
        <v>30</v>
      </c>
      <c r="AZ18" s="9"/>
      <c r="BA18" s="18">
        <f t="shared" si="20"/>
        <v>55</v>
      </c>
      <c r="BB18" s="18">
        <v>1</v>
      </c>
      <c r="BC18" s="18" t="str">
        <f t="shared" si="21"/>
        <v>6</v>
      </c>
      <c r="BD18" s="18" t="str">
        <f t="shared" si="22"/>
        <v>B</v>
      </c>
      <c r="BE18" s="18">
        <f t="shared" si="23"/>
        <v>6</v>
      </c>
      <c r="BF18" s="43" t="s">
        <v>32</v>
      </c>
      <c r="BG18" s="9">
        <v>18</v>
      </c>
      <c r="BH18" s="9">
        <v>30</v>
      </c>
      <c r="BI18" s="9"/>
      <c r="BJ18" s="18">
        <f t="shared" si="24"/>
        <v>48</v>
      </c>
      <c r="BK18" s="18">
        <v>1</v>
      </c>
      <c r="BL18" s="18" t="str">
        <f t="shared" si="25"/>
        <v>4</v>
      </c>
      <c r="BM18" s="18" t="str">
        <f t="shared" si="26"/>
        <v>P</v>
      </c>
      <c r="BN18" s="18">
        <f t="shared" si="27"/>
        <v>4</v>
      </c>
      <c r="BO18" s="18"/>
      <c r="BP18" s="9">
        <v>23</v>
      </c>
      <c r="BQ18" s="9">
        <v>499</v>
      </c>
      <c r="BR18" s="9"/>
      <c r="BS18" s="18">
        <f t="shared" si="28"/>
        <v>522</v>
      </c>
      <c r="BT18" s="18">
        <v>1</v>
      </c>
      <c r="BU18" s="18" t="str">
        <f t="shared" si="29"/>
        <v>10</v>
      </c>
      <c r="BV18" s="18" t="str">
        <f t="shared" si="30"/>
        <v>O</v>
      </c>
      <c r="BW18" s="18">
        <f t="shared" si="31"/>
        <v>10</v>
      </c>
      <c r="BX18" s="18"/>
      <c r="BY18" s="18"/>
      <c r="BZ18" s="18">
        <f t="shared" si="32"/>
        <v>140</v>
      </c>
      <c r="CA18" s="19">
        <f t="shared" si="33"/>
        <v>7</v>
      </c>
      <c r="CB18" s="28" t="str">
        <f t="shared" si="34"/>
        <v>A</v>
      </c>
      <c r="CC18" s="27">
        <f t="shared" si="35"/>
        <v>66.5</v>
      </c>
      <c r="CD18" s="27"/>
      <c r="CE18" s="28">
        <f t="shared" si="36"/>
        <v>964</v>
      </c>
      <c r="CF18" s="28">
        <f t="shared" si="37"/>
        <v>120.5</v>
      </c>
      <c r="CG18" s="27"/>
      <c r="CH18" s="27"/>
      <c r="CI18" s="27" t="str">
        <f t="shared" si="39"/>
        <v>FC</v>
      </c>
    </row>
    <row r="19" spans="1:87" ht="15.75" customHeight="1" x14ac:dyDescent="0.3">
      <c r="A19" s="35">
        <f t="shared" si="38"/>
        <v>12</v>
      </c>
      <c r="B19" s="85" t="s">
        <v>55</v>
      </c>
      <c r="C19" s="85" t="s">
        <v>56</v>
      </c>
      <c r="D19" s="47" t="s">
        <v>31</v>
      </c>
      <c r="E19" s="9">
        <v>32</v>
      </c>
      <c r="F19" s="9">
        <v>45</v>
      </c>
      <c r="G19" s="9"/>
      <c r="H19" s="18">
        <f t="shared" si="0"/>
        <v>77</v>
      </c>
      <c r="I19" s="18">
        <v>4</v>
      </c>
      <c r="J19" s="18" t="str">
        <f t="shared" si="1"/>
        <v>8</v>
      </c>
      <c r="K19" s="18" t="str">
        <f t="shared" si="2"/>
        <v>A</v>
      </c>
      <c r="L19" s="18">
        <f t="shared" si="3"/>
        <v>32</v>
      </c>
      <c r="M19" s="18"/>
      <c r="N19" s="9">
        <v>44</v>
      </c>
      <c r="O19" s="9">
        <v>48</v>
      </c>
      <c r="P19" s="9"/>
      <c r="Q19" s="18">
        <f t="shared" si="4"/>
        <v>92</v>
      </c>
      <c r="R19" s="18">
        <v>4</v>
      </c>
      <c r="S19" s="18" t="str">
        <f t="shared" si="5"/>
        <v>10</v>
      </c>
      <c r="T19" s="18" t="str">
        <f t="shared" si="6"/>
        <v>O</v>
      </c>
      <c r="U19" s="18">
        <f t="shared" si="7"/>
        <v>40</v>
      </c>
      <c r="V19" s="18"/>
      <c r="W19" s="9">
        <v>29</v>
      </c>
      <c r="X19" s="9">
        <v>48</v>
      </c>
      <c r="Y19" s="18"/>
      <c r="Z19" s="18">
        <f t="shared" si="8"/>
        <v>77</v>
      </c>
      <c r="AA19" s="18">
        <v>3</v>
      </c>
      <c r="AB19" s="18" t="str">
        <f t="shared" si="9"/>
        <v>8</v>
      </c>
      <c r="AC19" s="18" t="str">
        <f t="shared" si="10"/>
        <v>A</v>
      </c>
      <c r="AD19" s="18">
        <f t="shared" si="11"/>
        <v>24</v>
      </c>
      <c r="AE19" s="18"/>
      <c r="AF19" s="46">
        <v>39</v>
      </c>
      <c r="AG19" s="46">
        <v>44</v>
      </c>
      <c r="AH19" s="9"/>
      <c r="AI19" s="18">
        <f t="shared" si="12"/>
        <v>83</v>
      </c>
      <c r="AJ19" s="18">
        <v>3</v>
      </c>
      <c r="AK19" s="18" t="str">
        <f t="shared" si="13"/>
        <v>9</v>
      </c>
      <c r="AL19" s="18" t="str">
        <f t="shared" si="14"/>
        <v>A+</v>
      </c>
      <c r="AM19" s="18">
        <f t="shared" si="15"/>
        <v>27</v>
      </c>
      <c r="AN19" s="18"/>
      <c r="AO19" s="46">
        <v>35</v>
      </c>
      <c r="AP19" s="46">
        <v>46</v>
      </c>
      <c r="AQ19" s="9"/>
      <c r="AR19" s="18">
        <f t="shared" si="16"/>
        <v>81</v>
      </c>
      <c r="AS19" s="18">
        <v>3</v>
      </c>
      <c r="AT19" s="18" t="str">
        <f t="shared" si="17"/>
        <v>9</v>
      </c>
      <c r="AU19" s="18" t="str">
        <f t="shared" si="18"/>
        <v>A+</v>
      </c>
      <c r="AV19" s="18">
        <f t="shared" si="19"/>
        <v>27</v>
      </c>
      <c r="AW19" s="18"/>
      <c r="AX19" s="9">
        <v>37</v>
      </c>
      <c r="AY19" s="9">
        <v>44</v>
      </c>
      <c r="AZ19" s="9"/>
      <c r="BA19" s="18">
        <f t="shared" si="20"/>
        <v>81</v>
      </c>
      <c r="BB19" s="18">
        <v>1</v>
      </c>
      <c r="BC19" s="18" t="str">
        <f t="shared" si="21"/>
        <v>9</v>
      </c>
      <c r="BD19" s="18" t="str">
        <f t="shared" si="22"/>
        <v>A+</v>
      </c>
      <c r="BE19" s="18">
        <f t="shared" si="23"/>
        <v>9</v>
      </c>
      <c r="BF19" s="43" t="s">
        <v>35</v>
      </c>
      <c r="BG19" s="9">
        <v>37</v>
      </c>
      <c r="BH19" s="9">
        <v>50</v>
      </c>
      <c r="BI19" s="9"/>
      <c r="BJ19" s="18">
        <f t="shared" si="24"/>
        <v>87</v>
      </c>
      <c r="BK19" s="18">
        <v>1</v>
      </c>
      <c r="BL19" s="18" t="str">
        <f t="shared" si="25"/>
        <v>9</v>
      </c>
      <c r="BM19" s="18" t="str">
        <f t="shared" si="26"/>
        <v>A+</v>
      </c>
      <c r="BN19" s="18">
        <f t="shared" si="27"/>
        <v>9</v>
      </c>
      <c r="BO19" s="18"/>
      <c r="BP19" s="9">
        <v>18</v>
      </c>
      <c r="BQ19" s="9">
        <v>643</v>
      </c>
      <c r="BR19" s="9"/>
      <c r="BS19" s="18">
        <f t="shared" si="28"/>
        <v>661</v>
      </c>
      <c r="BT19" s="18">
        <v>1</v>
      </c>
      <c r="BU19" s="18" t="str">
        <f t="shared" si="29"/>
        <v>10</v>
      </c>
      <c r="BV19" s="18" t="str">
        <f t="shared" si="30"/>
        <v>O</v>
      </c>
      <c r="BW19" s="18">
        <f t="shared" si="31"/>
        <v>10</v>
      </c>
      <c r="BX19" s="18"/>
      <c r="BY19" s="18"/>
      <c r="BZ19" s="18">
        <f t="shared" si="32"/>
        <v>178</v>
      </c>
      <c r="CA19" s="19">
        <f t="shared" si="33"/>
        <v>8.9</v>
      </c>
      <c r="CB19" s="28" t="str">
        <f t="shared" si="34"/>
        <v>A+</v>
      </c>
      <c r="CC19" s="27">
        <f t="shared" si="35"/>
        <v>84.55</v>
      </c>
      <c r="CD19" s="27"/>
      <c r="CE19" s="28">
        <f t="shared" si="36"/>
        <v>1239</v>
      </c>
      <c r="CF19" s="28">
        <f t="shared" si="37"/>
        <v>154.875</v>
      </c>
      <c r="CG19" s="27"/>
      <c r="CH19" s="27"/>
      <c r="CI19" s="27" t="str">
        <f t="shared" si="39"/>
        <v>FCD</v>
      </c>
    </row>
    <row r="20" spans="1:87" ht="15.75" customHeight="1" x14ac:dyDescent="0.3">
      <c r="A20" s="35">
        <f t="shared" si="38"/>
        <v>13</v>
      </c>
      <c r="B20" s="85" t="s">
        <v>57</v>
      </c>
      <c r="C20" s="85" t="s">
        <v>58</v>
      </c>
      <c r="D20" s="47" t="s">
        <v>31</v>
      </c>
      <c r="E20" s="9">
        <v>36</v>
      </c>
      <c r="F20" s="9">
        <v>49</v>
      </c>
      <c r="G20" s="9"/>
      <c r="H20" s="18">
        <f t="shared" si="0"/>
        <v>85</v>
      </c>
      <c r="I20" s="18">
        <v>4</v>
      </c>
      <c r="J20" s="18" t="str">
        <f t="shared" si="1"/>
        <v>9</v>
      </c>
      <c r="K20" s="18" t="str">
        <f t="shared" si="2"/>
        <v>A+</v>
      </c>
      <c r="L20" s="18">
        <f t="shared" si="3"/>
        <v>36</v>
      </c>
      <c r="M20" s="18"/>
      <c r="N20" s="9">
        <v>49</v>
      </c>
      <c r="O20" s="9">
        <v>50</v>
      </c>
      <c r="P20" s="9"/>
      <c r="Q20" s="18">
        <f t="shared" si="4"/>
        <v>99</v>
      </c>
      <c r="R20" s="18">
        <v>4</v>
      </c>
      <c r="S20" s="18" t="str">
        <f t="shared" si="5"/>
        <v>10</v>
      </c>
      <c r="T20" s="18" t="str">
        <f t="shared" si="6"/>
        <v>O</v>
      </c>
      <c r="U20" s="18">
        <f t="shared" si="7"/>
        <v>40</v>
      </c>
      <c r="V20" s="18"/>
      <c r="W20" s="9">
        <v>35</v>
      </c>
      <c r="X20" s="9">
        <v>45</v>
      </c>
      <c r="Y20" s="18"/>
      <c r="Z20" s="18">
        <f t="shared" si="8"/>
        <v>80</v>
      </c>
      <c r="AA20" s="18">
        <v>3</v>
      </c>
      <c r="AB20" s="18" t="str">
        <f t="shared" si="9"/>
        <v>9</v>
      </c>
      <c r="AC20" s="18" t="str">
        <f t="shared" si="10"/>
        <v>A+</v>
      </c>
      <c r="AD20" s="18">
        <f t="shared" si="11"/>
        <v>27</v>
      </c>
      <c r="AE20" s="18"/>
      <c r="AF20" s="46">
        <v>34</v>
      </c>
      <c r="AG20" s="46">
        <v>48</v>
      </c>
      <c r="AH20" s="9"/>
      <c r="AI20" s="18">
        <f t="shared" si="12"/>
        <v>82</v>
      </c>
      <c r="AJ20" s="18">
        <v>3</v>
      </c>
      <c r="AK20" s="18" t="str">
        <f t="shared" si="13"/>
        <v>9</v>
      </c>
      <c r="AL20" s="18" t="str">
        <f t="shared" si="14"/>
        <v>A+</v>
      </c>
      <c r="AM20" s="18">
        <f t="shared" si="15"/>
        <v>27</v>
      </c>
      <c r="AN20" s="18"/>
      <c r="AO20" s="46">
        <v>43</v>
      </c>
      <c r="AP20" s="46">
        <v>44</v>
      </c>
      <c r="AQ20" s="9"/>
      <c r="AR20" s="18">
        <f t="shared" si="16"/>
        <v>87</v>
      </c>
      <c r="AS20" s="18">
        <v>3</v>
      </c>
      <c r="AT20" s="18" t="str">
        <f t="shared" si="17"/>
        <v>9</v>
      </c>
      <c r="AU20" s="18" t="str">
        <f t="shared" si="18"/>
        <v>A+</v>
      </c>
      <c r="AV20" s="18">
        <f t="shared" si="19"/>
        <v>27</v>
      </c>
      <c r="AW20" s="18"/>
      <c r="AX20" s="9">
        <v>34</v>
      </c>
      <c r="AY20" s="9">
        <v>42</v>
      </c>
      <c r="AZ20" s="9"/>
      <c r="BA20" s="18">
        <f t="shared" si="20"/>
        <v>76</v>
      </c>
      <c r="BB20" s="18">
        <v>1</v>
      </c>
      <c r="BC20" s="18" t="str">
        <f t="shared" si="21"/>
        <v>8</v>
      </c>
      <c r="BD20" s="18" t="str">
        <f t="shared" si="22"/>
        <v>A</v>
      </c>
      <c r="BE20" s="18">
        <f t="shared" si="23"/>
        <v>8</v>
      </c>
      <c r="BF20" s="43" t="s">
        <v>32</v>
      </c>
      <c r="BG20" s="9">
        <v>36</v>
      </c>
      <c r="BH20" s="9">
        <v>46</v>
      </c>
      <c r="BI20" s="9"/>
      <c r="BJ20" s="18">
        <f t="shared" si="24"/>
        <v>82</v>
      </c>
      <c r="BK20" s="18">
        <v>1</v>
      </c>
      <c r="BL20" s="18" t="str">
        <f t="shared" si="25"/>
        <v>9</v>
      </c>
      <c r="BM20" s="18" t="str">
        <f t="shared" si="26"/>
        <v>A+</v>
      </c>
      <c r="BN20" s="18">
        <f t="shared" si="27"/>
        <v>9</v>
      </c>
      <c r="BO20" s="18"/>
      <c r="BP20" s="9">
        <v>43</v>
      </c>
      <c r="BQ20" s="9">
        <v>680</v>
      </c>
      <c r="BR20" s="9"/>
      <c r="BS20" s="18">
        <f t="shared" si="28"/>
        <v>723</v>
      </c>
      <c r="BT20" s="18">
        <v>1</v>
      </c>
      <c r="BU20" s="18" t="str">
        <f t="shared" si="29"/>
        <v>10</v>
      </c>
      <c r="BV20" s="18" t="str">
        <f t="shared" si="30"/>
        <v>O</v>
      </c>
      <c r="BW20" s="18">
        <f t="shared" si="31"/>
        <v>10</v>
      </c>
      <c r="BX20" s="18"/>
      <c r="BY20" s="18"/>
      <c r="BZ20" s="18">
        <f t="shared" si="32"/>
        <v>184</v>
      </c>
      <c r="CA20" s="19">
        <f t="shared" si="33"/>
        <v>9.1999999999999993</v>
      </c>
      <c r="CB20" s="28" t="str">
        <f t="shared" si="34"/>
        <v>O</v>
      </c>
      <c r="CC20" s="27">
        <f t="shared" si="35"/>
        <v>87.399999999999991</v>
      </c>
      <c r="CD20" s="27"/>
      <c r="CE20" s="28">
        <f t="shared" si="36"/>
        <v>1314</v>
      </c>
      <c r="CF20" s="28">
        <f t="shared" si="37"/>
        <v>164.25</v>
      </c>
      <c r="CG20" s="27"/>
      <c r="CH20" s="27"/>
      <c r="CI20" s="27" t="str">
        <f t="shared" si="39"/>
        <v>FCD</v>
      </c>
    </row>
    <row r="21" spans="1:87" ht="15.75" customHeight="1" x14ac:dyDescent="0.3">
      <c r="A21" s="35">
        <f t="shared" si="38"/>
        <v>14</v>
      </c>
      <c r="B21" s="85" t="s">
        <v>59</v>
      </c>
      <c r="C21" s="85" t="s">
        <v>60</v>
      </c>
      <c r="D21" s="47" t="s">
        <v>31</v>
      </c>
      <c r="E21" s="9">
        <v>19</v>
      </c>
      <c r="F21" s="9">
        <v>42</v>
      </c>
      <c r="G21" s="9"/>
      <c r="H21" s="18">
        <f t="shared" si="0"/>
        <v>61</v>
      </c>
      <c r="I21" s="18">
        <v>4</v>
      </c>
      <c r="J21" s="18" t="str">
        <f t="shared" si="1"/>
        <v>7</v>
      </c>
      <c r="K21" s="18" t="str">
        <f t="shared" si="2"/>
        <v>B+</v>
      </c>
      <c r="L21" s="18">
        <f t="shared" si="3"/>
        <v>28</v>
      </c>
      <c r="M21" s="18"/>
      <c r="N21" s="9">
        <v>34</v>
      </c>
      <c r="O21" s="9">
        <v>39</v>
      </c>
      <c r="P21" s="9"/>
      <c r="Q21" s="18">
        <f t="shared" si="4"/>
        <v>73</v>
      </c>
      <c r="R21" s="18">
        <v>4</v>
      </c>
      <c r="S21" s="18" t="str">
        <f t="shared" si="5"/>
        <v>8</v>
      </c>
      <c r="T21" s="18" t="str">
        <f t="shared" si="6"/>
        <v>A</v>
      </c>
      <c r="U21" s="18">
        <f t="shared" si="7"/>
        <v>32</v>
      </c>
      <c r="V21" s="18"/>
      <c r="W21" s="9">
        <v>33</v>
      </c>
      <c r="X21" s="9">
        <v>43</v>
      </c>
      <c r="Y21" s="18"/>
      <c r="Z21" s="18">
        <f t="shared" si="8"/>
        <v>76</v>
      </c>
      <c r="AA21" s="18">
        <v>3</v>
      </c>
      <c r="AB21" s="18" t="str">
        <f t="shared" si="9"/>
        <v>8</v>
      </c>
      <c r="AC21" s="18" t="str">
        <f t="shared" si="10"/>
        <v>A</v>
      </c>
      <c r="AD21" s="18">
        <f t="shared" si="11"/>
        <v>24</v>
      </c>
      <c r="AE21" s="18"/>
      <c r="AF21" s="46">
        <v>36</v>
      </c>
      <c r="AG21" s="46">
        <v>46</v>
      </c>
      <c r="AH21" s="9"/>
      <c r="AI21" s="18">
        <f t="shared" si="12"/>
        <v>82</v>
      </c>
      <c r="AJ21" s="18">
        <v>3</v>
      </c>
      <c r="AK21" s="18" t="str">
        <f t="shared" si="13"/>
        <v>9</v>
      </c>
      <c r="AL21" s="18" t="str">
        <f t="shared" si="14"/>
        <v>A+</v>
      </c>
      <c r="AM21" s="18">
        <f t="shared" si="15"/>
        <v>27</v>
      </c>
      <c r="AN21" s="18"/>
      <c r="AO21" s="46">
        <v>48</v>
      </c>
      <c r="AP21" s="46">
        <v>44</v>
      </c>
      <c r="AQ21" s="9"/>
      <c r="AR21" s="18">
        <f t="shared" si="16"/>
        <v>92</v>
      </c>
      <c r="AS21" s="18">
        <v>3</v>
      </c>
      <c r="AT21" s="18" t="str">
        <f t="shared" si="17"/>
        <v>10</v>
      </c>
      <c r="AU21" s="18" t="str">
        <f t="shared" si="18"/>
        <v>O</v>
      </c>
      <c r="AV21" s="18">
        <f t="shared" si="19"/>
        <v>30</v>
      </c>
      <c r="AW21" s="18"/>
      <c r="AX21" s="9">
        <v>31</v>
      </c>
      <c r="AY21" s="9">
        <v>34</v>
      </c>
      <c r="AZ21" s="9"/>
      <c r="BA21" s="18">
        <f t="shared" si="20"/>
        <v>65</v>
      </c>
      <c r="BB21" s="18">
        <v>1</v>
      </c>
      <c r="BC21" s="18" t="str">
        <f t="shared" si="21"/>
        <v>7</v>
      </c>
      <c r="BD21" s="18" t="str">
        <f t="shared" si="22"/>
        <v>B+</v>
      </c>
      <c r="BE21" s="18">
        <f t="shared" si="23"/>
        <v>7</v>
      </c>
      <c r="BF21" s="43" t="s">
        <v>32</v>
      </c>
      <c r="BG21" s="9">
        <v>18</v>
      </c>
      <c r="BH21" s="9">
        <v>34</v>
      </c>
      <c r="BI21" s="9"/>
      <c r="BJ21" s="18">
        <f t="shared" si="24"/>
        <v>52</v>
      </c>
      <c r="BK21" s="18">
        <v>1</v>
      </c>
      <c r="BL21" s="18" t="str">
        <f t="shared" si="25"/>
        <v>5</v>
      </c>
      <c r="BM21" s="18" t="str">
        <f t="shared" si="26"/>
        <v>C</v>
      </c>
      <c r="BN21" s="18">
        <f t="shared" si="27"/>
        <v>5</v>
      </c>
      <c r="BO21" s="18"/>
      <c r="BP21" s="9">
        <v>26</v>
      </c>
      <c r="BQ21" s="9">
        <v>571</v>
      </c>
      <c r="BR21" s="9"/>
      <c r="BS21" s="18">
        <f t="shared" si="28"/>
        <v>597</v>
      </c>
      <c r="BT21" s="18">
        <v>1</v>
      </c>
      <c r="BU21" s="18" t="str">
        <f t="shared" si="29"/>
        <v>10</v>
      </c>
      <c r="BV21" s="18" t="str">
        <f t="shared" si="30"/>
        <v>O</v>
      </c>
      <c r="BW21" s="18">
        <f t="shared" si="31"/>
        <v>10</v>
      </c>
      <c r="BX21" s="18"/>
      <c r="BY21" s="18"/>
      <c r="BZ21" s="18">
        <f t="shared" si="32"/>
        <v>163</v>
      </c>
      <c r="CA21" s="19">
        <f t="shared" si="33"/>
        <v>8.15</v>
      </c>
      <c r="CB21" s="28" t="str">
        <f t="shared" si="34"/>
        <v>A+</v>
      </c>
      <c r="CC21" s="27">
        <f t="shared" si="35"/>
        <v>77.424999999999997</v>
      </c>
      <c r="CD21" s="27"/>
      <c r="CE21" s="28">
        <f t="shared" si="36"/>
        <v>1098</v>
      </c>
      <c r="CF21" s="28">
        <f t="shared" si="37"/>
        <v>137.25</v>
      </c>
      <c r="CG21" s="27"/>
      <c r="CH21" s="27"/>
      <c r="CI21" s="27" t="str">
        <f t="shared" si="39"/>
        <v>FCD</v>
      </c>
    </row>
    <row r="22" spans="1:87" ht="15.75" customHeight="1" x14ac:dyDescent="0.3">
      <c r="A22" s="35">
        <f t="shared" si="38"/>
        <v>15</v>
      </c>
      <c r="B22" s="86" t="s">
        <v>61</v>
      </c>
      <c r="C22" s="86" t="s">
        <v>62</v>
      </c>
      <c r="D22" s="47" t="s">
        <v>31</v>
      </c>
      <c r="E22" s="9">
        <v>33</v>
      </c>
      <c r="F22" s="9">
        <v>46</v>
      </c>
      <c r="G22" s="9"/>
      <c r="H22" s="18">
        <f t="shared" si="0"/>
        <v>79</v>
      </c>
      <c r="I22" s="18">
        <v>4</v>
      </c>
      <c r="J22" s="18" t="str">
        <f t="shared" si="1"/>
        <v>8</v>
      </c>
      <c r="K22" s="18" t="str">
        <f t="shared" si="2"/>
        <v>A</v>
      </c>
      <c r="L22" s="18">
        <f t="shared" si="3"/>
        <v>32</v>
      </c>
      <c r="M22" s="18"/>
      <c r="N22" s="9">
        <v>42</v>
      </c>
      <c r="O22" s="9">
        <v>44</v>
      </c>
      <c r="P22" s="9"/>
      <c r="Q22" s="18">
        <f t="shared" si="4"/>
        <v>86</v>
      </c>
      <c r="R22" s="18">
        <v>4</v>
      </c>
      <c r="S22" s="18" t="str">
        <f t="shared" si="5"/>
        <v>9</v>
      </c>
      <c r="T22" s="18" t="str">
        <f t="shared" si="6"/>
        <v>A+</v>
      </c>
      <c r="U22" s="18">
        <f t="shared" si="7"/>
        <v>36</v>
      </c>
      <c r="V22" s="18"/>
      <c r="W22" s="9">
        <v>34</v>
      </c>
      <c r="X22" s="9">
        <v>42</v>
      </c>
      <c r="Y22" s="18"/>
      <c r="Z22" s="18">
        <f t="shared" si="8"/>
        <v>76</v>
      </c>
      <c r="AA22" s="18">
        <v>3</v>
      </c>
      <c r="AB22" s="18" t="str">
        <f t="shared" si="9"/>
        <v>8</v>
      </c>
      <c r="AC22" s="18" t="str">
        <f t="shared" si="10"/>
        <v>A</v>
      </c>
      <c r="AD22" s="18">
        <f t="shared" si="11"/>
        <v>24</v>
      </c>
      <c r="AE22" s="18"/>
      <c r="AF22" s="46">
        <v>22</v>
      </c>
      <c r="AG22" s="46">
        <v>43</v>
      </c>
      <c r="AH22" s="9"/>
      <c r="AI22" s="18">
        <f t="shared" si="12"/>
        <v>65</v>
      </c>
      <c r="AJ22" s="18">
        <v>3</v>
      </c>
      <c r="AK22" s="18" t="str">
        <f t="shared" si="13"/>
        <v>7</v>
      </c>
      <c r="AL22" s="18" t="str">
        <f t="shared" si="14"/>
        <v>B+</v>
      </c>
      <c r="AM22" s="18">
        <f t="shared" si="15"/>
        <v>21</v>
      </c>
      <c r="AN22" s="18"/>
      <c r="AO22" s="46">
        <v>33</v>
      </c>
      <c r="AP22" s="46">
        <v>48</v>
      </c>
      <c r="AQ22" s="9"/>
      <c r="AR22" s="18">
        <f t="shared" si="16"/>
        <v>81</v>
      </c>
      <c r="AS22" s="18">
        <v>3</v>
      </c>
      <c r="AT22" s="18" t="str">
        <f t="shared" si="17"/>
        <v>9</v>
      </c>
      <c r="AU22" s="18" t="str">
        <f t="shared" si="18"/>
        <v>A+</v>
      </c>
      <c r="AV22" s="18">
        <f t="shared" si="19"/>
        <v>27</v>
      </c>
      <c r="AW22" s="18"/>
      <c r="AX22" s="9">
        <v>27</v>
      </c>
      <c r="AY22" s="9">
        <v>33</v>
      </c>
      <c r="AZ22" s="9"/>
      <c r="BA22" s="18">
        <f t="shared" si="20"/>
        <v>60</v>
      </c>
      <c r="BB22" s="18">
        <v>1</v>
      </c>
      <c r="BC22" s="18" t="str">
        <f t="shared" si="21"/>
        <v>7</v>
      </c>
      <c r="BD22" s="18" t="str">
        <f t="shared" si="22"/>
        <v>B+</v>
      </c>
      <c r="BE22" s="18">
        <f t="shared" si="23"/>
        <v>7</v>
      </c>
      <c r="BF22" s="43" t="s">
        <v>35</v>
      </c>
      <c r="BG22" s="9">
        <v>20</v>
      </c>
      <c r="BH22" s="9">
        <v>36</v>
      </c>
      <c r="BI22" s="9"/>
      <c r="BJ22" s="18">
        <f t="shared" si="24"/>
        <v>56</v>
      </c>
      <c r="BK22" s="18">
        <v>1</v>
      </c>
      <c r="BL22" s="18" t="str">
        <f t="shared" si="25"/>
        <v>6</v>
      </c>
      <c r="BM22" s="18" t="str">
        <f t="shared" si="26"/>
        <v>B</v>
      </c>
      <c r="BN22" s="18">
        <f t="shared" si="27"/>
        <v>6</v>
      </c>
      <c r="BO22" s="18"/>
      <c r="BP22" s="9">
        <v>24</v>
      </c>
      <c r="BQ22" s="9">
        <v>574</v>
      </c>
      <c r="BR22" s="9"/>
      <c r="BS22" s="18">
        <f t="shared" si="28"/>
        <v>598</v>
      </c>
      <c r="BT22" s="18">
        <v>1</v>
      </c>
      <c r="BU22" s="18" t="str">
        <f t="shared" si="29"/>
        <v>10</v>
      </c>
      <c r="BV22" s="18" t="str">
        <f t="shared" si="30"/>
        <v>O</v>
      </c>
      <c r="BW22" s="18">
        <f t="shared" si="31"/>
        <v>10</v>
      </c>
      <c r="BX22" s="18"/>
      <c r="BY22" s="18"/>
      <c r="BZ22" s="18">
        <f t="shared" si="32"/>
        <v>163</v>
      </c>
      <c r="CA22" s="19">
        <f t="shared" si="33"/>
        <v>8.15</v>
      </c>
      <c r="CB22" s="28" t="str">
        <f t="shared" si="34"/>
        <v>A+</v>
      </c>
      <c r="CC22" s="27">
        <f t="shared" si="35"/>
        <v>77.424999999999997</v>
      </c>
      <c r="CD22" s="27"/>
      <c r="CE22" s="28">
        <f t="shared" si="36"/>
        <v>1101</v>
      </c>
      <c r="CF22" s="28">
        <f t="shared" si="37"/>
        <v>137.625</v>
      </c>
      <c r="CG22" s="27"/>
      <c r="CH22" s="27"/>
      <c r="CI22" s="27" t="str">
        <f t="shared" si="39"/>
        <v>FCD</v>
      </c>
    </row>
    <row r="23" spans="1:87" ht="15.75" customHeight="1" x14ac:dyDescent="0.3">
      <c r="A23" s="35">
        <f t="shared" si="38"/>
        <v>16</v>
      </c>
      <c r="B23" s="85" t="s">
        <v>63</v>
      </c>
      <c r="C23" s="85" t="s">
        <v>64</v>
      </c>
      <c r="D23" s="47" t="s">
        <v>31</v>
      </c>
      <c r="E23" s="9">
        <v>24</v>
      </c>
      <c r="F23" s="9">
        <v>45</v>
      </c>
      <c r="G23" s="9"/>
      <c r="H23" s="18">
        <f t="shared" si="0"/>
        <v>69</v>
      </c>
      <c r="I23" s="18">
        <v>4</v>
      </c>
      <c r="J23" s="18" t="str">
        <f t="shared" si="1"/>
        <v>7</v>
      </c>
      <c r="K23" s="18" t="str">
        <f t="shared" si="2"/>
        <v>B+</v>
      </c>
      <c r="L23" s="18">
        <f t="shared" si="3"/>
        <v>28</v>
      </c>
      <c r="M23" s="18"/>
      <c r="N23" s="9">
        <v>42</v>
      </c>
      <c r="O23" s="9">
        <v>45</v>
      </c>
      <c r="P23" s="9"/>
      <c r="Q23" s="18">
        <f t="shared" si="4"/>
        <v>87</v>
      </c>
      <c r="R23" s="18">
        <v>4</v>
      </c>
      <c r="S23" s="18" t="str">
        <f t="shared" si="5"/>
        <v>9</v>
      </c>
      <c r="T23" s="18" t="str">
        <f t="shared" si="6"/>
        <v>A+</v>
      </c>
      <c r="U23" s="18">
        <f t="shared" si="7"/>
        <v>36</v>
      </c>
      <c r="V23" s="18"/>
      <c r="W23" s="9">
        <v>22</v>
      </c>
      <c r="X23" s="9">
        <v>44</v>
      </c>
      <c r="Y23" s="18"/>
      <c r="Z23" s="18">
        <f t="shared" si="8"/>
        <v>66</v>
      </c>
      <c r="AA23" s="18">
        <v>3</v>
      </c>
      <c r="AB23" s="18" t="str">
        <f t="shared" si="9"/>
        <v>7</v>
      </c>
      <c r="AC23" s="18" t="str">
        <f t="shared" si="10"/>
        <v>B+</v>
      </c>
      <c r="AD23" s="18">
        <f t="shared" si="11"/>
        <v>21</v>
      </c>
      <c r="AE23" s="18"/>
      <c r="AF23" s="46">
        <v>35</v>
      </c>
      <c r="AG23" s="46">
        <v>42</v>
      </c>
      <c r="AH23" s="9"/>
      <c r="AI23" s="18">
        <f t="shared" si="12"/>
        <v>77</v>
      </c>
      <c r="AJ23" s="18">
        <v>3</v>
      </c>
      <c r="AK23" s="18" t="str">
        <f t="shared" si="13"/>
        <v>8</v>
      </c>
      <c r="AL23" s="18" t="str">
        <f t="shared" si="14"/>
        <v>A</v>
      </c>
      <c r="AM23" s="18">
        <f t="shared" si="15"/>
        <v>24</v>
      </c>
      <c r="AN23" s="18"/>
      <c r="AO23" s="46">
        <v>45</v>
      </c>
      <c r="AP23" s="46">
        <v>39</v>
      </c>
      <c r="AQ23" s="9"/>
      <c r="AR23" s="18">
        <f t="shared" si="16"/>
        <v>84</v>
      </c>
      <c r="AS23" s="18">
        <v>3</v>
      </c>
      <c r="AT23" s="18" t="str">
        <f t="shared" si="17"/>
        <v>9</v>
      </c>
      <c r="AU23" s="18" t="str">
        <f t="shared" si="18"/>
        <v>A+</v>
      </c>
      <c r="AV23" s="18">
        <f t="shared" si="19"/>
        <v>27</v>
      </c>
      <c r="AW23" s="18"/>
      <c r="AX23" s="9">
        <v>33</v>
      </c>
      <c r="AY23" s="9">
        <v>39</v>
      </c>
      <c r="AZ23" s="9"/>
      <c r="BA23" s="18">
        <f t="shared" si="20"/>
        <v>72</v>
      </c>
      <c r="BB23" s="18">
        <v>1</v>
      </c>
      <c r="BC23" s="18" t="str">
        <f t="shared" si="21"/>
        <v>8</v>
      </c>
      <c r="BD23" s="18" t="str">
        <f t="shared" si="22"/>
        <v>A</v>
      </c>
      <c r="BE23" s="18">
        <f t="shared" si="23"/>
        <v>8</v>
      </c>
      <c r="BF23" s="43" t="s">
        <v>32</v>
      </c>
      <c r="BG23" s="9">
        <v>29</v>
      </c>
      <c r="BH23" s="9">
        <v>45</v>
      </c>
      <c r="BI23" s="9"/>
      <c r="BJ23" s="18">
        <f t="shared" si="24"/>
        <v>74</v>
      </c>
      <c r="BK23" s="18">
        <v>1</v>
      </c>
      <c r="BL23" s="18" t="str">
        <f t="shared" si="25"/>
        <v>8</v>
      </c>
      <c r="BM23" s="18" t="str">
        <f t="shared" si="26"/>
        <v>A</v>
      </c>
      <c r="BN23" s="18">
        <f t="shared" si="27"/>
        <v>8</v>
      </c>
      <c r="BO23" s="18"/>
      <c r="BP23" s="9">
        <v>33</v>
      </c>
      <c r="BQ23" s="9">
        <v>609</v>
      </c>
      <c r="BR23" s="9"/>
      <c r="BS23" s="18">
        <f t="shared" si="28"/>
        <v>642</v>
      </c>
      <c r="BT23" s="18">
        <v>1</v>
      </c>
      <c r="BU23" s="18" t="str">
        <f t="shared" si="29"/>
        <v>10</v>
      </c>
      <c r="BV23" s="18" t="str">
        <f t="shared" si="30"/>
        <v>O</v>
      </c>
      <c r="BW23" s="18">
        <f t="shared" si="31"/>
        <v>10</v>
      </c>
      <c r="BX23" s="18"/>
      <c r="BY23" s="18"/>
      <c r="BZ23" s="18">
        <f t="shared" si="32"/>
        <v>162</v>
      </c>
      <c r="CA23" s="19">
        <f t="shared" si="33"/>
        <v>8.1</v>
      </c>
      <c r="CB23" s="28" t="str">
        <f t="shared" si="34"/>
        <v>A+</v>
      </c>
      <c r="CC23" s="27">
        <f t="shared" si="35"/>
        <v>76.95</v>
      </c>
      <c r="CD23" s="27"/>
      <c r="CE23" s="28">
        <f t="shared" si="36"/>
        <v>1171</v>
      </c>
      <c r="CF23" s="28">
        <f t="shared" si="37"/>
        <v>146.375</v>
      </c>
      <c r="CG23" s="27"/>
      <c r="CH23" s="27"/>
      <c r="CI23" s="27" t="str">
        <f t="shared" si="39"/>
        <v>FCD</v>
      </c>
    </row>
    <row r="24" spans="1:87" ht="15.75" customHeight="1" x14ac:dyDescent="0.3">
      <c r="A24" s="35">
        <f t="shared" si="38"/>
        <v>17</v>
      </c>
      <c r="B24" s="85" t="s">
        <v>65</v>
      </c>
      <c r="C24" s="85" t="s">
        <v>66</v>
      </c>
      <c r="D24" s="47" t="s">
        <v>31</v>
      </c>
      <c r="E24" s="9">
        <v>25</v>
      </c>
      <c r="F24" s="9">
        <v>47</v>
      </c>
      <c r="G24" s="9"/>
      <c r="H24" s="18">
        <f t="shared" si="0"/>
        <v>72</v>
      </c>
      <c r="I24" s="18">
        <v>4</v>
      </c>
      <c r="J24" s="18" t="str">
        <f t="shared" si="1"/>
        <v>8</v>
      </c>
      <c r="K24" s="18" t="str">
        <f t="shared" si="2"/>
        <v>A</v>
      </c>
      <c r="L24" s="18">
        <f t="shared" si="3"/>
        <v>32</v>
      </c>
      <c r="M24" s="18"/>
      <c r="N24" s="9">
        <v>44</v>
      </c>
      <c r="O24" s="9">
        <v>49</v>
      </c>
      <c r="P24" s="9"/>
      <c r="Q24" s="18">
        <f t="shared" si="4"/>
        <v>93</v>
      </c>
      <c r="R24" s="18">
        <v>4</v>
      </c>
      <c r="S24" s="18" t="str">
        <f t="shared" si="5"/>
        <v>10</v>
      </c>
      <c r="T24" s="18" t="str">
        <f t="shared" si="6"/>
        <v>O</v>
      </c>
      <c r="U24" s="18">
        <f t="shared" si="7"/>
        <v>40</v>
      </c>
      <c r="V24" s="18"/>
      <c r="W24" s="9">
        <v>33</v>
      </c>
      <c r="X24" s="9">
        <v>44</v>
      </c>
      <c r="Y24" s="18"/>
      <c r="Z24" s="18">
        <f t="shared" si="8"/>
        <v>77</v>
      </c>
      <c r="AA24" s="18">
        <v>3</v>
      </c>
      <c r="AB24" s="18" t="str">
        <f t="shared" si="9"/>
        <v>8</v>
      </c>
      <c r="AC24" s="18" t="str">
        <f t="shared" si="10"/>
        <v>A</v>
      </c>
      <c r="AD24" s="18">
        <f t="shared" si="11"/>
        <v>24</v>
      </c>
      <c r="AE24" s="18"/>
      <c r="AF24" s="46">
        <v>30</v>
      </c>
      <c r="AG24" s="46">
        <v>48</v>
      </c>
      <c r="AH24" s="9"/>
      <c r="AI24" s="18">
        <f t="shared" si="12"/>
        <v>78</v>
      </c>
      <c r="AJ24" s="18">
        <v>3</v>
      </c>
      <c r="AK24" s="18" t="str">
        <f t="shared" si="13"/>
        <v>8</v>
      </c>
      <c r="AL24" s="18" t="str">
        <f t="shared" si="14"/>
        <v>A</v>
      </c>
      <c r="AM24" s="18">
        <f t="shared" si="15"/>
        <v>24</v>
      </c>
      <c r="AN24" s="18"/>
      <c r="AO24" s="46">
        <v>38</v>
      </c>
      <c r="AP24" s="46">
        <v>47</v>
      </c>
      <c r="AQ24" s="9"/>
      <c r="AR24" s="18">
        <f t="shared" si="16"/>
        <v>85</v>
      </c>
      <c r="AS24" s="18">
        <v>3</v>
      </c>
      <c r="AT24" s="18" t="str">
        <f t="shared" si="17"/>
        <v>9</v>
      </c>
      <c r="AU24" s="18" t="str">
        <f t="shared" si="18"/>
        <v>A+</v>
      </c>
      <c r="AV24" s="18">
        <f t="shared" si="19"/>
        <v>27</v>
      </c>
      <c r="AW24" s="18"/>
      <c r="AX24" s="9">
        <v>32</v>
      </c>
      <c r="AY24" s="9">
        <v>43</v>
      </c>
      <c r="AZ24" s="9"/>
      <c r="BA24" s="18">
        <f t="shared" si="20"/>
        <v>75</v>
      </c>
      <c r="BB24" s="18">
        <v>1</v>
      </c>
      <c r="BC24" s="18" t="str">
        <f t="shared" si="21"/>
        <v>8</v>
      </c>
      <c r="BD24" s="18" t="str">
        <f t="shared" si="22"/>
        <v>A</v>
      </c>
      <c r="BE24" s="18">
        <f t="shared" si="23"/>
        <v>8</v>
      </c>
      <c r="BF24" s="43" t="s">
        <v>35</v>
      </c>
      <c r="BG24" s="9">
        <v>22</v>
      </c>
      <c r="BH24" s="9">
        <v>47</v>
      </c>
      <c r="BI24" s="9"/>
      <c r="BJ24" s="18">
        <f t="shared" si="24"/>
        <v>69</v>
      </c>
      <c r="BK24" s="18">
        <v>1</v>
      </c>
      <c r="BL24" s="18" t="str">
        <f t="shared" si="25"/>
        <v>7</v>
      </c>
      <c r="BM24" s="18" t="str">
        <f t="shared" si="26"/>
        <v>B+</v>
      </c>
      <c r="BN24" s="18">
        <f t="shared" si="27"/>
        <v>7</v>
      </c>
      <c r="BO24" s="18"/>
      <c r="BP24" s="9">
        <v>27</v>
      </c>
      <c r="BQ24" s="9">
        <v>622</v>
      </c>
      <c r="BR24" s="9"/>
      <c r="BS24" s="18">
        <f t="shared" si="28"/>
        <v>649</v>
      </c>
      <c r="BT24" s="18">
        <v>1</v>
      </c>
      <c r="BU24" s="18" t="str">
        <f t="shared" si="29"/>
        <v>10</v>
      </c>
      <c r="BV24" s="18" t="str">
        <f t="shared" si="30"/>
        <v>O</v>
      </c>
      <c r="BW24" s="18">
        <f t="shared" si="31"/>
        <v>10</v>
      </c>
      <c r="BX24" s="18"/>
      <c r="BY24" s="18"/>
      <c r="BZ24" s="18">
        <f t="shared" si="32"/>
        <v>172</v>
      </c>
      <c r="CA24" s="19">
        <f t="shared" si="33"/>
        <v>8.6</v>
      </c>
      <c r="CB24" s="28" t="str">
        <f t="shared" si="34"/>
        <v>A+</v>
      </c>
      <c r="CC24" s="27">
        <f t="shared" si="35"/>
        <v>81.7</v>
      </c>
      <c r="CD24" s="27"/>
      <c r="CE24" s="28">
        <f t="shared" si="36"/>
        <v>1198</v>
      </c>
      <c r="CF24" s="28">
        <f t="shared" si="37"/>
        <v>149.75</v>
      </c>
      <c r="CG24" s="27"/>
      <c r="CH24" s="27"/>
      <c r="CI24" s="27" t="str">
        <f t="shared" si="39"/>
        <v>FCD</v>
      </c>
    </row>
    <row r="25" spans="1:87" ht="15.75" customHeight="1" x14ac:dyDescent="0.3">
      <c r="A25" s="35">
        <f t="shared" si="38"/>
        <v>18</v>
      </c>
      <c r="B25" s="85" t="s">
        <v>67</v>
      </c>
      <c r="C25" s="85" t="s">
        <v>68</v>
      </c>
      <c r="D25" s="47" t="s">
        <v>31</v>
      </c>
      <c r="E25" s="9">
        <v>40</v>
      </c>
      <c r="F25" s="9">
        <v>47</v>
      </c>
      <c r="G25" s="9"/>
      <c r="H25" s="18">
        <f t="shared" si="0"/>
        <v>87</v>
      </c>
      <c r="I25" s="18">
        <v>4</v>
      </c>
      <c r="J25" s="18" t="str">
        <f t="shared" si="1"/>
        <v>9</v>
      </c>
      <c r="K25" s="18" t="str">
        <f t="shared" si="2"/>
        <v>A+</v>
      </c>
      <c r="L25" s="18">
        <f t="shared" si="3"/>
        <v>36</v>
      </c>
      <c r="M25" s="18"/>
      <c r="N25" s="9">
        <v>45</v>
      </c>
      <c r="O25" s="9">
        <v>48</v>
      </c>
      <c r="P25" s="9"/>
      <c r="Q25" s="18">
        <f t="shared" si="4"/>
        <v>93</v>
      </c>
      <c r="R25" s="18">
        <v>4</v>
      </c>
      <c r="S25" s="18" t="str">
        <f t="shared" si="5"/>
        <v>10</v>
      </c>
      <c r="T25" s="18" t="str">
        <f t="shared" si="6"/>
        <v>O</v>
      </c>
      <c r="U25" s="18">
        <f t="shared" si="7"/>
        <v>40</v>
      </c>
      <c r="V25" s="18"/>
      <c r="W25" s="9">
        <v>49</v>
      </c>
      <c r="X25" s="9">
        <v>42</v>
      </c>
      <c r="Y25" s="18"/>
      <c r="Z25" s="18">
        <f t="shared" si="8"/>
        <v>91</v>
      </c>
      <c r="AA25" s="18">
        <v>3</v>
      </c>
      <c r="AB25" s="18" t="str">
        <f t="shared" si="9"/>
        <v>10</v>
      </c>
      <c r="AC25" s="18" t="str">
        <f t="shared" si="10"/>
        <v>O</v>
      </c>
      <c r="AD25" s="18">
        <f t="shared" si="11"/>
        <v>30</v>
      </c>
      <c r="AE25" s="18"/>
      <c r="AF25" s="46">
        <v>27</v>
      </c>
      <c r="AG25" s="46">
        <v>48</v>
      </c>
      <c r="AH25" s="9"/>
      <c r="AI25" s="18">
        <f t="shared" si="12"/>
        <v>75</v>
      </c>
      <c r="AJ25" s="18">
        <v>3</v>
      </c>
      <c r="AK25" s="18" t="str">
        <f t="shared" si="13"/>
        <v>8</v>
      </c>
      <c r="AL25" s="18" t="str">
        <f t="shared" si="14"/>
        <v>A</v>
      </c>
      <c r="AM25" s="18">
        <f t="shared" si="15"/>
        <v>24</v>
      </c>
      <c r="AN25" s="18"/>
      <c r="AO25" s="46">
        <v>43</v>
      </c>
      <c r="AP25" s="46">
        <v>44</v>
      </c>
      <c r="AQ25" s="9"/>
      <c r="AR25" s="18">
        <f t="shared" si="16"/>
        <v>87</v>
      </c>
      <c r="AS25" s="18">
        <v>3</v>
      </c>
      <c r="AT25" s="18" t="str">
        <f t="shared" si="17"/>
        <v>9</v>
      </c>
      <c r="AU25" s="18" t="str">
        <f t="shared" si="18"/>
        <v>A+</v>
      </c>
      <c r="AV25" s="18">
        <f t="shared" si="19"/>
        <v>27</v>
      </c>
      <c r="AW25" s="18"/>
      <c r="AX25" s="9">
        <v>27</v>
      </c>
      <c r="AY25" s="9">
        <v>46</v>
      </c>
      <c r="AZ25" s="9"/>
      <c r="BA25" s="18">
        <f t="shared" si="20"/>
        <v>73</v>
      </c>
      <c r="BB25" s="18">
        <v>1</v>
      </c>
      <c r="BC25" s="18" t="str">
        <f t="shared" si="21"/>
        <v>8</v>
      </c>
      <c r="BD25" s="18" t="str">
        <f t="shared" si="22"/>
        <v>A</v>
      </c>
      <c r="BE25" s="18">
        <f t="shared" si="23"/>
        <v>8</v>
      </c>
      <c r="BF25" s="43" t="s">
        <v>35</v>
      </c>
      <c r="BG25" s="9">
        <v>29</v>
      </c>
      <c r="BH25" s="9">
        <v>48</v>
      </c>
      <c r="BI25" s="9"/>
      <c r="BJ25" s="18">
        <f t="shared" si="24"/>
        <v>77</v>
      </c>
      <c r="BK25" s="18">
        <v>1</v>
      </c>
      <c r="BL25" s="18" t="str">
        <f t="shared" si="25"/>
        <v>8</v>
      </c>
      <c r="BM25" s="18" t="str">
        <f t="shared" si="26"/>
        <v>A</v>
      </c>
      <c r="BN25" s="18">
        <f t="shared" si="27"/>
        <v>8</v>
      </c>
      <c r="BO25" s="18"/>
      <c r="BP25" s="9">
        <v>38</v>
      </c>
      <c r="BQ25" s="9">
        <v>670</v>
      </c>
      <c r="BR25" s="9"/>
      <c r="BS25" s="18">
        <f t="shared" si="28"/>
        <v>708</v>
      </c>
      <c r="BT25" s="18">
        <v>1</v>
      </c>
      <c r="BU25" s="18" t="str">
        <f t="shared" si="29"/>
        <v>10</v>
      </c>
      <c r="BV25" s="18" t="str">
        <f t="shared" si="30"/>
        <v>O</v>
      </c>
      <c r="BW25" s="18">
        <f t="shared" si="31"/>
        <v>10</v>
      </c>
      <c r="BX25" s="18"/>
      <c r="BY25" s="18"/>
      <c r="BZ25" s="18">
        <f t="shared" si="32"/>
        <v>183</v>
      </c>
      <c r="CA25" s="19">
        <f t="shared" si="33"/>
        <v>9.15</v>
      </c>
      <c r="CB25" s="28" t="str">
        <f t="shared" si="34"/>
        <v>O</v>
      </c>
      <c r="CC25" s="27">
        <f t="shared" si="35"/>
        <v>86.924999999999997</v>
      </c>
      <c r="CD25" s="27"/>
      <c r="CE25" s="28">
        <f t="shared" si="36"/>
        <v>1291</v>
      </c>
      <c r="CF25" s="28">
        <f t="shared" si="37"/>
        <v>161.375</v>
      </c>
      <c r="CG25" s="27"/>
      <c r="CH25" s="27"/>
      <c r="CI25" s="27" t="str">
        <f t="shared" si="39"/>
        <v>FCD</v>
      </c>
    </row>
    <row r="26" spans="1:87" ht="15.75" customHeight="1" x14ac:dyDescent="0.3">
      <c r="A26" s="35">
        <f t="shared" si="38"/>
        <v>19</v>
      </c>
      <c r="B26" s="85" t="s">
        <v>69</v>
      </c>
      <c r="C26" s="85" t="s">
        <v>70</v>
      </c>
      <c r="D26" s="47" t="s">
        <v>31</v>
      </c>
      <c r="E26" s="53">
        <v>13</v>
      </c>
      <c r="F26" s="53">
        <v>41</v>
      </c>
      <c r="G26" s="9"/>
      <c r="H26" s="18">
        <f t="shared" si="0"/>
        <v>54</v>
      </c>
      <c r="I26" s="18">
        <v>4</v>
      </c>
      <c r="J26" s="18" t="str">
        <f t="shared" si="1"/>
        <v>5</v>
      </c>
      <c r="K26" s="18" t="str">
        <f t="shared" si="2"/>
        <v>C</v>
      </c>
      <c r="L26" s="18">
        <f t="shared" si="3"/>
        <v>20</v>
      </c>
      <c r="M26" s="18"/>
      <c r="N26" s="9">
        <v>20</v>
      </c>
      <c r="O26" s="9">
        <v>40</v>
      </c>
      <c r="P26" s="9"/>
      <c r="Q26" s="18">
        <f t="shared" si="4"/>
        <v>60</v>
      </c>
      <c r="R26" s="18">
        <v>4</v>
      </c>
      <c r="S26" s="18" t="str">
        <f t="shared" si="5"/>
        <v>7</v>
      </c>
      <c r="T26" s="18" t="str">
        <f t="shared" si="6"/>
        <v>B+</v>
      </c>
      <c r="U26" s="18">
        <f t="shared" si="7"/>
        <v>28</v>
      </c>
      <c r="V26" s="18"/>
      <c r="W26" s="9">
        <v>11</v>
      </c>
      <c r="X26" s="9">
        <v>44</v>
      </c>
      <c r="Y26" s="18"/>
      <c r="Z26" s="18">
        <f t="shared" si="8"/>
        <v>55</v>
      </c>
      <c r="AA26" s="18">
        <v>3</v>
      </c>
      <c r="AB26" s="18" t="str">
        <f t="shared" si="9"/>
        <v>6</v>
      </c>
      <c r="AC26" s="18" t="str">
        <f t="shared" si="10"/>
        <v>B</v>
      </c>
      <c r="AD26" s="18">
        <f t="shared" si="11"/>
        <v>18</v>
      </c>
      <c r="AE26" s="18"/>
      <c r="AF26" s="46">
        <v>31</v>
      </c>
      <c r="AG26" s="46">
        <v>42</v>
      </c>
      <c r="AH26" s="9"/>
      <c r="AI26" s="18">
        <f t="shared" si="12"/>
        <v>73</v>
      </c>
      <c r="AJ26" s="18">
        <v>3</v>
      </c>
      <c r="AK26" s="18" t="str">
        <f t="shared" si="13"/>
        <v>8</v>
      </c>
      <c r="AL26" s="18" t="str">
        <f t="shared" si="14"/>
        <v>A</v>
      </c>
      <c r="AM26" s="18">
        <f t="shared" si="15"/>
        <v>24</v>
      </c>
      <c r="AN26" s="18"/>
      <c r="AO26" s="46">
        <v>25</v>
      </c>
      <c r="AP26" s="46">
        <v>30</v>
      </c>
      <c r="AQ26" s="9"/>
      <c r="AR26" s="18">
        <f t="shared" si="16"/>
        <v>55</v>
      </c>
      <c r="AS26" s="18">
        <v>3</v>
      </c>
      <c r="AT26" s="18" t="str">
        <f t="shared" si="17"/>
        <v>6</v>
      </c>
      <c r="AU26" s="18" t="str">
        <f t="shared" si="18"/>
        <v>B</v>
      </c>
      <c r="AV26" s="18">
        <f t="shared" si="19"/>
        <v>18</v>
      </c>
      <c r="AW26" s="18"/>
      <c r="AX26" s="9">
        <v>28</v>
      </c>
      <c r="AY26" s="9">
        <v>36</v>
      </c>
      <c r="AZ26" s="9"/>
      <c r="BA26" s="18">
        <f t="shared" si="20"/>
        <v>64</v>
      </c>
      <c r="BB26" s="18">
        <v>1</v>
      </c>
      <c r="BC26" s="18" t="str">
        <f t="shared" si="21"/>
        <v>7</v>
      </c>
      <c r="BD26" s="18" t="str">
        <f t="shared" si="22"/>
        <v>B+</v>
      </c>
      <c r="BE26" s="18">
        <f t="shared" si="23"/>
        <v>7</v>
      </c>
      <c r="BF26" s="43" t="s">
        <v>32</v>
      </c>
      <c r="BG26" s="9">
        <v>14</v>
      </c>
      <c r="BH26" s="9">
        <v>30</v>
      </c>
      <c r="BI26" s="9"/>
      <c r="BJ26" s="18">
        <f t="shared" si="24"/>
        <v>44</v>
      </c>
      <c r="BK26" s="18">
        <v>1</v>
      </c>
      <c r="BL26" s="18" t="str">
        <f t="shared" si="25"/>
        <v>4</v>
      </c>
      <c r="BM26" s="18" t="str">
        <f t="shared" si="26"/>
        <v>P</v>
      </c>
      <c r="BN26" s="18">
        <f t="shared" si="27"/>
        <v>4</v>
      </c>
      <c r="BO26" s="18"/>
      <c r="BP26" s="9">
        <v>18</v>
      </c>
      <c r="BQ26" s="9">
        <v>456</v>
      </c>
      <c r="BR26" s="9"/>
      <c r="BS26" s="18">
        <f t="shared" si="28"/>
        <v>474</v>
      </c>
      <c r="BT26" s="18">
        <v>1</v>
      </c>
      <c r="BU26" s="18" t="str">
        <f t="shared" si="29"/>
        <v>10</v>
      </c>
      <c r="BV26" s="18" t="str">
        <f t="shared" si="30"/>
        <v>O</v>
      </c>
      <c r="BW26" s="18">
        <f t="shared" si="31"/>
        <v>10</v>
      </c>
      <c r="BX26" s="18"/>
      <c r="BY26" s="18"/>
      <c r="BZ26" s="18">
        <f t="shared" si="32"/>
        <v>129</v>
      </c>
      <c r="CA26" s="19">
        <f t="shared" si="33"/>
        <v>6.45</v>
      </c>
      <c r="CB26" s="28" t="str">
        <f t="shared" si="34"/>
        <v>B+</v>
      </c>
      <c r="CC26" s="27">
        <f t="shared" si="35"/>
        <v>61.274999999999999</v>
      </c>
      <c r="CD26" s="27"/>
      <c r="CE26" s="28">
        <f t="shared" si="36"/>
        <v>879</v>
      </c>
      <c r="CF26" s="28">
        <f t="shared" si="37"/>
        <v>109.87499999999999</v>
      </c>
      <c r="CG26" s="27"/>
      <c r="CH26" s="27"/>
      <c r="CI26" s="27" t="str">
        <f t="shared" si="39"/>
        <v>SC</v>
      </c>
    </row>
    <row r="27" spans="1:87" ht="15.75" customHeight="1" x14ac:dyDescent="0.3">
      <c r="A27" s="35">
        <f t="shared" si="38"/>
        <v>20</v>
      </c>
      <c r="B27" s="85" t="s">
        <v>71</v>
      </c>
      <c r="C27" s="85" t="s">
        <v>72</v>
      </c>
      <c r="D27" s="47" t="s">
        <v>31</v>
      </c>
      <c r="E27" s="9">
        <v>29</v>
      </c>
      <c r="F27" s="9">
        <v>48</v>
      </c>
      <c r="G27" s="9"/>
      <c r="H27" s="18">
        <f t="shared" si="0"/>
        <v>77</v>
      </c>
      <c r="I27" s="18">
        <v>4</v>
      </c>
      <c r="J27" s="18" t="str">
        <f t="shared" si="1"/>
        <v>8</v>
      </c>
      <c r="K27" s="18" t="str">
        <f t="shared" si="2"/>
        <v>A</v>
      </c>
      <c r="L27" s="18">
        <f t="shared" si="3"/>
        <v>32</v>
      </c>
      <c r="M27" s="18"/>
      <c r="N27" s="9">
        <v>39</v>
      </c>
      <c r="O27" s="9">
        <v>48</v>
      </c>
      <c r="P27" s="9"/>
      <c r="Q27" s="18">
        <f t="shared" si="4"/>
        <v>87</v>
      </c>
      <c r="R27" s="18">
        <v>4</v>
      </c>
      <c r="S27" s="18" t="str">
        <f t="shared" si="5"/>
        <v>9</v>
      </c>
      <c r="T27" s="18" t="str">
        <f t="shared" si="6"/>
        <v>A+</v>
      </c>
      <c r="U27" s="18">
        <f t="shared" si="7"/>
        <v>36</v>
      </c>
      <c r="V27" s="18"/>
      <c r="W27" s="9">
        <v>28</v>
      </c>
      <c r="X27" s="9">
        <v>45</v>
      </c>
      <c r="Y27" s="18"/>
      <c r="Z27" s="18">
        <f t="shared" si="8"/>
        <v>73</v>
      </c>
      <c r="AA27" s="18">
        <v>3</v>
      </c>
      <c r="AB27" s="18" t="str">
        <f t="shared" si="9"/>
        <v>8</v>
      </c>
      <c r="AC27" s="18" t="str">
        <f t="shared" si="10"/>
        <v>A</v>
      </c>
      <c r="AD27" s="18">
        <f t="shared" si="11"/>
        <v>24</v>
      </c>
      <c r="AE27" s="18"/>
      <c r="AF27" s="46">
        <v>32</v>
      </c>
      <c r="AG27" s="46">
        <v>47</v>
      </c>
      <c r="AH27" s="9"/>
      <c r="AI27" s="18">
        <f t="shared" si="12"/>
        <v>79</v>
      </c>
      <c r="AJ27" s="18">
        <v>3</v>
      </c>
      <c r="AK27" s="18" t="str">
        <f t="shared" si="13"/>
        <v>8</v>
      </c>
      <c r="AL27" s="18" t="str">
        <f t="shared" si="14"/>
        <v>A</v>
      </c>
      <c r="AM27" s="18">
        <f t="shared" si="15"/>
        <v>24</v>
      </c>
      <c r="AN27" s="18"/>
      <c r="AO27" s="46">
        <v>40</v>
      </c>
      <c r="AP27" s="46">
        <v>47</v>
      </c>
      <c r="AQ27" s="9"/>
      <c r="AR27" s="18">
        <f t="shared" si="16"/>
        <v>87</v>
      </c>
      <c r="AS27" s="18">
        <v>3</v>
      </c>
      <c r="AT27" s="18" t="str">
        <f t="shared" si="17"/>
        <v>9</v>
      </c>
      <c r="AU27" s="18" t="str">
        <f t="shared" si="18"/>
        <v>A+</v>
      </c>
      <c r="AV27" s="18">
        <f t="shared" si="19"/>
        <v>27</v>
      </c>
      <c r="AW27" s="18"/>
      <c r="AX27" s="9">
        <v>33</v>
      </c>
      <c r="AY27" s="9">
        <v>45</v>
      </c>
      <c r="AZ27" s="9"/>
      <c r="BA27" s="18">
        <f t="shared" si="20"/>
        <v>78</v>
      </c>
      <c r="BB27" s="18">
        <v>1</v>
      </c>
      <c r="BC27" s="18" t="str">
        <f t="shared" si="21"/>
        <v>8</v>
      </c>
      <c r="BD27" s="18" t="str">
        <f t="shared" si="22"/>
        <v>A</v>
      </c>
      <c r="BE27" s="18">
        <f t="shared" si="23"/>
        <v>8</v>
      </c>
      <c r="BF27" s="69" t="s">
        <v>35</v>
      </c>
      <c r="BG27" s="9">
        <v>31</v>
      </c>
      <c r="BH27" s="9">
        <v>35</v>
      </c>
      <c r="BI27" s="9"/>
      <c r="BJ27" s="18">
        <f t="shared" si="24"/>
        <v>66</v>
      </c>
      <c r="BK27" s="18">
        <v>1</v>
      </c>
      <c r="BL27" s="18" t="str">
        <f t="shared" si="25"/>
        <v>7</v>
      </c>
      <c r="BM27" s="18" t="str">
        <f t="shared" si="26"/>
        <v>B+</v>
      </c>
      <c r="BN27" s="18">
        <f t="shared" si="27"/>
        <v>7</v>
      </c>
      <c r="BO27" s="18"/>
      <c r="BP27" s="9">
        <v>31</v>
      </c>
      <c r="BQ27" s="9">
        <v>625</v>
      </c>
      <c r="BR27" s="9"/>
      <c r="BS27" s="18">
        <f t="shared" si="28"/>
        <v>656</v>
      </c>
      <c r="BT27" s="18">
        <v>1</v>
      </c>
      <c r="BU27" s="18" t="str">
        <f t="shared" si="29"/>
        <v>10</v>
      </c>
      <c r="BV27" s="18" t="str">
        <f t="shared" si="30"/>
        <v>O</v>
      </c>
      <c r="BW27" s="18">
        <f t="shared" si="31"/>
        <v>10</v>
      </c>
      <c r="BX27" s="18"/>
      <c r="BY27" s="18"/>
      <c r="BZ27" s="18">
        <f t="shared" si="32"/>
        <v>168</v>
      </c>
      <c r="CA27" s="19">
        <f t="shared" si="33"/>
        <v>8.4</v>
      </c>
      <c r="CB27" s="28" t="str">
        <f t="shared" si="34"/>
        <v>A+</v>
      </c>
      <c r="CC27" s="27">
        <f t="shared" si="35"/>
        <v>79.8</v>
      </c>
      <c r="CD27" s="27"/>
      <c r="CE27" s="28">
        <f t="shared" si="36"/>
        <v>1203</v>
      </c>
      <c r="CF27" s="28">
        <f t="shared" si="37"/>
        <v>150.375</v>
      </c>
      <c r="CG27" s="27"/>
      <c r="CH27" s="27"/>
      <c r="CI27" s="27" t="str">
        <f t="shared" si="39"/>
        <v>FCD</v>
      </c>
    </row>
    <row r="28" spans="1:87" ht="15.75" customHeight="1" x14ac:dyDescent="0.3">
      <c r="A28" s="35">
        <f t="shared" si="38"/>
        <v>21</v>
      </c>
      <c r="B28" s="86" t="s">
        <v>73</v>
      </c>
      <c r="C28" s="86" t="s">
        <v>74</v>
      </c>
      <c r="D28" s="47" t="s">
        <v>31</v>
      </c>
      <c r="E28" s="9">
        <v>36</v>
      </c>
      <c r="F28" s="9">
        <v>48</v>
      </c>
      <c r="G28" s="9"/>
      <c r="H28" s="18">
        <f t="shared" si="0"/>
        <v>84</v>
      </c>
      <c r="I28" s="18">
        <v>4</v>
      </c>
      <c r="J28" s="18" t="str">
        <f t="shared" si="1"/>
        <v>9</v>
      </c>
      <c r="K28" s="18" t="str">
        <f t="shared" si="2"/>
        <v>A+</v>
      </c>
      <c r="L28" s="18">
        <f t="shared" si="3"/>
        <v>36</v>
      </c>
      <c r="M28" s="18"/>
      <c r="N28" s="9">
        <v>41</v>
      </c>
      <c r="O28" s="9">
        <v>47</v>
      </c>
      <c r="P28" s="9"/>
      <c r="Q28" s="18">
        <f t="shared" si="4"/>
        <v>88</v>
      </c>
      <c r="R28" s="18">
        <v>4</v>
      </c>
      <c r="S28" s="18" t="str">
        <f t="shared" si="5"/>
        <v>9</v>
      </c>
      <c r="T28" s="18" t="str">
        <f t="shared" si="6"/>
        <v>A+</v>
      </c>
      <c r="U28" s="18">
        <f t="shared" si="7"/>
        <v>36</v>
      </c>
      <c r="V28" s="18"/>
      <c r="W28" s="9">
        <v>20</v>
      </c>
      <c r="X28" s="9">
        <v>46</v>
      </c>
      <c r="Y28" s="18"/>
      <c r="Z28" s="18">
        <f t="shared" si="8"/>
        <v>66</v>
      </c>
      <c r="AA28" s="18">
        <v>3</v>
      </c>
      <c r="AB28" s="18" t="str">
        <f t="shared" si="9"/>
        <v>7</v>
      </c>
      <c r="AC28" s="18" t="str">
        <f t="shared" si="10"/>
        <v>B+</v>
      </c>
      <c r="AD28" s="18">
        <f t="shared" si="11"/>
        <v>21</v>
      </c>
      <c r="AE28" s="18"/>
      <c r="AF28" s="46">
        <v>28</v>
      </c>
      <c r="AG28" s="46">
        <v>49</v>
      </c>
      <c r="AH28" s="9"/>
      <c r="AI28" s="18">
        <f t="shared" si="12"/>
        <v>77</v>
      </c>
      <c r="AJ28" s="18">
        <v>3</v>
      </c>
      <c r="AK28" s="18" t="str">
        <f t="shared" si="13"/>
        <v>8</v>
      </c>
      <c r="AL28" s="18" t="str">
        <f t="shared" si="14"/>
        <v>A</v>
      </c>
      <c r="AM28" s="18">
        <f t="shared" si="15"/>
        <v>24</v>
      </c>
      <c r="AN28" s="18"/>
      <c r="AO28" s="46">
        <v>46</v>
      </c>
      <c r="AP28" s="46">
        <v>39</v>
      </c>
      <c r="AQ28" s="9"/>
      <c r="AR28" s="18">
        <f t="shared" si="16"/>
        <v>85</v>
      </c>
      <c r="AS28" s="18">
        <v>3</v>
      </c>
      <c r="AT28" s="18" t="str">
        <f t="shared" si="17"/>
        <v>9</v>
      </c>
      <c r="AU28" s="18" t="str">
        <f t="shared" si="18"/>
        <v>A+</v>
      </c>
      <c r="AV28" s="18">
        <f t="shared" si="19"/>
        <v>27</v>
      </c>
      <c r="AW28" s="18"/>
      <c r="AX28" s="9">
        <v>27</v>
      </c>
      <c r="AY28" s="9">
        <v>42</v>
      </c>
      <c r="AZ28" s="9"/>
      <c r="BA28" s="18">
        <f t="shared" si="20"/>
        <v>69</v>
      </c>
      <c r="BB28" s="18">
        <v>1</v>
      </c>
      <c r="BC28" s="18" t="str">
        <f t="shared" si="21"/>
        <v>7</v>
      </c>
      <c r="BD28" s="18" t="str">
        <f t="shared" si="22"/>
        <v>B+</v>
      </c>
      <c r="BE28" s="18">
        <f t="shared" si="23"/>
        <v>7</v>
      </c>
      <c r="BF28" s="43" t="s">
        <v>35</v>
      </c>
      <c r="BG28" s="9">
        <v>31</v>
      </c>
      <c r="BH28" s="9">
        <v>49</v>
      </c>
      <c r="BI28" s="9"/>
      <c r="BJ28" s="18">
        <f t="shared" si="24"/>
        <v>80</v>
      </c>
      <c r="BK28" s="18">
        <v>1</v>
      </c>
      <c r="BL28" s="18" t="str">
        <f t="shared" si="25"/>
        <v>9</v>
      </c>
      <c r="BM28" s="18" t="str">
        <f t="shared" si="26"/>
        <v>A+</v>
      </c>
      <c r="BN28" s="18">
        <f t="shared" si="27"/>
        <v>9</v>
      </c>
      <c r="BO28" s="18"/>
      <c r="BP28" s="9">
        <v>33</v>
      </c>
      <c r="BQ28" s="9">
        <v>628</v>
      </c>
      <c r="BR28" s="9"/>
      <c r="BS28" s="18">
        <f t="shared" si="28"/>
        <v>661</v>
      </c>
      <c r="BT28" s="18">
        <v>1</v>
      </c>
      <c r="BU28" s="18" t="str">
        <f t="shared" si="29"/>
        <v>10</v>
      </c>
      <c r="BV28" s="18" t="str">
        <f t="shared" si="30"/>
        <v>O</v>
      </c>
      <c r="BW28" s="18">
        <f t="shared" si="31"/>
        <v>10</v>
      </c>
      <c r="BX28" s="18"/>
      <c r="BY28" s="18"/>
      <c r="BZ28" s="18">
        <f t="shared" si="32"/>
        <v>170</v>
      </c>
      <c r="CA28" s="19">
        <f t="shared" si="33"/>
        <v>8.5</v>
      </c>
      <c r="CB28" s="28" t="str">
        <f t="shared" si="34"/>
        <v>A+</v>
      </c>
      <c r="CC28" s="27">
        <f t="shared" si="35"/>
        <v>80.75</v>
      </c>
      <c r="CD28" s="27"/>
      <c r="CE28" s="28">
        <f t="shared" si="36"/>
        <v>1210</v>
      </c>
      <c r="CF28" s="28">
        <f t="shared" si="37"/>
        <v>151.25</v>
      </c>
      <c r="CG28" s="27"/>
      <c r="CH28" s="27"/>
      <c r="CI28" s="27" t="str">
        <f t="shared" si="39"/>
        <v>FCD</v>
      </c>
    </row>
    <row r="29" spans="1:87" ht="15.75" customHeight="1" x14ac:dyDescent="0.3">
      <c r="A29" s="35">
        <f t="shared" si="38"/>
        <v>22</v>
      </c>
      <c r="B29" s="85" t="s">
        <v>75</v>
      </c>
      <c r="C29" s="85" t="s">
        <v>76</v>
      </c>
      <c r="D29" s="47" t="s">
        <v>31</v>
      </c>
      <c r="E29" s="9">
        <v>25</v>
      </c>
      <c r="F29" s="9">
        <v>44</v>
      </c>
      <c r="G29" s="9"/>
      <c r="H29" s="18">
        <f t="shared" si="0"/>
        <v>69</v>
      </c>
      <c r="I29" s="18">
        <v>4</v>
      </c>
      <c r="J29" s="18" t="str">
        <f t="shared" si="1"/>
        <v>7</v>
      </c>
      <c r="K29" s="18" t="str">
        <f t="shared" si="2"/>
        <v>B+</v>
      </c>
      <c r="L29" s="18">
        <f t="shared" si="3"/>
        <v>28</v>
      </c>
      <c r="M29" s="18"/>
      <c r="N29" s="9">
        <v>22</v>
      </c>
      <c r="O29" s="9">
        <v>49</v>
      </c>
      <c r="P29" s="9"/>
      <c r="Q29" s="18">
        <f t="shared" si="4"/>
        <v>71</v>
      </c>
      <c r="R29" s="18">
        <v>4</v>
      </c>
      <c r="S29" s="18" t="str">
        <f t="shared" si="5"/>
        <v>8</v>
      </c>
      <c r="T29" s="18" t="str">
        <f t="shared" si="6"/>
        <v>A</v>
      </c>
      <c r="U29" s="18">
        <f t="shared" si="7"/>
        <v>32</v>
      </c>
      <c r="V29" s="18"/>
      <c r="W29" s="9">
        <v>39</v>
      </c>
      <c r="X29" s="9">
        <v>47</v>
      </c>
      <c r="Y29" s="18"/>
      <c r="Z29" s="18">
        <f t="shared" si="8"/>
        <v>86</v>
      </c>
      <c r="AA29" s="18">
        <v>3</v>
      </c>
      <c r="AB29" s="18" t="str">
        <f t="shared" si="9"/>
        <v>9</v>
      </c>
      <c r="AC29" s="18" t="str">
        <f t="shared" si="10"/>
        <v>A+</v>
      </c>
      <c r="AD29" s="18">
        <f t="shared" si="11"/>
        <v>27</v>
      </c>
      <c r="AE29" s="18"/>
      <c r="AF29" s="46">
        <v>38</v>
      </c>
      <c r="AG29" s="46">
        <v>44</v>
      </c>
      <c r="AH29" s="9"/>
      <c r="AI29" s="18">
        <f t="shared" si="12"/>
        <v>82</v>
      </c>
      <c r="AJ29" s="18">
        <v>3</v>
      </c>
      <c r="AK29" s="18" t="str">
        <f t="shared" si="13"/>
        <v>9</v>
      </c>
      <c r="AL29" s="18" t="str">
        <f t="shared" si="14"/>
        <v>A+</v>
      </c>
      <c r="AM29" s="18">
        <f t="shared" si="15"/>
        <v>27</v>
      </c>
      <c r="AN29" s="18"/>
      <c r="AO29" s="46">
        <v>40</v>
      </c>
      <c r="AP29" s="46">
        <v>30</v>
      </c>
      <c r="AQ29" s="9"/>
      <c r="AR29" s="18">
        <f t="shared" si="16"/>
        <v>70</v>
      </c>
      <c r="AS29" s="18">
        <v>3</v>
      </c>
      <c r="AT29" s="18" t="str">
        <f t="shared" si="17"/>
        <v>8</v>
      </c>
      <c r="AU29" s="18" t="str">
        <f t="shared" si="18"/>
        <v>A</v>
      </c>
      <c r="AV29" s="18">
        <f t="shared" si="19"/>
        <v>24</v>
      </c>
      <c r="AW29" s="18"/>
      <c r="AX29" s="9">
        <v>34</v>
      </c>
      <c r="AY29" s="9">
        <v>39</v>
      </c>
      <c r="AZ29" s="9"/>
      <c r="BA29" s="18">
        <f t="shared" si="20"/>
        <v>73</v>
      </c>
      <c r="BB29" s="18">
        <v>1</v>
      </c>
      <c r="BC29" s="18" t="str">
        <f t="shared" si="21"/>
        <v>8</v>
      </c>
      <c r="BD29" s="18" t="str">
        <f t="shared" si="22"/>
        <v>A</v>
      </c>
      <c r="BE29" s="18">
        <f t="shared" si="23"/>
        <v>8</v>
      </c>
      <c r="BF29" s="43" t="s">
        <v>35</v>
      </c>
      <c r="BG29" s="9">
        <v>18</v>
      </c>
      <c r="BH29" s="9">
        <v>43</v>
      </c>
      <c r="BI29" s="9"/>
      <c r="BJ29" s="18">
        <f t="shared" si="24"/>
        <v>61</v>
      </c>
      <c r="BK29" s="18">
        <v>1</v>
      </c>
      <c r="BL29" s="18" t="str">
        <f t="shared" si="25"/>
        <v>7</v>
      </c>
      <c r="BM29" s="18" t="str">
        <f t="shared" si="26"/>
        <v>B+</v>
      </c>
      <c r="BN29" s="18">
        <f t="shared" si="27"/>
        <v>7</v>
      </c>
      <c r="BO29" s="18"/>
      <c r="BP29" s="9">
        <v>11</v>
      </c>
      <c r="BQ29" s="9">
        <v>569</v>
      </c>
      <c r="BR29" s="9"/>
      <c r="BS29" s="18">
        <f t="shared" si="28"/>
        <v>580</v>
      </c>
      <c r="BT29" s="18">
        <v>1</v>
      </c>
      <c r="BU29" s="18" t="str">
        <f t="shared" si="29"/>
        <v>10</v>
      </c>
      <c r="BV29" s="18" t="str">
        <f t="shared" si="30"/>
        <v>O</v>
      </c>
      <c r="BW29" s="18">
        <f t="shared" si="31"/>
        <v>10</v>
      </c>
      <c r="BX29" s="18"/>
      <c r="BY29" s="18"/>
      <c r="BZ29" s="18">
        <f t="shared" si="32"/>
        <v>163</v>
      </c>
      <c r="CA29" s="19">
        <f t="shared" si="33"/>
        <v>8.15</v>
      </c>
      <c r="CB29" s="28" t="str">
        <f t="shared" si="34"/>
        <v>A+</v>
      </c>
      <c r="CC29" s="27">
        <f t="shared" si="35"/>
        <v>77.424999999999997</v>
      </c>
      <c r="CD29" s="27"/>
      <c r="CE29" s="28">
        <f t="shared" si="36"/>
        <v>1092</v>
      </c>
      <c r="CF29" s="28">
        <f t="shared" si="37"/>
        <v>136.5</v>
      </c>
      <c r="CG29" s="27"/>
      <c r="CH29" s="27"/>
      <c r="CI29" s="27" t="str">
        <f t="shared" si="39"/>
        <v>FCD</v>
      </c>
    </row>
    <row r="30" spans="1:87" ht="15.75" customHeight="1" x14ac:dyDescent="0.3">
      <c r="A30" s="35">
        <f t="shared" si="38"/>
        <v>23</v>
      </c>
      <c r="B30" s="85" t="s">
        <v>77</v>
      </c>
      <c r="C30" s="85" t="s">
        <v>78</v>
      </c>
      <c r="D30" s="47" t="s">
        <v>31</v>
      </c>
      <c r="E30" s="9">
        <v>41</v>
      </c>
      <c r="F30" s="9">
        <v>49</v>
      </c>
      <c r="G30" s="9"/>
      <c r="H30" s="18">
        <f t="shared" si="0"/>
        <v>90</v>
      </c>
      <c r="I30" s="18">
        <v>4</v>
      </c>
      <c r="J30" s="18" t="str">
        <f t="shared" si="1"/>
        <v>10</v>
      </c>
      <c r="K30" s="18" t="str">
        <f t="shared" si="2"/>
        <v>O</v>
      </c>
      <c r="L30" s="18">
        <f t="shared" si="3"/>
        <v>40</v>
      </c>
      <c r="M30" s="18"/>
      <c r="N30" s="9">
        <v>44</v>
      </c>
      <c r="O30" s="9">
        <v>50</v>
      </c>
      <c r="P30" s="9"/>
      <c r="Q30" s="18">
        <f t="shared" si="4"/>
        <v>94</v>
      </c>
      <c r="R30" s="18">
        <v>4</v>
      </c>
      <c r="S30" s="18" t="str">
        <f t="shared" si="5"/>
        <v>10</v>
      </c>
      <c r="T30" s="18" t="str">
        <f t="shared" si="6"/>
        <v>O</v>
      </c>
      <c r="U30" s="18">
        <f t="shared" si="7"/>
        <v>40</v>
      </c>
      <c r="V30" s="18"/>
      <c r="W30" s="9">
        <v>27</v>
      </c>
      <c r="X30" s="9">
        <v>47</v>
      </c>
      <c r="Y30" s="18"/>
      <c r="Z30" s="18">
        <f t="shared" si="8"/>
        <v>74</v>
      </c>
      <c r="AA30" s="18">
        <v>3</v>
      </c>
      <c r="AB30" s="18" t="str">
        <f t="shared" si="9"/>
        <v>8</v>
      </c>
      <c r="AC30" s="18" t="str">
        <f t="shared" si="10"/>
        <v>A</v>
      </c>
      <c r="AD30" s="18">
        <f t="shared" si="11"/>
        <v>24</v>
      </c>
      <c r="AE30" s="18"/>
      <c r="AF30" s="46">
        <v>40</v>
      </c>
      <c r="AG30" s="46">
        <v>42</v>
      </c>
      <c r="AH30" s="9"/>
      <c r="AI30" s="18">
        <f t="shared" si="12"/>
        <v>82</v>
      </c>
      <c r="AJ30" s="18">
        <v>3</v>
      </c>
      <c r="AK30" s="18" t="str">
        <f t="shared" si="13"/>
        <v>9</v>
      </c>
      <c r="AL30" s="18" t="str">
        <f t="shared" si="14"/>
        <v>A+</v>
      </c>
      <c r="AM30" s="18">
        <f t="shared" si="15"/>
        <v>27</v>
      </c>
      <c r="AN30" s="18"/>
      <c r="AO30" s="46">
        <v>46</v>
      </c>
      <c r="AP30" s="46">
        <v>40</v>
      </c>
      <c r="AQ30" s="9"/>
      <c r="AR30" s="18">
        <f t="shared" si="16"/>
        <v>86</v>
      </c>
      <c r="AS30" s="18">
        <v>3</v>
      </c>
      <c r="AT30" s="18" t="str">
        <f t="shared" si="17"/>
        <v>9</v>
      </c>
      <c r="AU30" s="18" t="str">
        <f t="shared" si="18"/>
        <v>A+</v>
      </c>
      <c r="AV30" s="18">
        <f t="shared" si="19"/>
        <v>27</v>
      </c>
      <c r="AW30" s="18"/>
      <c r="AX30" s="9">
        <v>44</v>
      </c>
      <c r="AY30" s="9">
        <v>47</v>
      </c>
      <c r="AZ30" s="9"/>
      <c r="BA30" s="18">
        <f t="shared" si="20"/>
        <v>91</v>
      </c>
      <c r="BB30" s="18">
        <v>1</v>
      </c>
      <c r="BC30" s="18" t="str">
        <f t="shared" si="21"/>
        <v>10</v>
      </c>
      <c r="BD30" s="18" t="str">
        <f t="shared" si="22"/>
        <v>O</v>
      </c>
      <c r="BE30" s="18">
        <f t="shared" si="23"/>
        <v>10</v>
      </c>
      <c r="BF30" s="43" t="s">
        <v>32</v>
      </c>
      <c r="BG30" s="9">
        <v>34</v>
      </c>
      <c r="BH30" s="9">
        <v>45</v>
      </c>
      <c r="BI30" s="9"/>
      <c r="BJ30" s="18">
        <f t="shared" si="24"/>
        <v>79</v>
      </c>
      <c r="BK30" s="18">
        <v>1</v>
      </c>
      <c r="BL30" s="18" t="str">
        <f t="shared" si="25"/>
        <v>8</v>
      </c>
      <c r="BM30" s="18" t="str">
        <f t="shared" si="26"/>
        <v>A</v>
      </c>
      <c r="BN30" s="18">
        <f t="shared" si="27"/>
        <v>8</v>
      </c>
      <c r="BO30" s="18"/>
      <c r="BP30" s="9">
        <v>31</v>
      </c>
      <c r="BQ30" s="9">
        <v>675</v>
      </c>
      <c r="BR30" s="9"/>
      <c r="BS30" s="18">
        <f t="shared" si="28"/>
        <v>706</v>
      </c>
      <c r="BT30" s="18">
        <v>1</v>
      </c>
      <c r="BU30" s="18" t="str">
        <f t="shared" si="29"/>
        <v>10</v>
      </c>
      <c r="BV30" s="18" t="str">
        <f t="shared" si="30"/>
        <v>O</v>
      </c>
      <c r="BW30" s="18">
        <f t="shared" si="31"/>
        <v>10</v>
      </c>
      <c r="BX30" s="18"/>
      <c r="BY30" s="18"/>
      <c r="BZ30" s="18">
        <f t="shared" si="32"/>
        <v>186</v>
      </c>
      <c r="CA30" s="19">
        <f t="shared" si="33"/>
        <v>9.3000000000000007</v>
      </c>
      <c r="CB30" s="28" t="str">
        <f t="shared" si="34"/>
        <v>O</v>
      </c>
      <c r="CC30" s="27">
        <f t="shared" si="35"/>
        <v>88.350000000000009</v>
      </c>
      <c r="CD30" s="27"/>
      <c r="CE30" s="28">
        <f t="shared" si="36"/>
        <v>1302</v>
      </c>
      <c r="CF30" s="28">
        <f t="shared" si="37"/>
        <v>162.75</v>
      </c>
      <c r="CG30" s="27"/>
      <c r="CH30" s="27"/>
      <c r="CI30" s="27" t="str">
        <f t="shared" si="39"/>
        <v>FCD</v>
      </c>
    </row>
    <row r="31" spans="1:87" ht="15.75" customHeight="1" x14ac:dyDescent="0.3">
      <c r="A31" s="35">
        <f t="shared" si="38"/>
        <v>24</v>
      </c>
      <c r="B31" s="85" t="s">
        <v>79</v>
      </c>
      <c r="C31" s="85" t="s">
        <v>80</v>
      </c>
      <c r="D31" s="47" t="s">
        <v>31</v>
      </c>
      <c r="E31" s="9">
        <v>18</v>
      </c>
      <c r="F31" s="9">
        <v>46</v>
      </c>
      <c r="G31" s="9"/>
      <c r="H31" s="18">
        <f t="shared" si="0"/>
        <v>64</v>
      </c>
      <c r="I31" s="18">
        <v>4</v>
      </c>
      <c r="J31" s="18" t="str">
        <f t="shared" si="1"/>
        <v>7</v>
      </c>
      <c r="K31" s="18" t="str">
        <f t="shared" si="2"/>
        <v>B+</v>
      </c>
      <c r="L31" s="18">
        <f t="shared" si="3"/>
        <v>28</v>
      </c>
      <c r="M31" s="18"/>
      <c r="N31" s="9">
        <v>27</v>
      </c>
      <c r="O31" s="9">
        <v>43</v>
      </c>
      <c r="P31" s="9"/>
      <c r="Q31" s="18">
        <f t="shared" si="4"/>
        <v>70</v>
      </c>
      <c r="R31" s="18">
        <v>4</v>
      </c>
      <c r="S31" s="18" t="str">
        <f t="shared" si="5"/>
        <v>8</v>
      </c>
      <c r="T31" s="18" t="str">
        <f t="shared" si="6"/>
        <v>A</v>
      </c>
      <c r="U31" s="18">
        <f t="shared" si="7"/>
        <v>32</v>
      </c>
      <c r="V31" s="18"/>
      <c r="W31" s="9">
        <v>20</v>
      </c>
      <c r="X31" s="9">
        <v>41</v>
      </c>
      <c r="Y31" s="18"/>
      <c r="Z31" s="18">
        <f t="shared" si="8"/>
        <v>61</v>
      </c>
      <c r="AA31" s="18">
        <v>3</v>
      </c>
      <c r="AB31" s="18" t="str">
        <f t="shared" si="9"/>
        <v>7</v>
      </c>
      <c r="AC31" s="18" t="str">
        <f t="shared" si="10"/>
        <v>B+</v>
      </c>
      <c r="AD31" s="18">
        <f t="shared" si="11"/>
        <v>21</v>
      </c>
      <c r="AE31" s="18"/>
      <c r="AF31" s="46">
        <v>32</v>
      </c>
      <c r="AG31" s="46">
        <v>46</v>
      </c>
      <c r="AH31" s="9"/>
      <c r="AI31" s="18">
        <f t="shared" si="12"/>
        <v>78</v>
      </c>
      <c r="AJ31" s="18">
        <v>3</v>
      </c>
      <c r="AK31" s="18" t="str">
        <f t="shared" si="13"/>
        <v>8</v>
      </c>
      <c r="AL31" s="18" t="str">
        <f t="shared" si="14"/>
        <v>A</v>
      </c>
      <c r="AM31" s="18">
        <f t="shared" si="15"/>
        <v>24</v>
      </c>
      <c r="AN31" s="18"/>
      <c r="AO31" s="46">
        <v>32</v>
      </c>
      <c r="AP31" s="46">
        <v>48</v>
      </c>
      <c r="AQ31" s="9"/>
      <c r="AR31" s="18">
        <f t="shared" si="16"/>
        <v>80</v>
      </c>
      <c r="AS31" s="18">
        <v>3</v>
      </c>
      <c r="AT31" s="18" t="str">
        <f t="shared" si="17"/>
        <v>9</v>
      </c>
      <c r="AU31" s="18" t="str">
        <f t="shared" si="18"/>
        <v>A+</v>
      </c>
      <c r="AV31" s="18">
        <f t="shared" si="19"/>
        <v>27</v>
      </c>
      <c r="AW31" s="18"/>
      <c r="AX31" s="9">
        <v>27</v>
      </c>
      <c r="AY31" s="9">
        <v>42</v>
      </c>
      <c r="AZ31" s="9"/>
      <c r="BA31" s="18">
        <f t="shared" si="20"/>
        <v>69</v>
      </c>
      <c r="BB31" s="18">
        <v>1</v>
      </c>
      <c r="BC31" s="18" t="str">
        <f t="shared" si="21"/>
        <v>7</v>
      </c>
      <c r="BD31" s="18" t="str">
        <f t="shared" si="22"/>
        <v>B+</v>
      </c>
      <c r="BE31" s="18">
        <f t="shared" si="23"/>
        <v>7</v>
      </c>
      <c r="BF31" s="43" t="s">
        <v>35</v>
      </c>
      <c r="BG31" s="9">
        <v>24</v>
      </c>
      <c r="BH31" s="9">
        <v>32</v>
      </c>
      <c r="BI31" s="9"/>
      <c r="BJ31" s="18">
        <f t="shared" si="24"/>
        <v>56</v>
      </c>
      <c r="BK31" s="18">
        <v>1</v>
      </c>
      <c r="BL31" s="18" t="str">
        <f t="shared" si="25"/>
        <v>6</v>
      </c>
      <c r="BM31" s="18" t="str">
        <f t="shared" si="26"/>
        <v>B</v>
      </c>
      <c r="BN31" s="18">
        <f t="shared" si="27"/>
        <v>6</v>
      </c>
      <c r="BO31" s="18"/>
      <c r="BP31" s="9">
        <v>18</v>
      </c>
      <c r="BQ31" s="9">
        <v>536</v>
      </c>
      <c r="BR31" s="9"/>
      <c r="BS31" s="18">
        <f t="shared" si="28"/>
        <v>554</v>
      </c>
      <c r="BT31" s="18">
        <v>1</v>
      </c>
      <c r="BU31" s="18" t="str">
        <f t="shared" si="29"/>
        <v>10</v>
      </c>
      <c r="BV31" s="18" t="str">
        <f t="shared" si="30"/>
        <v>O</v>
      </c>
      <c r="BW31" s="18">
        <f t="shared" si="31"/>
        <v>10</v>
      </c>
      <c r="BX31" s="18"/>
      <c r="BY31" s="18"/>
      <c r="BZ31" s="18">
        <f t="shared" si="32"/>
        <v>155</v>
      </c>
      <c r="CA31" s="19">
        <f t="shared" si="33"/>
        <v>7.75</v>
      </c>
      <c r="CB31" s="28" t="str">
        <f t="shared" si="34"/>
        <v>A</v>
      </c>
      <c r="CC31" s="27">
        <f t="shared" si="35"/>
        <v>73.625</v>
      </c>
      <c r="CD31" s="27"/>
      <c r="CE31" s="28">
        <f t="shared" si="36"/>
        <v>1032</v>
      </c>
      <c r="CF31" s="28">
        <f t="shared" si="37"/>
        <v>129</v>
      </c>
      <c r="CG31" s="27"/>
      <c r="CH31" s="27"/>
      <c r="CI31" s="27" t="str">
        <f t="shared" si="39"/>
        <v>FCD</v>
      </c>
    </row>
    <row r="32" spans="1:87" ht="15.75" customHeight="1" x14ac:dyDescent="0.3">
      <c r="A32" s="35">
        <f t="shared" si="38"/>
        <v>25</v>
      </c>
      <c r="B32" s="85" t="s">
        <v>81</v>
      </c>
      <c r="C32" s="85" t="s">
        <v>82</v>
      </c>
      <c r="D32" s="47" t="s">
        <v>31</v>
      </c>
      <c r="E32" s="9">
        <v>23</v>
      </c>
      <c r="F32" s="9">
        <v>42</v>
      </c>
      <c r="G32" s="9"/>
      <c r="H32" s="18">
        <f t="shared" si="0"/>
        <v>65</v>
      </c>
      <c r="I32" s="18">
        <v>4</v>
      </c>
      <c r="J32" s="18" t="str">
        <f t="shared" si="1"/>
        <v>7</v>
      </c>
      <c r="K32" s="18" t="str">
        <f t="shared" si="2"/>
        <v>B+</v>
      </c>
      <c r="L32" s="18">
        <f t="shared" si="3"/>
        <v>28</v>
      </c>
      <c r="M32" s="18"/>
      <c r="N32" s="9">
        <v>23</v>
      </c>
      <c r="O32" s="9">
        <v>45</v>
      </c>
      <c r="P32" s="9"/>
      <c r="Q32" s="18">
        <f t="shared" si="4"/>
        <v>68</v>
      </c>
      <c r="R32" s="18">
        <v>4</v>
      </c>
      <c r="S32" s="18" t="str">
        <f t="shared" si="5"/>
        <v>7</v>
      </c>
      <c r="T32" s="18" t="str">
        <f t="shared" si="6"/>
        <v>B+</v>
      </c>
      <c r="U32" s="18">
        <f t="shared" si="7"/>
        <v>28</v>
      </c>
      <c r="V32" s="18"/>
      <c r="W32" s="9">
        <v>20</v>
      </c>
      <c r="X32" s="9">
        <v>43</v>
      </c>
      <c r="Y32" s="18"/>
      <c r="Z32" s="18">
        <f t="shared" si="8"/>
        <v>63</v>
      </c>
      <c r="AA32" s="18">
        <v>3</v>
      </c>
      <c r="AB32" s="18" t="str">
        <f t="shared" si="9"/>
        <v>7</v>
      </c>
      <c r="AC32" s="18" t="str">
        <f t="shared" si="10"/>
        <v>B+</v>
      </c>
      <c r="AD32" s="18">
        <f t="shared" si="11"/>
        <v>21</v>
      </c>
      <c r="AE32" s="18"/>
      <c r="AF32" s="46">
        <v>35</v>
      </c>
      <c r="AG32" s="46">
        <v>46</v>
      </c>
      <c r="AH32" s="9"/>
      <c r="AI32" s="18">
        <f t="shared" si="12"/>
        <v>81</v>
      </c>
      <c r="AJ32" s="18">
        <v>3</v>
      </c>
      <c r="AK32" s="18" t="str">
        <f t="shared" si="13"/>
        <v>9</v>
      </c>
      <c r="AL32" s="18" t="str">
        <f t="shared" si="14"/>
        <v>A+</v>
      </c>
      <c r="AM32" s="18">
        <f t="shared" si="15"/>
        <v>27</v>
      </c>
      <c r="AN32" s="18"/>
      <c r="AO32" s="46">
        <v>29</v>
      </c>
      <c r="AP32" s="46">
        <v>44</v>
      </c>
      <c r="AQ32" s="9"/>
      <c r="AR32" s="18">
        <f t="shared" si="16"/>
        <v>73</v>
      </c>
      <c r="AS32" s="18">
        <v>3</v>
      </c>
      <c r="AT32" s="18" t="str">
        <f t="shared" si="17"/>
        <v>8</v>
      </c>
      <c r="AU32" s="18" t="str">
        <f t="shared" si="18"/>
        <v>A</v>
      </c>
      <c r="AV32" s="18">
        <f t="shared" si="19"/>
        <v>24</v>
      </c>
      <c r="AW32" s="18"/>
      <c r="AX32" s="9">
        <v>27</v>
      </c>
      <c r="AY32" s="9">
        <v>46</v>
      </c>
      <c r="AZ32" s="9"/>
      <c r="BA32" s="18">
        <f t="shared" si="20"/>
        <v>73</v>
      </c>
      <c r="BB32" s="18">
        <v>1</v>
      </c>
      <c r="BC32" s="18" t="str">
        <f t="shared" si="21"/>
        <v>8</v>
      </c>
      <c r="BD32" s="18" t="str">
        <f t="shared" si="22"/>
        <v>A</v>
      </c>
      <c r="BE32" s="18">
        <f t="shared" si="23"/>
        <v>8</v>
      </c>
      <c r="BF32" s="43" t="s">
        <v>32</v>
      </c>
      <c r="BG32" s="9">
        <v>24</v>
      </c>
      <c r="BH32" s="9">
        <v>37</v>
      </c>
      <c r="BI32" s="9"/>
      <c r="BJ32" s="18">
        <f t="shared" si="24"/>
        <v>61</v>
      </c>
      <c r="BK32" s="18">
        <v>1</v>
      </c>
      <c r="BL32" s="18" t="str">
        <f t="shared" si="25"/>
        <v>7</v>
      </c>
      <c r="BM32" s="18" t="str">
        <f t="shared" si="26"/>
        <v>B+</v>
      </c>
      <c r="BN32" s="18">
        <f t="shared" si="27"/>
        <v>7</v>
      </c>
      <c r="BO32" s="18"/>
      <c r="BP32" s="9">
        <v>31</v>
      </c>
      <c r="BQ32" s="9">
        <v>563</v>
      </c>
      <c r="BR32" s="9"/>
      <c r="BS32" s="18">
        <f t="shared" si="28"/>
        <v>594</v>
      </c>
      <c r="BT32" s="18">
        <v>1</v>
      </c>
      <c r="BU32" s="18" t="str">
        <f t="shared" si="29"/>
        <v>10</v>
      </c>
      <c r="BV32" s="18" t="str">
        <f t="shared" si="30"/>
        <v>O</v>
      </c>
      <c r="BW32" s="18">
        <f t="shared" si="31"/>
        <v>10</v>
      </c>
      <c r="BX32" s="18"/>
      <c r="BY32" s="18"/>
      <c r="BZ32" s="18">
        <f t="shared" si="32"/>
        <v>153</v>
      </c>
      <c r="CA32" s="19">
        <f t="shared" si="33"/>
        <v>7.65</v>
      </c>
      <c r="CB32" s="28" t="str">
        <f t="shared" si="34"/>
        <v>A</v>
      </c>
      <c r="CC32" s="27">
        <f t="shared" si="35"/>
        <v>72.674999999999997</v>
      </c>
      <c r="CD32" s="27"/>
      <c r="CE32" s="28">
        <f t="shared" si="36"/>
        <v>1078</v>
      </c>
      <c r="CF32" s="28">
        <f t="shared" si="37"/>
        <v>134.75</v>
      </c>
      <c r="CG32" s="27"/>
      <c r="CH32" s="27"/>
      <c r="CI32" s="27" t="str">
        <f t="shared" si="39"/>
        <v>FCD</v>
      </c>
    </row>
    <row r="33" spans="1:87" ht="15.75" customHeight="1" x14ac:dyDescent="0.3">
      <c r="A33" s="35">
        <f t="shared" si="38"/>
        <v>26</v>
      </c>
      <c r="B33" s="86" t="s">
        <v>83</v>
      </c>
      <c r="C33" s="86" t="s">
        <v>84</v>
      </c>
      <c r="D33" s="47" t="s">
        <v>31</v>
      </c>
      <c r="E33" s="9">
        <v>31</v>
      </c>
      <c r="F33" s="9">
        <v>48</v>
      </c>
      <c r="G33" s="9"/>
      <c r="H33" s="18">
        <f t="shared" si="0"/>
        <v>79</v>
      </c>
      <c r="I33" s="18">
        <v>4</v>
      </c>
      <c r="J33" s="18" t="str">
        <f t="shared" si="1"/>
        <v>8</v>
      </c>
      <c r="K33" s="18" t="str">
        <f t="shared" si="2"/>
        <v>A</v>
      </c>
      <c r="L33" s="18">
        <f t="shared" si="3"/>
        <v>32</v>
      </c>
      <c r="M33" s="18"/>
      <c r="N33" s="9">
        <v>46</v>
      </c>
      <c r="O33" s="9">
        <v>47</v>
      </c>
      <c r="P33" s="9"/>
      <c r="Q33" s="18">
        <f t="shared" si="4"/>
        <v>93</v>
      </c>
      <c r="R33" s="18">
        <v>4</v>
      </c>
      <c r="S33" s="18" t="str">
        <f t="shared" si="5"/>
        <v>10</v>
      </c>
      <c r="T33" s="18" t="str">
        <f t="shared" si="6"/>
        <v>O</v>
      </c>
      <c r="U33" s="18">
        <f t="shared" si="7"/>
        <v>40</v>
      </c>
      <c r="V33" s="18"/>
      <c r="W33" s="9">
        <v>27</v>
      </c>
      <c r="X33" s="9">
        <v>43</v>
      </c>
      <c r="Y33" s="18"/>
      <c r="Z33" s="18">
        <f t="shared" si="8"/>
        <v>70</v>
      </c>
      <c r="AA33" s="18">
        <v>3</v>
      </c>
      <c r="AB33" s="18" t="str">
        <f t="shared" si="9"/>
        <v>8</v>
      </c>
      <c r="AC33" s="18" t="str">
        <f t="shared" si="10"/>
        <v>A</v>
      </c>
      <c r="AD33" s="18">
        <f t="shared" si="11"/>
        <v>24</v>
      </c>
      <c r="AE33" s="18"/>
      <c r="AF33" s="46">
        <v>33</v>
      </c>
      <c r="AG33" s="46">
        <v>45</v>
      </c>
      <c r="AH33" s="9"/>
      <c r="AI33" s="18">
        <f t="shared" si="12"/>
        <v>78</v>
      </c>
      <c r="AJ33" s="18">
        <v>3</v>
      </c>
      <c r="AK33" s="18" t="str">
        <f t="shared" si="13"/>
        <v>8</v>
      </c>
      <c r="AL33" s="18" t="str">
        <f t="shared" si="14"/>
        <v>A</v>
      </c>
      <c r="AM33" s="18">
        <f t="shared" si="15"/>
        <v>24</v>
      </c>
      <c r="AN33" s="18"/>
      <c r="AO33" s="46">
        <v>26</v>
      </c>
      <c r="AP33" s="46">
        <v>43</v>
      </c>
      <c r="AQ33" s="9"/>
      <c r="AR33" s="18">
        <f t="shared" si="16"/>
        <v>69</v>
      </c>
      <c r="AS33" s="18">
        <v>3</v>
      </c>
      <c r="AT33" s="18" t="str">
        <f t="shared" si="17"/>
        <v>7</v>
      </c>
      <c r="AU33" s="18" t="str">
        <f t="shared" si="18"/>
        <v>B+</v>
      </c>
      <c r="AV33" s="18">
        <f t="shared" si="19"/>
        <v>21</v>
      </c>
      <c r="AW33" s="18"/>
      <c r="AX33" s="9">
        <v>25</v>
      </c>
      <c r="AY33" s="9">
        <v>46</v>
      </c>
      <c r="AZ33" s="9"/>
      <c r="BA33" s="18">
        <f t="shared" si="20"/>
        <v>71</v>
      </c>
      <c r="BB33" s="18">
        <v>1</v>
      </c>
      <c r="BC33" s="18" t="str">
        <f t="shared" si="21"/>
        <v>8</v>
      </c>
      <c r="BD33" s="18" t="str">
        <f t="shared" si="22"/>
        <v>A</v>
      </c>
      <c r="BE33" s="18">
        <f t="shared" si="23"/>
        <v>8</v>
      </c>
      <c r="BF33" s="43" t="s">
        <v>35</v>
      </c>
      <c r="BG33" s="9">
        <v>38</v>
      </c>
      <c r="BH33" s="9">
        <v>44</v>
      </c>
      <c r="BI33" s="9"/>
      <c r="BJ33" s="18">
        <f t="shared" si="24"/>
        <v>82</v>
      </c>
      <c r="BK33" s="18">
        <v>1</v>
      </c>
      <c r="BL33" s="18" t="str">
        <f t="shared" si="25"/>
        <v>9</v>
      </c>
      <c r="BM33" s="18" t="str">
        <f t="shared" si="26"/>
        <v>A+</v>
      </c>
      <c r="BN33" s="18">
        <f t="shared" si="27"/>
        <v>9</v>
      </c>
      <c r="BO33" s="18"/>
      <c r="BP33" s="9">
        <v>30</v>
      </c>
      <c r="BQ33" s="9">
        <v>621</v>
      </c>
      <c r="BR33" s="9"/>
      <c r="BS33" s="18">
        <f t="shared" si="28"/>
        <v>651</v>
      </c>
      <c r="BT33" s="18">
        <v>1</v>
      </c>
      <c r="BU33" s="18" t="str">
        <f t="shared" si="29"/>
        <v>10</v>
      </c>
      <c r="BV33" s="18" t="str">
        <f t="shared" si="30"/>
        <v>O</v>
      </c>
      <c r="BW33" s="18">
        <f t="shared" si="31"/>
        <v>10</v>
      </c>
      <c r="BX33" s="18"/>
      <c r="BY33" s="18"/>
      <c r="BZ33" s="18">
        <f t="shared" si="32"/>
        <v>168</v>
      </c>
      <c r="CA33" s="19">
        <f t="shared" si="33"/>
        <v>8.4</v>
      </c>
      <c r="CB33" s="28" t="str">
        <f t="shared" si="34"/>
        <v>A+</v>
      </c>
      <c r="CC33" s="27">
        <f t="shared" si="35"/>
        <v>79.8</v>
      </c>
      <c r="CD33" s="27"/>
      <c r="CE33" s="28">
        <f t="shared" si="36"/>
        <v>1193</v>
      </c>
      <c r="CF33" s="28">
        <f t="shared" si="37"/>
        <v>149.125</v>
      </c>
      <c r="CG33" s="27"/>
      <c r="CH33" s="27"/>
      <c r="CI33" s="27" t="str">
        <f t="shared" si="39"/>
        <v>FCD</v>
      </c>
    </row>
    <row r="34" spans="1:87" ht="15.75" customHeight="1" x14ac:dyDescent="0.3">
      <c r="A34" s="35">
        <f t="shared" si="38"/>
        <v>27</v>
      </c>
      <c r="B34" s="85" t="s">
        <v>85</v>
      </c>
      <c r="C34" s="85" t="s">
        <v>86</v>
      </c>
      <c r="D34" s="47" t="s">
        <v>31</v>
      </c>
      <c r="E34" s="9">
        <v>29</v>
      </c>
      <c r="F34" s="9">
        <v>49</v>
      </c>
      <c r="G34" s="9"/>
      <c r="H34" s="18">
        <f t="shared" si="0"/>
        <v>78</v>
      </c>
      <c r="I34" s="18">
        <v>4</v>
      </c>
      <c r="J34" s="18" t="str">
        <f t="shared" si="1"/>
        <v>8</v>
      </c>
      <c r="K34" s="18" t="str">
        <f t="shared" si="2"/>
        <v>A</v>
      </c>
      <c r="L34" s="18">
        <f t="shared" si="3"/>
        <v>32</v>
      </c>
      <c r="M34" s="18"/>
      <c r="N34" s="9">
        <v>46</v>
      </c>
      <c r="O34" s="9">
        <v>50</v>
      </c>
      <c r="P34" s="9"/>
      <c r="Q34" s="18">
        <f t="shared" si="4"/>
        <v>96</v>
      </c>
      <c r="R34" s="18">
        <v>4</v>
      </c>
      <c r="S34" s="18" t="str">
        <f t="shared" si="5"/>
        <v>10</v>
      </c>
      <c r="T34" s="18" t="str">
        <f t="shared" si="6"/>
        <v>O</v>
      </c>
      <c r="U34" s="18">
        <f t="shared" si="7"/>
        <v>40</v>
      </c>
      <c r="V34" s="18"/>
      <c r="W34" s="9">
        <v>46</v>
      </c>
      <c r="X34" s="9">
        <v>47</v>
      </c>
      <c r="Y34" s="18"/>
      <c r="Z34" s="18">
        <f t="shared" si="8"/>
        <v>93</v>
      </c>
      <c r="AA34" s="18">
        <v>3</v>
      </c>
      <c r="AB34" s="18" t="str">
        <f t="shared" si="9"/>
        <v>10</v>
      </c>
      <c r="AC34" s="18" t="str">
        <f t="shared" si="10"/>
        <v>O</v>
      </c>
      <c r="AD34" s="18">
        <f t="shared" si="11"/>
        <v>30</v>
      </c>
      <c r="AE34" s="18"/>
      <c r="AF34" s="46">
        <v>32</v>
      </c>
      <c r="AG34" s="46">
        <v>49</v>
      </c>
      <c r="AH34" s="9"/>
      <c r="AI34" s="18">
        <f t="shared" si="12"/>
        <v>81</v>
      </c>
      <c r="AJ34" s="18">
        <v>3</v>
      </c>
      <c r="AK34" s="18" t="str">
        <f t="shared" si="13"/>
        <v>9</v>
      </c>
      <c r="AL34" s="18" t="str">
        <f t="shared" si="14"/>
        <v>A+</v>
      </c>
      <c r="AM34" s="18">
        <f t="shared" si="15"/>
        <v>27</v>
      </c>
      <c r="AN34" s="18"/>
      <c r="AO34" s="46">
        <v>41</v>
      </c>
      <c r="AP34" s="46">
        <v>46</v>
      </c>
      <c r="AQ34" s="9"/>
      <c r="AR34" s="18">
        <f t="shared" si="16"/>
        <v>87</v>
      </c>
      <c r="AS34" s="18">
        <v>3</v>
      </c>
      <c r="AT34" s="18" t="str">
        <f t="shared" si="17"/>
        <v>9</v>
      </c>
      <c r="AU34" s="18" t="str">
        <f t="shared" si="18"/>
        <v>A+</v>
      </c>
      <c r="AV34" s="18">
        <f t="shared" si="19"/>
        <v>27</v>
      </c>
      <c r="AW34" s="18"/>
      <c r="AX34" s="9">
        <v>37</v>
      </c>
      <c r="AY34" s="9">
        <v>48</v>
      </c>
      <c r="AZ34" s="9"/>
      <c r="BA34" s="18">
        <f t="shared" si="20"/>
        <v>85</v>
      </c>
      <c r="BB34" s="18">
        <v>1</v>
      </c>
      <c r="BC34" s="18" t="str">
        <f t="shared" si="21"/>
        <v>9</v>
      </c>
      <c r="BD34" s="18" t="str">
        <f t="shared" si="22"/>
        <v>A+</v>
      </c>
      <c r="BE34" s="18">
        <f t="shared" si="23"/>
        <v>9</v>
      </c>
      <c r="BF34" s="43" t="s">
        <v>32</v>
      </c>
      <c r="BG34" s="9">
        <v>32</v>
      </c>
      <c r="BH34" s="9">
        <v>50</v>
      </c>
      <c r="BI34" s="9"/>
      <c r="BJ34" s="18">
        <f t="shared" si="24"/>
        <v>82</v>
      </c>
      <c r="BK34" s="18">
        <v>1</v>
      </c>
      <c r="BL34" s="18" t="str">
        <f t="shared" si="25"/>
        <v>9</v>
      </c>
      <c r="BM34" s="18" t="str">
        <f t="shared" si="26"/>
        <v>A+</v>
      </c>
      <c r="BN34" s="18">
        <f t="shared" si="27"/>
        <v>9</v>
      </c>
      <c r="BO34" s="18"/>
      <c r="BP34" s="9">
        <v>30</v>
      </c>
      <c r="BQ34" s="9">
        <v>681</v>
      </c>
      <c r="BR34" s="9"/>
      <c r="BS34" s="18">
        <f t="shared" si="28"/>
        <v>711</v>
      </c>
      <c r="BT34" s="18">
        <v>1</v>
      </c>
      <c r="BU34" s="18" t="str">
        <f t="shared" si="29"/>
        <v>10</v>
      </c>
      <c r="BV34" s="18" t="str">
        <f t="shared" si="30"/>
        <v>O</v>
      </c>
      <c r="BW34" s="18">
        <f t="shared" si="31"/>
        <v>10</v>
      </c>
      <c r="BX34" s="18"/>
      <c r="BY34" s="18"/>
      <c r="BZ34" s="18">
        <f t="shared" si="32"/>
        <v>184</v>
      </c>
      <c r="CA34" s="19">
        <f t="shared" si="33"/>
        <v>9.1999999999999993</v>
      </c>
      <c r="CB34" s="28" t="str">
        <f t="shared" si="34"/>
        <v>O</v>
      </c>
      <c r="CC34" s="27">
        <f t="shared" si="35"/>
        <v>87.399999999999991</v>
      </c>
      <c r="CD34" s="27"/>
      <c r="CE34" s="28">
        <f t="shared" si="36"/>
        <v>1313</v>
      </c>
      <c r="CF34" s="28">
        <f t="shared" si="37"/>
        <v>164.125</v>
      </c>
      <c r="CG34" s="27"/>
      <c r="CH34" s="27"/>
      <c r="CI34" s="27" t="str">
        <f t="shared" si="39"/>
        <v>FCD</v>
      </c>
    </row>
    <row r="35" spans="1:87" ht="15.75" customHeight="1" x14ac:dyDescent="0.3">
      <c r="A35" s="35">
        <f t="shared" si="38"/>
        <v>28</v>
      </c>
      <c r="B35" s="85" t="s">
        <v>87</v>
      </c>
      <c r="C35" s="85" t="s">
        <v>88</v>
      </c>
      <c r="D35" s="47" t="s">
        <v>31</v>
      </c>
      <c r="E35" s="9">
        <v>25</v>
      </c>
      <c r="F35" s="9">
        <v>45</v>
      </c>
      <c r="G35" s="9"/>
      <c r="H35" s="18">
        <f t="shared" si="0"/>
        <v>70</v>
      </c>
      <c r="I35" s="18">
        <v>4</v>
      </c>
      <c r="J35" s="18" t="str">
        <f t="shared" si="1"/>
        <v>8</v>
      </c>
      <c r="K35" s="18" t="str">
        <f t="shared" si="2"/>
        <v>A</v>
      </c>
      <c r="L35" s="18">
        <f t="shared" si="3"/>
        <v>32</v>
      </c>
      <c r="M35" s="18"/>
      <c r="N35" s="9">
        <v>41</v>
      </c>
      <c r="O35" s="9">
        <v>40</v>
      </c>
      <c r="P35" s="9"/>
      <c r="Q35" s="18">
        <f t="shared" si="4"/>
        <v>81</v>
      </c>
      <c r="R35" s="18">
        <v>4</v>
      </c>
      <c r="S35" s="18" t="str">
        <f t="shared" si="5"/>
        <v>9</v>
      </c>
      <c r="T35" s="18" t="str">
        <f t="shared" si="6"/>
        <v>A+</v>
      </c>
      <c r="U35" s="18">
        <f t="shared" si="7"/>
        <v>36</v>
      </c>
      <c r="V35" s="18"/>
      <c r="W35" s="9">
        <v>28</v>
      </c>
      <c r="X35" s="9">
        <v>43</v>
      </c>
      <c r="Y35" s="18"/>
      <c r="Z35" s="18">
        <f t="shared" si="8"/>
        <v>71</v>
      </c>
      <c r="AA35" s="18">
        <v>3</v>
      </c>
      <c r="AB35" s="18" t="str">
        <f t="shared" si="9"/>
        <v>8</v>
      </c>
      <c r="AC35" s="18" t="str">
        <f t="shared" si="10"/>
        <v>A</v>
      </c>
      <c r="AD35" s="18">
        <f t="shared" si="11"/>
        <v>24</v>
      </c>
      <c r="AE35" s="18"/>
      <c r="AF35" s="46">
        <v>27</v>
      </c>
      <c r="AG35" s="46">
        <v>46</v>
      </c>
      <c r="AH35" s="9"/>
      <c r="AI35" s="18">
        <f t="shared" si="12"/>
        <v>73</v>
      </c>
      <c r="AJ35" s="18">
        <v>3</v>
      </c>
      <c r="AK35" s="18" t="str">
        <f t="shared" si="13"/>
        <v>8</v>
      </c>
      <c r="AL35" s="18" t="str">
        <f t="shared" si="14"/>
        <v>A</v>
      </c>
      <c r="AM35" s="18">
        <f t="shared" si="15"/>
        <v>24</v>
      </c>
      <c r="AN35" s="18"/>
      <c r="AO35" s="46">
        <v>37</v>
      </c>
      <c r="AP35" s="46">
        <v>44</v>
      </c>
      <c r="AQ35" s="9"/>
      <c r="AR35" s="18">
        <f t="shared" si="16"/>
        <v>81</v>
      </c>
      <c r="AS35" s="18">
        <v>3</v>
      </c>
      <c r="AT35" s="18" t="str">
        <f t="shared" si="17"/>
        <v>9</v>
      </c>
      <c r="AU35" s="18" t="str">
        <f t="shared" si="18"/>
        <v>A+</v>
      </c>
      <c r="AV35" s="18">
        <f t="shared" si="19"/>
        <v>27</v>
      </c>
      <c r="AW35" s="18"/>
      <c r="AX35" s="9">
        <v>31</v>
      </c>
      <c r="AY35" s="9">
        <v>44</v>
      </c>
      <c r="AZ35" s="9"/>
      <c r="BA35" s="18">
        <f t="shared" si="20"/>
        <v>75</v>
      </c>
      <c r="BB35" s="18">
        <v>1</v>
      </c>
      <c r="BC35" s="18" t="str">
        <f t="shared" si="21"/>
        <v>8</v>
      </c>
      <c r="BD35" s="18" t="str">
        <f t="shared" si="22"/>
        <v>A</v>
      </c>
      <c r="BE35" s="18">
        <f t="shared" si="23"/>
        <v>8</v>
      </c>
      <c r="BF35" s="43" t="s">
        <v>32</v>
      </c>
      <c r="BG35" s="9">
        <v>37</v>
      </c>
      <c r="BH35" s="9">
        <v>40</v>
      </c>
      <c r="BI35" s="9"/>
      <c r="BJ35" s="18">
        <f t="shared" si="24"/>
        <v>77</v>
      </c>
      <c r="BK35" s="18">
        <v>1</v>
      </c>
      <c r="BL35" s="18" t="str">
        <f t="shared" si="25"/>
        <v>8</v>
      </c>
      <c r="BM35" s="18" t="str">
        <f t="shared" si="26"/>
        <v>A</v>
      </c>
      <c r="BN35" s="18">
        <f t="shared" si="27"/>
        <v>8</v>
      </c>
      <c r="BO35" s="18"/>
      <c r="BP35" s="9">
        <v>33</v>
      </c>
      <c r="BQ35" s="9">
        <v>604</v>
      </c>
      <c r="BR35" s="9"/>
      <c r="BS35" s="18">
        <f t="shared" si="28"/>
        <v>637</v>
      </c>
      <c r="BT35" s="18">
        <v>1</v>
      </c>
      <c r="BU35" s="18" t="str">
        <f t="shared" si="29"/>
        <v>10</v>
      </c>
      <c r="BV35" s="18" t="str">
        <f t="shared" si="30"/>
        <v>O</v>
      </c>
      <c r="BW35" s="18">
        <f t="shared" si="31"/>
        <v>10</v>
      </c>
      <c r="BX35" s="18"/>
      <c r="BY35" s="18"/>
      <c r="BZ35" s="18">
        <f t="shared" si="32"/>
        <v>169</v>
      </c>
      <c r="CA35" s="19">
        <f t="shared" si="33"/>
        <v>8.4499999999999993</v>
      </c>
      <c r="CB35" s="28" t="str">
        <f t="shared" si="34"/>
        <v>A+</v>
      </c>
      <c r="CC35" s="27">
        <f t="shared" si="35"/>
        <v>80.274999999999991</v>
      </c>
      <c r="CD35" s="27"/>
      <c r="CE35" s="28">
        <f t="shared" si="36"/>
        <v>1165</v>
      </c>
      <c r="CF35" s="28">
        <f t="shared" si="37"/>
        <v>145.625</v>
      </c>
      <c r="CG35" s="27"/>
      <c r="CH35" s="27"/>
      <c r="CI35" s="27" t="str">
        <f t="shared" si="39"/>
        <v>FCD</v>
      </c>
    </row>
    <row r="36" spans="1:87" ht="15.75" customHeight="1" x14ac:dyDescent="0.3">
      <c r="A36" s="35">
        <f t="shared" si="38"/>
        <v>29</v>
      </c>
      <c r="B36" s="85" t="s">
        <v>89</v>
      </c>
      <c r="C36" s="85" t="s">
        <v>90</v>
      </c>
      <c r="D36" s="47" t="s">
        <v>31</v>
      </c>
      <c r="E36" s="9">
        <v>45</v>
      </c>
      <c r="F36" s="9">
        <v>45</v>
      </c>
      <c r="G36" s="9"/>
      <c r="H36" s="18">
        <f t="shared" si="0"/>
        <v>90</v>
      </c>
      <c r="I36" s="18">
        <v>4</v>
      </c>
      <c r="J36" s="18" t="str">
        <f t="shared" si="1"/>
        <v>10</v>
      </c>
      <c r="K36" s="18" t="str">
        <f t="shared" si="2"/>
        <v>O</v>
      </c>
      <c r="L36" s="18">
        <f t="shared" si="3"/>
        <v>40</v>
      </c>
      <c r="M36" s="18"/>
      <c r="N36" s="9">
        <v>26</v>
      </c>
      <c r="O36" s="9">
        <v>50</v>
      </c>
      <c r="P36" s="9"/>
      <c r="Q36" s="18">
        <f t="shared" si="4"/>
        <v>76</v>
      </c>
      <c r="R36" s="18">
        <v>4</v>
      </c>
      <c r="S36" s="18" t="str">
        <f t="shared" si="5"/>
        <v>8</v>
      </c>
      <c r="T36" s="18" t="str">
        <f t="shared" si="6"/>
        <v>A</v>
      </c>
      <c r="U36" s="18">
        <f t="shared" si="7"/>
        <v>32</v>
      </c>
      <c r="V36" s="18"/>
      <c r="W36" s="9">
        <v>18</v>
      </c>
      <c r="X36" s="9">
        <v>43</v>
      </c>
      <c r="Y36" s="18"/>
      <c r="Z36" s="18">
        <f t="shared" si="8"/>
        <v>61</v>
      </c>
      <c r="AA36" s="18">
        <v>3</v>
      </c>
      <c r="AB36" s="18" t="str">
        <f t="shared" si="9"/>
        <v>7</v>
      </c>
      <c r="AC36" s="18" t="str">
        <f t="shared" si="10"/>
        <v>B+</v>
      </c>
      <c r="AD36" s="18">
        <f t="shared" si="11"/>
        <v>21</v>
      </c>
      <c r="AE36" s="18"/>
      <c r="AF36" s="46">
        <v>36</v>
      </c>
      <c r="AG36" s="46">
        <v>41</v>
      </c>
      <c r="AH36" s="9"/>
      <c r="AI36" s="18">
        <f t="shared" si="12"/>
        <v>77</v>
      </c>
      <c r="AJ36" s="18">
        <v>3</v>
      </c>
      <c r="AK36" s="18" t="str">
        <f t="shared" si="13"/>
        <v>8</v>
      </c>
      <c r="AL36" s="18" t="str">
        <f t="shared" si="14"/>
        <v>A</v>
      </c>
      <c r="AM36" s="18">
        <f t="shared" si="15"/>
        <v>24</v>
      </c>
      <c r="AN36" s="18"/>
      <c r="AO36" s="46">
        <v>27</v>
      </c>
      <c r="AP36" s="46">
        <v>47</v>
      </c>
      <c r="AQ36" s="9"/>
      <c r="AR36" s="18">
        <f t="shared" si="16"/>
        <v>74</v>
      </c>
      <c r="AS36" s="18">
        <v>3</v>
      </c>
      <c r="AT36" s="18" t="str">
        <f t="shared" si="17"/>
        <v>8</v>
      </c>
      <c r="AU36" s="18" t="str">
        <f t="shared" si="18"/>
        <v>A</v>
      </c>
      <c r="AV36" s="18">
        <f t="shared" si="19"/>
        <v>24</v>
      </c>
      <c r="AW36" s="18"/>
      <c r="AX36" s="9">
        <v>25</v>
      </c>
      <c r="AY36" s="9">
        <v>45</v>
      </c>
      <c r="AZ36" s="9"/>
      <c r="BA36" s="18">
        <f t="shared" si="20"/>
        <v>70</v>
      </c>
      <c r="BB36" s="18">
        <v>1</v>
      </c>
      <c r="BC36" s="18" t="str">
        <f t="shared" si="21"/>
        <v>8</v>
      </c>
      <c r="BD36" s="18" t="str">
        <f t="shared" si="22"/>
        <v>A</v>
      </c>
      <c r="BE36" s="18">
        <f t="shared" si="23"/>
        <v>8</v>
      </c>
      <c r="BF36" s="43" t="s">
        <v>35</v>
      </c>
      <c r="BG36" s="9">
        <v>25</v>
      </c>
      <c r="BH36" s="9">
        <v>43</v>
      </c>
      <c r="BI36" s="9"/>
      <c r="BJ36" s="18">
        <f t="shared" si="24"/>
        <v>68</v>
      </c>
      <c r="BK36" s="18">
        <v>1</v>
      </c>
      <c r="BL36" s="18" t="str">
        <f t="shared" si="25"/>
        <v>7</v>
      </c>
      <c r="BM36" s="18" t="str">
        <f t="shared" si="26"/>
        <v>B+</v>
      </c>
      <c r="BN36" s="18">
        <f t="shared" si="27"/>
        <v>7</v>
      </c>
      <c r="BO36" s="18"/>
      <c r="BP36" s="9">
        <v>24</v>
      </c>
      <c r="BQ36" s="9">
        <v>589</v>
      </c>
      <c r="BR36" s="9"/>
      <c r="BS36" s="18">
        <f t="shared" si="28"/>
        <v>613</v>
      </c>
      <c r="BT36" s="18">
        <v>1</v>
      </c>
      <c r="BU36" s="18" t="str">
        <f t="shared" si="29"/>
        <v>10</v>
      </c>
      <c r="BV36" s="18" t="str">
        <f t="shared" si="30"/>
        <v>O</v>
      </c>
      <c r="BW36" s="18">
        <f t="shared" si="31"/>
        <v>10</v>
      </c>
      <c r="BX36" s="18"/>
      <c r="BY36" s="18"/>
      <c r="BZ36" s="18">
        <f t="shared" si="32"/>
        <v>166</v>
      </c>
      <c r="CA36" s="19">
        <f t="shared" si="33"/>
        <v>8.3000000000000007</v>
      </c>
      <c r="CB36" s="28" t="str">
        <f t="shared" si="34"/>
        <v>A+</v>
      </c>
      <c r="CC36" s="27">
        <f t="shared" si="35"/>
        <v>78.850000000000009</v>
      </c>
      <c r="CD36" s="27"/>
      <c r="CE36" s="28">
        <f t="shared" si="36"/>
        <v>1129</v>
      </c>
      <c r="CF36" s="28">
        <f t="shared" si="37"/>
        <v>141.125</v>
      </c>
      <c r="CG36" s="27"/>
      <c r="CH36" s="27"/>
      <c r="CI36" s="27" t="str">
        <f t="shared" si="39"/>
        <v>FCD</v>
      </c>
    </row>
    <row r="37" spans="1:87" ht="15.75" customHeight="1" x14ac:dyDescent="0.3">
      <c r="A37" s="35">
        <f t="shared" si="38"/>
        <v>30</v>
      </c>
      <c r="B37" s="85" t="s">
        <v>91</v>
      </c>
      <c r="C37" s="85" t="s">
        <v>92</v>
      </c>
      <c r="D37" s="47" t="s">
        <v>31</v>
      </c>
      <c r="E37" s="53">
        <v>20</v>
      </c>
      <c r="F37" s="53">
        <v>45</v>
      </c>
      <c r="G37" s="9"/>
      <c r="H37" s="18">
        <f t="shared" si="0"/>
        <v>65</v>
      </c>
      <c r="I37" s="18">
        <v>4</v>
      </c>
      <c r="J37" s="18" t="str">
        <f t="shared" si="1"/>
        <v>7</v>
      </c>
      <c r="K37" s="18" t="str">
        <f t="shared" si="2"/>
        <v>B+</v>
      </c>
      <c r="L37" s="18">
        <f t="shared" si="3"/>
        <v>28</v>
      </c>
      <c r="M37" s="18"/>
      <c r="N37" s="9">
        <v>39</v>
      </c>
      <c r="O37" s="9">
        <v>46</v>
      </c>
      <c r="P37" s="9"/>
      <c r="Q37" s="18">
        <f t="shared" si="4"/>
        <v>85</v>
      </c>
      <c r="R37" s="18">
        <v>4</v>
      </c>
      <c r="S37" s="18" t="str">
        <f t="shared" si="5"/>
        <v>9</v>
      </c>
      <c r="T37" s="18" t="str">
        <f t="shared" si="6"/>
        <v>A+</v>
      </c>
      <c r="U37" s="18">
        <f t="shared" si="7"/>
        <v>36</v>
      </c>
      <c r="V37" s="18"/>
      <c r="W37" s="9">
        <v>29</v>
      </c>
      <c r="X37" s="9">
        <v>46</v>
      </c>
      <c r="Y37" s="18"/>
      <c r="Z37" s="18">
        <f t="shared" si="8"/>
        <v>75</v>
      </c>
      <c r="AA37" s="18">
        <v>3</v>
      </c>
      <c r="AB37" s="18" t="str">
        <f t="shared" si="9"/>
        <v>8</v>
      </c>
      <c r="AC37" s="18" t="str">
        <f t="shared" si="10"/>
        <v>A</v>
      </c>
      <c r="AD37" s="18">
        <f t="shared" si="11"/>
        <v>24</v>
      </c>
      <c r="AE37" s="18"/>
      <c r="AF37" s="46">
        <v>37</v>
      </c>
      <c r="AG37" s="46">
        <v>45</v>
      </c>
      <c r="AH37" s="9"/>
      <c r="AI37" s="18">
        <f t="shared" si="12"/>
        <v>82</v>
      </c>
      <c r="AJ37" s="18">
        <v>3</v>
      </c>
      <c r="AK37" s="18" t="str">
        <f t="shared" si="13"/>
        <v>9</v>
      </c>
      <c r="AL37" s="18" t="str">
        <f t="shared" si="14"/>
        <v>A+</v>
      </c>
      <c r="AM37" s="18">
        <f t="shared" si="15"/>
        <v>27</v>
      </c>
      <c r="AN37" s="18"/>
      <c r="AO37" s="46">
        <v>42</v>
      </c>
      <c r="AP37" s="46">
        <v>46</v>
      </c>
      <c r="AQ37" s="9"/>
      <c r="AR37" s="18">
        <f t="shared" si="16"/>
        <v>88</v>
      </c>
      <c r="AS37" s="18">
        <v>3</v>
      </c>
      <c r="AT37" s="18" t="str">
        <f t="shared" si="17"/>
        <v>9</v>
      </c>
      <c r="AU37" s="18" t="str">
        <f t="shared" si="18"/>
        <v>A+</v>
      </c>
      <c r="AV37" s="18">
        <f t="shared" si="19"/>
        <v>27</v>
      </c>
      <c r="AW37" s="18"/>
      <c r="AX37" s="9">
        <v>32</v>
      </c>
      <c r="AY37" s="9">
        <v>42</v>
      </c>
      <c r="AZ37" s="9"/>
      <c r="BA37" s="18">
        <f t="shared" si="20"/>
        <v>74</v>
      </c>
      <c r="BB37" s="18">
        <v>1</v>
      </c>
      <c r="BC37" s="18" t="str">
        <f t="shared" si="21"/>
        <v>8</v>
      </c>
      <c r="BD37" s="18" t="str">
        <f t="shared" si="22"/>
        <v>A</v>
      </c>
      <c r="BE37" s="18">
        <f t="shared" si="23"/>
        <v>8</v>
      </c>
      <c r="BF37" s="43" t="s">
        <v>35</v>
      </c>
      <c r="BG37" s="9">
        <v>32</v>
      </c>
      <c r="BH37" s="9">
        <v>41</v>
      </c>
      <c r="BI37" s="9"/>
      <c r="BJ37" s="18">
        <f t="shared" si="24"/>
        <v>73</v>
      </c>
      <c r="BK37" s="18">
        <v>1</v>
      </c>
      <c r="BL37" s="18" t="str">
        <f t="shared" si="25"/>
        <v>8</v>
      </c>
      <c r="BM37" s="18" t="str">
        <f t="shared" si="26"/>
        <v>A</v>
      </c>
      <c r="BN37" s="18">
        <f t="shared" si="27"/>
        <v>8</v>
      </c>
      <c r="BO37" s="18"/>
      <c r="BP37" s="9">
        <v>34</v>
      </c>
      <c r="BQ37" s="9">
        <v>621</v>
      </c>
      <c r="BR37" s="9"/>
      <c r="BS37" s="18">
        <f t="shared" si="28"/>
        <v>655</v>
      </c>
      <c r="BT37" s="18">
        <v>1</v>
      </c>
      <c r="BU37" s="18" t="str">
        <f t="shared" si="29"/>
        <v>10</v>
      </c>
      <c r="BV37" s="18" t="str">
        <f t="shared" si="30"/>
        <v>O</v>
      </c>
      <c r="BW37" s="18">
        <f t="shared" si="31"/>
        <v>10</v>
      </c>
      <c r="BX37" s="18"/>
      <c r="BY37" s="18"/>
      <c r="BZ37" s="18">
        <f t="shared" si="32"/>
        <v>168</v>
      </c>
      <c r="CA37" s="19">
        <f t="shared" si="33"/>
        <v>8.4</v>
      </c>
      <c r="CB37" s="28" t="str">
        <f t="shared" si="34"/>
        <v>A+</v>
      </c>
      <c r="CC37" s="27">
        <f t="shared" si="35"/>
        <v>79.8</v>
      </c>
      <c r="CD37" s="27"/>
      <c r="CE37" s="28">
        <f t="shared" si="36"/>
        <v>1197</v>
      </c>
      <c r="CF37" s="28">
        <f t="shared" si="37"/>
        <v>149.625</v>
      </c>
      <c r="CG37" s="27"/>
      <c r="CH37" s="27"/>
      <c r="CI37" s="27" t="str">
        <f t="shared" si="39"/>
        <v>FCD</v>
      </c>
    </row>
    <row r="38" spans="1:87" ht="15.75" customHeight="1" x14ac:dyDescent="0.3">
      <c r="A38" s="35">
        <f t="shared" si="38"/>
        <v>31</v>
      </c>
      <c r="B38" s="85" t="s">
        <v>93</v>
      </c>
      <c r="C38" s="85" t="s">
        <v>94</v>
      </c>
      <c r="D38" s="47" t="s">
        <v>31</v>
      </c>
      <c r="E38" s="9">
        <v>30</v>
      </c>
      <c r="F38" s="9">
        <v>49</v>
      </c>
      <c r="G38" s="9"/>
      <c r="H38" s="18">
        <f t="shared" si="0"/>
        <v>79</v>
      </c>
      <c r="I38" s="18">
        <v>4</v>
      </c>
      <c r="J38" s="18" t="str">
        <f t="shared" si="1"/>
        <v>8</v>
      </c>
      <c r="K38" s="18" t="str">
        <f t="shared" si="2"/>
        <v>A</v>
      </c>
      <c r="L38" s="18">
        <f t="shared" si="3"/>
        <v>32</v>
      </c>
      <c r="M38" s="18"/>
      <c r="N38" s="9">
        <v>44</v>
      </c>
      <c r="O38" s="9">
        <v>48</v>
      </c>
      <c r="P38" s="9"/>
      <c r="Q38" s="18">
        <f t="shared" si="4"/>
        <v>92</v>
      </c>
      <c r="R38" s="18">
        <v>4</v>
      </c>
      <c r="S38" s="18" t="str">
        <f t="shared" si="5"/>
        <v>10</v>
      </c>
      <c r="T38" s="18" t="str">
        <f t="shared" si="6"/>
        <v>O</v>
      </c>
      <c r="U38" s="18">
        <f t="shared" si="7"/>
        <v>40</v>
      </c>
      <c r="V38" s="18"/>
      <c r="W38" s="9">
        <v>26</v>
      </c>
      <c r="X38" s="9">
        <v>49</v>
      </c>
      <c r="Y38" s="18"/>
      <c r="Z38" s="18">
        <f t="shared" si="8"/>
        <v>75</v>
      </c>
      <c r="AA38" s="18">
        <v>3</v>
      </c>
      <c r="AB38" s="18" t="str">
        <f t="shared" si="9"/>
        <v>8</v>
      </c>
      <c r="AC38" s="18" t="str">
        <f t="shared" si="10"/>
        <v>A</v>
      </c>
      <c r="AD38" s="18">
        <f t="shared" si="11"/>
        <v>24</v>
      </c>
      <c r="AE38" s="18"/>
      <c r="AF38" s="46">
        <v>31</v>
      </c>
      <c r="AG38" s="46">
        <v>49</v>
      </c>
      <c r="AH38" s="9"/>
      <c r="AI38" s="18">
        <f t="shared" si="12"/>
        <v>80</v>
      </c>
      <c r="AJ38" s="18">
        <v>3</v>
      </c>
      <c r="AK38" s="18" t="str">
        <f t="shared" si="13"/>
        <v>9</v>
      </c>
      <c r="AL38" s="18" t="str">
        <f t="shared" si="14"/>
        <v>A+</v>
      </c>
      <c r="AM38" s="18">
        <f t="shared" si="15"/>
        <v>27</v>
      </c>
      <c r="AN38" s="18"/>
      <c r="AO38" s="46">
        <v>49</v>
      </c>
      <c r="AP38" s="46">
        <v>46</v>
      </c>
      <c r="AQ38" s="9"/>
      <c r="AR38" s="18">
        <f t="shared" si="16"/>
        <v>95</v>
      </c>
      <c r="AS38" s="18">
        <v>3</v>
      </c>
      <c r="AT38" s="18" t="str">
        <f t="shared" si="17"/>
        <v>10</v>
      </c>
      <c r="AU38" s="18" t="str">
        <f t="shared" si="18"/>
        <v>O</v>
      </c>
      <c r="AV38" s="18">
        <f t="shared" si="19"/>
        <v>30</v>
      </c>
      <c r="AW38" s="18"/>
      <c r="AX38" s="9">
        <v>32</v>
      </c>
      <c r="AY38" s="9">
        <v>49</v>
      </c>
      <c r="AZ38" s="9"/>
      <c r="BA38" s="18">
        <f t="shared" si="20"/>
        <v>81</v>
      </c>
      <c r="BB38" s="18">
        <v>1</v>
      </c>
      <c r="BC38" s="18" t="str">
        <f t="shared" si="21"/>
        <v>9</v>
      </c>
      <c r="BD38" s="18" t="str">
        <f t="shared" si="22"/>
        <v>A+</v>
      </c>
      <c r="BE38" s="18">
        <f t="shared" si="23"/>
        <v>9</v>
      </c>
      <c r="BF38" s="43" t="s">
        <v>32</v>
      </c>
      <c r="BG38" s="9">
        <v>35</v>
      </c>
      <c r="BH38" s="9">
        <v>49</v>
      </c>
      <c r="BI38" s="9"/>
      <c r="BJ38" s="18">
        <f t="shared" si="24"/>
        <v>84</v>
      </c>
      <c r="BK38" s="18">
        <v>1</v>
      </c>
      <c r="BL38" s="18" t="str">
        <f t="shared" si="25"/>
        <v>9</v>
      </c>
      <c r="BM38" s="18" t="str">
        <f t="shared" si="26"/>
        <v>A+</v>
      </c>
      <c r="BN38" s="18">
        <f t="shared" si="27"/>
        <v>9</v>
      </c>
      <c r="BO38" s="18"/>
      <c r="BP38" s="9">
        <v>28</v>
      </c>
      <c r="BQ38" s="9">
        <v>661</v>
      </c>
      <c r="BR38" s="9"/>
      <c r="BS38" s="18">
        <f t="shared" si="28"/>
        <v>689</v>
      </c>
      <c r="BT38" s="18">
        <v>1</v>
      </c>
      <c r="BU38" s="18" t="str">
        <f t="shared" si="29"/>
        <v>10</v>
      </c>
      <c r="BV38" s="18" t="str">
        <f t="shared" si="30"/>
        <v>O</v>
      </c>
      <c r="BW38" s="18">
        <f t="shared" si="31"/>
        <v>10</v>
      </c>
      <c r="BX38" s="18"/>
      <c r="BY38" s="18"/>
      <c r="BZ38" s="18">
        <f t="shared" si="32"/>
        <v>181</v>
      </c>
      <c r="CA38" s="19">
        <f t="shared" si="33"/>
        <v>9.0500000000000007</v>
      </c>
      <c r="CB38" s="28" t="str">
        <f t="shared" si="34"/>
        <v>O</v>
      </c>
      <c r="CC38" s="27">
        <f t="shared" si="35"/>
        <v>85.975000000000009</v>
      </c>
      <c r="CD38" s="27"/>
      <c r="CE38" s="28">
        <f t="shared" si="36"/>
        <v>1275</v>
      </c>
      <c r="CF38" s="28">
        <f t="shared" si="37"/>
        <v>159.375</v>
      </c>
      <c r="CG38" s="27"/>
      <c r="CH38" s="27"/>
      <c r="CI38" s="27" t="str">
        <f t="shared" si="39"/>
        <v>FCD</v>
      </c>
    </row>
    <row r="39" spans="1:87" ht="15.75" customHeight="1" x14ac:dyDescent="0.3">
      <c r="A39" s="35">
        <f t="shared" si="38"/>
        <v>32</v>
      </c>
      <c r="B39" s="85" t="s">
        <v>95</v>
      </c>
      <c r="C39" s="85" t="s">
        <v>96</v>
      </c>
      <c r="D39" s="47" t="s">
        <v>31</v>
      </c>
      <c r="E39" s="9">
        <v>34</v>
      </c>
      <c r="F39" s="9">
        <v>43</v>
      </c>
      <c r="G39" s="9"/>
      <c r="H39" s="18">
        <f t="shared" si="0"/>
        <v>77</v>
      </c>
      <c r="I39" s="18">
        <v>4</v>
      </c>
      <c r="J39" s="18" t="str">
        <f t="shared" si="1"/>
        <v>8</v>
      </c>
      <c r="K39" s="18" t="str">
        <f t="shared" si="2"/>
        <v>A</v>
      </c>
      <c r="L39" s="18">
        <f t="shared" si="3"/>
        <v>32</v>
      </c>
      <c r="M39" s="18"/>
      <c r="N39" s="9">
        <v>36</v>
      </c>
      <c r="O39" s="9">
        <v>47</v>
      </c>
      <c r="P39" s="9"/>
      <c r="Q39" s="18">
        <f t="shared" si="4"/>
        <v>83</v>
      </c>
      <c r="R39" s="18">
        <v>4</v>
      </c>
      <c r="S39" s="18" t="str">
        <f t="shared" si="5"/>
        <v>9</v>
      </c>
      <c r="T39" s="18" t="str">
        <f t="shared" si="6"/>
        <v>A+</v>
      </c>
      <c r="U39" s="18">
        <f t="shared" si="7"/>
        <v>36</v>
      </c>
      <c r="V39" s="18"/>
      <c r="W39" s="9">
        <v>32</v>
      </c>
      <c r="X39" s="9">
        <v>45</v>
      </c>
      <c r="Y39" s="18"/>
      <c r="Z39" s="18">
        <f t="shared" si="8"/>
        <v>77</v>
      </c>
      <c r="AA39" s="18">
        <v>3</v>
      </c>
      <c r="AB39" s="18" t="str">
        <f t="shared" si="9"/>
        <v>8</v>
      </c>
      <c r="AC39" s="18" t="str">
        <f t="shared" si="10"/>
        <v>A</v>
      </c>
      <c r="AD39" s="18">
        <f t="shared" si="11"/>
        <v>24</v>
      </c>
      <c r="AE39" s="18"/>
      <c r="AF39" s="46">
        <v>32</v>
      </c>
      <c r="AG39" s="46">
        <v>44</v>
      </c>
      <c r="AH39" s="9"/>
      <c r="AI39" s="18">
        <f t="shared" si="12"/>
        <v>76</v>
      </c>
      <c r="AJ39" s="18">
        <v>3</v>
      </c>
      <c r="AK39" s="18" t="str">
        <f t="shared" si="13"/>
        <v>8</v>
      </c>
      <c r="AL39" s="18" t="str">
        <f t="shared" si="14"/>
        <v>A</v>
      </c>
      <c r="AM39" s="18">
        <f t="shared" si="15"/>
        <v>24</v>
      </c>
      <c r="AN39" s="18"/>
      <c r="AO39" s="46">
        <v>28</v>
      </c>
      <c r="AP39" s="46">
        <v>39</v>
      </c>
      <c r="AQ39" s="9"/>
      <c r="AR39" s="18">
        <f t="shared" si="16"/>
        <v>67</v>
      </c>
      <c r="AS39" s="18">
        <v>3</v>
      </c>
      <c r="AT39" s="18" t="str">
        <f t="shared" si="17"/>
        <v>7</v>
      </c>
      <c r="AU39" s="18" t="str">
        <f t="shared" si="18"/>
        <v>B+</v>
      </c>
      <c r="AV39" s="18">
        <f t="shared" si="19"/>
        <v>21</v>
      </c>
      <c r="AW39" s="18"/>
      <c r="AX39" s="9">
        <v>35</v>
      </c>
      <c r="AY39" s="9">
        <v>37</v>
      </c>
      <c r="AZ39" s="9"/>
      <c r="BA39" s="18">
        <f t="shared" si="20"/>
        <v>72</v>
      </c>
      <c r="BB39" s="18">
        <v>1</v>
      </c>
      <c r="BC39" s="18" t="str">
        <f t="shared" si="21"/>
        <v>8</v>
      </c>
      <c r="BD39" s="18" t="str">
        <f t="shared" si="22"/>
        <v>A</v>
      </c>
      <c r="BE39" s="18">
        <f t="shared" si="23"/>
        <v>8</v>
      </c>
      <c r="BF39" s="43" t="s">
        <v>35</v>
      </c>
      <c r="BG39" s="9">
        <v>33</v>
      </c>
      <c r="BH39" s="9">
        <v>39</v>
      </c>
      <c r="BI39" s="9"/>
      <c r="BJ39" s="18">
        <f t="shared" si="24"/>
        <v>72</v>
      </c>
      <c r="BK39" s="18">
        <v>1</v>
      </c>
      <c r="BL39" s="18" t="str">
        <f t="shared" si="25"/>
        <v>8</v>
      </c>
      <c r="BM39" s="18" t="str">
        <f t="shared" si="26"/>
        <v>A</v>
      </c>
      <c r="BN39" s="18">
        <f t="shared" si="27"/>
        <v>8</v>
      </c>
      <c r="BO39" s="18"/>
      <c r="BP39" s="9">
        <v>18</v>
      </c>
      <c r="BQ39" s="9">
        <v>592</v>
      </c>
      <c r="BR39" s="9"/>
      <c r="BS39" s="18">
        <f t="shared" si="28"/>
        <v>610</v>
      </c>
      <c r="BT39" s="18">
        <v>1</v>
      </c>
      <c r="BU39" s="18" t="str">
        <f t="shared" si="29"/>
        <v>10</v>
      </c>
      <c r="BV39" s="18" t="str">
        <f t="shared" si="30"/>
        <v>O</v>
      </c>
      <c r="BW39" s="18">
        <f t="shared" si="31"/>
        <v>10</v>
      </c>
      <c r="BX39" s="18"/>
      <c r="BY39" s="18"/>
      <c r="BZ39" s="18">
        <f t="shared" si="32"/>
        <v>163</v>
      </c>
      <c r="CA39" s="19">
        <f t="shared" si="33"/>
        <v>8.15</v>
      </c>
      <c r="CB39" s="28" t="str">
        <f t="shared" si="34"/>
        <v>A+</v>
      </c>
      <c r="CC39" s="27">
        <f t="shared" si="35"/>
        <v>77.424999999999997</v>
      </c>
      <c r="CD39" s="27"/>
      <c r="CE39" s="28">
        <f t="shared" si="36"/>
        <v>1134</v>
      </c>
      <c r="CF39" s="28">
        <f t="shared" si="37"/>
        <v>141.75</v>
      </c>
      <c r="CG39" s="27"/>
      <c r="CH39" s="27"/>
      <c r="CI39" s="27" t="str">
        <f t="shared" si="39"/>
        <v>FCD</v>
      </c>
    </row>
    <row r="40" spans="1:87" ht="15.75" customHeight="1" x14ac:dyDescent="0.3">
      <c r="A40" s="35">
        <f t="shared" si="38"/>
        <v>33</v>
      </c>
      <c r="B40" s="85" t="s">
        <v>97</v>
      </c>
      <c r="C40" s="85" t="s">
        <v>98</v>
      </c>
      <c r="D40" s="47" t="s">
        <v>31</v>
      </c>
      <c r="E40" s="9">
        <v>28</v>
      </c>
      <c r="F40" s="9">
        <v>47</v>
      </c>
      <c r="G40" s="9"/>
      <c r="H40" s="18">
        <f t="shared" ref="H40:H63" si="40">SUM(E40:F40)</f>
        <v>75</v>
      </c>
      <c r="I40" s="18">
        <v>4</v>
      </c>
      <c r="J40" s="18" t="str">
        <f t="shared" ref="J40:J63" si="41">IF(F40&lt;=17,"0",IF(H40&lt;=39,"0",IF(H40&lt;=49,"4",IF(H40&lt;=54,"5",IF(H40&lt;=59,"6",IF(H40&lt;=69,"7",IF(H40&lt;=79,"8",IF(H40&lt;=89,"9","10"))))))))</f>
        <v>8</v>
      </c>
      <c r="K40" s="18" t="str">
        <f t="shared" ref="K40:K63" si="42">IF(F40&lt;=17,"F",IF(H40&lt;=39,"F",IF(H40&lt;=49,"P",IF(H40&lt;=54,"C",IF(H40&lt;=59,"B",IF(H40&lt;=69,"B+",IF(H40&lt;=79,"A",IF(H40&lt;=89,"A+","O"))))))))</f>
        <v>A</v>
      </c>
      <c r="L40" s="18">
        <f t="shared" ref="L40:L63" si="43">I40*J40</f>
        <v>32</v>
      </c>
      <c r="M40" s="18"/>
      <c r="N40" s="9">
        <v>36</v>
      </c>
      <c r="O40" s="9">
        <v>47</v>
      </c>
      <c r="P40" s="9"/>
      <c r="Q40" s="18">
        <f t="shared" ref="Q40:Q63" si="44">SUM(N40:O40)</f>
        <v>83</v>
      </c>
      <c r="R40" s="18">
        <v>4</v>
      </c>
      <c r="S40" s="18" t="str">
        <f t="shared" ref="S40:S63" si="45">IF(O40&lt;=17,"0",IF(Q40&lt;=39,"4",IF(Q40&lt;=49,"4",IF(Q40&lt;=54,"5",IF(Q40&lt;=59,"6",IF(Q40&lt;=69,"7",IF(Q40&lt;=79,"8",IF(Q40&lt;=89,"9","10"))))))))</f>
        <v>9</v>
      </c>
      <c r="T40" s="18" t="str">
        <f t="shared" ref="T40:T63" si="46">IF(O40&lt;=17,"F",IF(Q40&lt;=39,"F",IF(Q40&lt;=49,"P",IF(Q40&lt;=54,"C",IF(Q40&lt;=59,"B",IF(Q40&lt;=69,"B+",IF(Q40&lt;=79,"A",IF(Q40&lt;=89,"A+","O"))))))))</f>
        <v>A+</v>
      </c>
      <c r="U40" s="18">
        <f t="shared" ref="U40:U63" si="47">R40*S40</f>
        <v>36</v>
      </c>
      <c r="V40" s="18"/>
      <c r="W40" s="9">
        <v>18</v>
      </c>
      <c r="X40" s="9">
        <v>45</v>
      </c>
      <c r="Y40" s="18"/>
      <c r="Z40" s="18">
        <f t="shared" ref="Z40:Z63" si="48">SUM(W40:X40)</f>
        <v>63</v>
      </c>
      <c r="AA40" s="18">
        <v>3</v>
      </c>
      <c r="AB40" s="18" t="str">
        <f t="shared" ref="AB40:AB63" si="49">IF(X40&lt;=17,"0",IF(Z40&lt;=39,"0",IF(Z40&lt;=49,"4",IF(Z40&lt;=54,"5",IF(Z40&lt;=59,"6",IF(Z40&lt;=69,"7",IF(Z40&lt;=79,"8",IF(Z40&lt;=89,"9","10"))))))))</f>
        <v>7</v>
      </c>
      <c r="AC40" s="18" t="str">
        <f t="shared" ref="AC40:AC63" si="50">IF(X40&lt;=17,"F",IF(Z40&lt;=39,"F",IF(Z40&lt;=49,"P",IF(Z40&lt;=54,"C",IF(Z40&lt;=59,"B",IF(Z40&lt;=69,"B+",IF(Z40&lt;=79,"A",IF(Z40&lt;=89,"A+","O"))))))))</f>
        <v>B+</v>
      </c>
      <c r="AD40" s="18">
        <f t="shared" ref="AD40:AD63" si="51">AA40*AB40</f>
        <v>21</v>
      </c>
      <c r="AE40" s="18"/>
      <c r="AF40" s="46">
        <v>36</v>
      </c>
      <c r="AG40" s="46">
        <v>47</v>
      </c>
      <c r="AH40" s="9"/>
      <c r="AI40" s="18">
        <f t="shared" ref="AI40:AI63" si="52">SUM(AF40:AG40)</f>
        <v>83</v>
      </c>
      <c r="AJ40" s="18">
        <v>3</v>
      </c>
      <c r="AK40" s="18" t="str">
        <f t="shared" ref="AK40:AK63" si="53">IF(AG40&lt;=17,"0",IF(AI40&lt;=39,"0",IF(AI40&lt;=49,"4",IF(AI40&lt;=54,"5",IF(AI40&lt;=59,"6",IF(AI40&lt;=69,"7",IF(AI40&lt;=79,"8",IF(AI40&lt;=89,"9","10"))))))))</f>
        <v>9</v>
      </c>
      <c r="AL40" s="18" t="str">
        <f t="shared" ref="AL40:AL63" si="54">IF(AG40&lt;=17,"F",IF(AI40&lt;=39,"F",IF(AI40&lt;=49,"P",IF(AI40&lt;=54,"C",IF(AI40&lt;=59,"B",IF(AI40&lt;=69,"B+",IF(AI40&lt;=79,"A",IF(AI40&lt;=89,"A+","O"))))))))</f>
        <v>A+</v>
      </c>
      <c r="AM40" s="18">
        <f t="shared" ref="AM40:AM63" si="55">AJ40*AK40</f>
        <v>27</v>
      </c>
      <c r="AN40" s="18"/>
      <c r="AO40" s="46">
        <v>40</v>
      </c>
      <c r="AP40" s="46">
        <v>46</v>
      </c>
      <c r="AQ40" s="9"/>
      <c r="AR40" s="18">
        <f t="shared" ref="AR40:AR63" si="56">(AO40+AP40)</f>
        <v>86</v>
      </c>
      <c r="AS40" s="18">
        <v>3</v>
      </c>
      <c r="AT40" s="18" t="str">
        <f t="shared" ref="AT40:AT63" si="57">IF(AP40&lt;=17,"0",IF(AR40&lt;=39,"0",IF(AR40&lt;=49,"4",IF(AR40&lt;=54,"5",IF(AR40&lt;=59,"6",IF(AR40&lt;=69,"7",IF(AR40&lt;=79,"8",IF(AR40&lt;=89,"9","10"))))))))</f>
        <v>9</v>
      </c>
      <c r="AU40" s="18" t="str">
        <f t="shared" ref="AU40:AU63" si="58">IF(AP40&lt;=17,"F",IF(AR40&lt;=39,"F",IF(AR40&lt;=49,"P",IF(AR40&lt;=54,"C",IF(AR40&lt;=59,"B",IF(AR40&lt;=69,"B+",IF(AR40&lt;=79,"A",IF(AR40&lt;=89,"A+","O"))))))))</f>
        <v>A+</v>
      </c>
      <c r="AV40" s="18">
        <f t="shared" ref="AV40:AV63" si="59">AS40*AT40</f>
        <v>27</v>
      </c>
      <c r="AW40" s="18"/>
      <c r="AX40" s="9">
        <v>32</v>
      </c>
      <c r="AY40" s="9">
        <v>38</v>
      </c>
      <c r="AZ40" s="9"/>
      <c r="BA40" s="18">
        <f t="shared" ref="BA40:BA63" si="60">(AX40+AY40)</f>
        <v>70</v>
      </c>
      <c r="BB40" s="18">
        <v>1</v>
      </c>
      <c r="BC40" s="18" t="str">
        <f t="shared" ref="BC40:BC63" si="61">IF(AY40&lt;=17,"0",IF(BA40&lt;=39,"0",IF(BA40&lt;=49,"4",IF(BA40&lt;=54,"5",IF(BA40&lt;=59,"6",IF(BA40&lt;=69,"7",IF(BA40&lt;=79,"8",IF(BA40&lt;=89,"9","10"))))))))</f>
        <v>8</v>
      </c>
      <c r="BD40" s="18" t="str">
        <f t="shared" ref="BD40:BD63" si="62">IF(AY40&lt;=17,"F",IF(BA40&lt;=39,"F",IF(BA40&lt;=49,"P",IF(BA40&lt;=54,"C",IF(BA40&lt;=59,"B",IF(BA40&lt;=69,"B+",IF(BA40&lt;=79,"A",IF(BA40&lt;=89,"A+","O"))))))))</f>
        <v>A</v>
      </c>
      <c r="BE40" s="18">
        <f t="shared" ref="BE40:BE63" si="63">BB40*BC40</f>
        <v>8</v>
      </c>
      <c r="BF40" s="43" t="s">
        <v>32</v>
      </c>
      <c r="BG40" s="9">
        <v>34</v>
      </c>
      <c r="BH40" s="9">
        <v>46</v>
      </c>
      <c r="BI40" s="9"/>
      <c r="BJ40" s="18">
        <f t="shared" ref="BJ40:BJ63" si="64">(BG40+BH40)</f>
        <v>80</v>
      </c>
      <c r="BK40" s="18">
        <v>1</v>
      </c>
      <c r="BL40" s="18" t="str">
        <f t="shared" ref="BL40:BL63" si="65">IF(BH40&lt;=17,"0",IF(BJ40&lt;=39,"0",IF(BJ40&lt;=49,"4",IF(BJ40&lt;=54,"5",IF(BJ40&lt;=59,"6",IF(BJ40&lt;=69,"7",IF(BJ40&lt;=79,"8",IF(BJ40&lt;=89,"9","10"))))))))</f>
        <v>9</v>
      </c>
      <c r="BM40" s="18" t="str">
        <f t="shared" ref="BM40:BM63" si="66">IF(BH40&lt;=17,"F",IF(BJ40&lt;=39,"F",IF(BJ40&lt;=49,"P",IF(BJ40&lt;=54,"C",IF(BJ40&lt;=59,"B",IF(BJ40&lt;=69,"B+",IF(BJ40&lt;=79,"A",IF(BJ40&lt;=89,"A+","O"))))))))</f>
        <v>A+</v>
      </c>
      <c r="BN40" s="18">
        <f t="shared" ref="BN40:BN63" si="67">BK40*BL40</f>
        <v>9</v>
      </c>
      <c r="BO40" s="18"/>
      <c r="BP40" s="9">
        <v>30</v>
      </c>
      <c r="BQ40" s="9">
        <v>620</v>
      </c>
      <c r="BR40" s="9"/>
      <c r="BS40" s="18">
        <f t="shared" ref="BS40:BS63" si="68">(BP40+BQ40)</f>
        <v>650</v>
      </c>
      <c r="BT40" s="18">
        <v>1</v>
      </c>
      <c r="BU40" s="18" t="str">
        <f t="shared" ref="BU40:BU63" si="69">IF(BQ40&lt;=17,"0",IF(BS40&lt;=39,"0",IF(BS40&lt;=49,"4",IF(BS40&lt;=54,"5",IF(BS40&lt;=59,"6",IF(BS40&lt;=69,"7",IF(BS40&lt;=79,"8",IF(BS40&lt;=89,"9","10"))))))))</f>
        <v>10</v>
      </c>
      <c r="BV40" s="18" t="str">
        <f t="shared" ref="BV40:BV63" si="70">IF(BQ40&lt;=17,"F",IF(BS40&lt;=39,"F",IF(BS40&lt;=49,"P",IF(BS40&lt;=54,"C",IF(BS40&lt;=59,"B",IF(BS40&lt;=69,"B+",IF(BS40&lt;=79,"A",IF(BS40&lt;=89,"A+","O"))))))))</f>
        <v>O</v>
      </c>
      <c r="BW40" s="18">
        <f t="shared" ref="BW40:BW63" si="71">BT40*BU40</f>
        <v>10</v>
      </c>
      <c r="BX40" s="18"/>
      <c r="BY40" s="18"/>
      <c r="BZ40" s="18">
        <f t="shared" ref="BZ40:BZ63" si="72">L40+U40+AD40+AM40+AV40+BE40+BN40+BW40</f>
        <v>170</v>
      </c>
      <c r="CA40" s="19">
        <f t="shared" ref="CA40:CA71" si="73">BZ40/20</f>
        <v>8.5</v>
      </c>
      <c r="CB40" s="28" t="str">
        <f t="shared" ref="CB40:CB71" si="74">IF(CA40&lt;4,"F",IF(BV40="F","F",IF(BM40="F","F",IF(BD40="F","F",IF(AU40="F","F",IF(AL40="F","F",IF(AC40="F","F",IF(T40="F","F",IF(K40="F","F",IF(CA40&lt;=5,"C",IF(CA40&lt;6,"B",IF(CA40&lt;7,"B+",IF(CA40&lt;8,"A",IF(CA40&lt;=9,"A+","O"))))))))))))))</f>
        <v>A+</v>
      </c>
      <c r="CC40" s="27">
        <f t="shared" ref="CC40:CC63" si="75">CA40*9.5</f>
        <v>80.75</v>
      </c>
      <c r="CD40" s="27"/>
      <c r="CE40" s="28">
        <f t="shared" ref="CE40:CE63" si="76">SUM(BS40,BJ40,BA40,AR40,AI40,Z40,Q40,H40)</f>
        <v>1190</v>
      </c>
      <c r="CF40" s="28">
        <f t="shared" ref="CF40:CF71" si="77">(CE40/800)*100</f>
        <v>148.75</v>
      </c>
      <c r="CG40" s="27"/>
      <c r="CH40" s="27"/>
      <c r="CI40" s="27" t="str">
        <f t="shared" si="39"/>
        <v>FCD</v>
      </c>
    </row>
    <row r="41" spans="1:87" ht="15.75" customHeight="1" x14ac:dyDescent="0.3">
      <c r="A41" s="35">
        <f t="shared" ref="A41:A61" si="78">A40+1</f>
        <v>34</v>
      </c>
      <c r="B41" s="85" t="s">
        <v>99</v>
      </c>
      <c r="C41" s="85" t="s">
        <v>100</v>
      </c>
      <c r="D41" s="47" t="s">
        <v>31</v>
      </c>
      <c r="E41" s="9">
        <v>44</v>
      </c>
      <c r="F41" s="9">
        <v>48</v>
      </c>
      <c r="G41" s="9"/>
      <c r="H41" s="18">
        <f t="shared" si="40"/>
        <v>92</v>
      </c>
      <c r="I41" s="18">
        <v>4</v>
      </c>
      <c r="J41" s="18" t="str">
        <f t="shared" si="41"/>
        <v>10</v>
      </c>
      <c r="K41" s="18" t="str">
        <f t="shared" si="42"/>
        <v>O</v>
      </c>
      <c r="L41" s="18">
        <f t="shared" si="43"/>
        <v>40</v>
      </c>
      <c r="M41" s="18"/>
      <c r="N41" s="9">
        <v>42</v>
      </c>
      <c r="O41" s="9">
        <v>48</v>
      </c>
      <c r="P41" s="9"/>
      <c r="Q41" s="18">
        <f t="shared" si="44"/>
        <v>90</v>
      </c>
      <c r="R41" s="18">
        <v>4</v>
      </c>
      <c r="S41" s="18" t="str">
        <f t="shared" si="45"/>
        <v>10</v>
      </c>
      <c r="T41" s="18" t="str">
        <f t="shared" si="46"/>
        <v>O</v>
      </c>
      <c r="U41" s="18">
        <f t="shared" si="47"/>
        <v>40</v>
      </c>
      <c r="V41" s="18"/>
      <c r="W41" s="9">
        <v>36</v>
      </c>
      <c r="X41" s="9">
        <v>48</v>
      </c>
      <c r="Y41" s="18"/>
      <c r="Z41" s="18">
        <f t="shared" si="48"/>
        <v>84</v>
      </c>
      <c r="AA41" s="18">
        <v>3</v>
      </c>
      <c r="AB41" s="18" t="str">
        <f t="shared" si="49"/>
        <v>9</v>
      </c>
      <c r="AC41" s="18" t="str">
        <f t="shared" si="50"/>
        <v>A+</v>
      </c>
      <c r="AD41" s="18">
        <f t="shared" si="51"/>
        <v>27</v>
      </c>
      <c r="AE41" s="18"/>
      <c r="AF41" s="46">
        <v>44</v>
      </c>
      <c r="AG41" s="46">
        <v>49</v>
      </c>
      <c r="AH41" s="9"/>
      <c r="AI41" s="18">
        <f t="shared" si="52"/>
        <v>93</v>
      </c>
      <c r="AJ41" s="18">
        <v>3</v>
      </c>
      <c r="AK41" s="18" t="str">
        <f t="shared" si="53"/>
        <v>10</v>
      </c>
      <c r="AL41" s="18" t="str">
        <f t="shared" si="54"/>
        <v>O</v>
      </c>
      <c r="AM41" s="18">
        <f t="shared" si="55"/>
        <v>30</v>
      </c>
      <c r="AN41" s="18"/>
      <c r="AO41" s="46">
        <v>45</v>
      </c>
      <c r="AP41" s="46">
        <v>46</v>
      </c>
      <c r="AQ41" s="9"/>
      <c r="AR41" s="18">
        <f t="shared" si="56"/>
        <v>91</v>
      </c>
      <c r="AS41" s="18">
        <v>3</v>
      </c>
      <c r="AT41" s="18" t="str">
        <f t="shared" si="57"/>
        <v>10</v>
      </c>
      <c r="AU41" s="18" t="str">
        <f t="shared" si="58"/>
        <v>O</v>
      </c>
      <c r="AV41" s="18">
        <f t="shared" si="59"/>
        <v>30</v>
      </c>
      <c r="AW41" s="18"/>
      <c r="AX41" s="9">
        <v>40</v>
      </c>
      <c r="AY41" s="9">
        <v>46</v>
      </c>
      <c r="AZ41" s="9"/>
      <c r="BA41" s="18">
        <f t="shared" si="60"/>
        <v>86</v>
      </c>
      <c r="BB41" s="18">
        <v>1</v>
      </c>
      <c r="BC41" s="18" t="str">
        <f t="shared" si="61"/>
        <v>9</v>
      </c>
      <c r="BD41" s="18" t="str">
        <f t="shared" si="62"/>
        <v>A+</v>
      </c>
      <c r="BE41" s="18">
        <f t="shared" si="63"/>
        <v>9</v>
      </c>
      <c r="BF41" s="43" t="s">
        <v>35</v>
      </c>
      <c r="BG41" s="9">
        <v>28</v>
      </c>
      <c r="BH41" s="9">
        <v>49</v>
      </c>
      <c r="BI41" s="9"/>
      <c r="BJ41" s="18">
        <f t="shared" si="64"/>
        <v>77</v>
      </c>
      <c r="BK41" s="18">
        <v>1</v>
      </c>
      <c r="BL41" s="18" t="str">
        <f t="shared" si="65"/>
        <v>8</v>
      </c>
      <c r="BM41" s="18" t="str">
        <f t="shared" si="66"/>
        <v>A</v>
      </c>
      <c r="BN41" s="18">
        <f t="shared" si="67"/>
        <v>8</v>
      </c>
      <c r="BO41" s="18"/>
      <c r="BP41" s="9">
        <v>36</v>
      </c>
      <c r="BQ41" s="9">
        <v>695</v>
      </c>
      <c r="BR41" s="9"/>
      <c r="BS41" s="18">
        <f t="shared" si="68"/>
        <v>731</v>
      </c>
      <c r="BT41" s="18">
        <v>1</v>
      </c>
      <c r="BU41" s="18" t="str">
        <f t="shared" si="69"/>
        <v>10</v>
      </c>
      <c r="BV41" s="18" t="str">
        <f t="shared" si="70"/>
        <v>O</v>
      </c>
      <c r="BW41" s="18">
        <f t="shared" si="71"/>
        <v>10</v>
      </c>
      <c r="BX41" s="18"/>
      <c r="BY41" s="18"/>
      <c r="BZ41" s="18">
        <f t="shared" si="72"/>
        <v>194</v>
      </c>
      <c r="CA41" s="19">
        <f t="shared" si="73"/>
        <v>9.6999999999999993</v>
      </c>
      <c r="CB41" s="28" t="str">
        <f t="shared" si="74"/>
        <v>O</v>
      </c>
      <c r="CC41" s="27">
        <f t="shared" si="75"/>
        <v>92.149999999999991</v>
      </c>
      <c r="CD41" s="27"/>
      <c r="CE41" s="28">
        <f t="shared" si="76"/>
        <v>1344</v>
      </c>
      <c r="CF41" s="28">
        <f t="shared" si="77"/>
        <v>168</v>
      </c>
      <c r="CG41" s="27"/>
      <c r="CH41" s="27"/>
      <c r="CI41" s="27" t="str">
        <f t="shared" si="39"/>
        <v>FCD</v>
      </c>
    </row>
    <row r="42" spans="1:87" ht="15.75" customHeight="1" x14ac:dyDescent="0.3">
      <c r="A42" s="35">
        <f t="shared" si="78"/>
        <v>35</v>
      </c>
      <c r="B42" s="85" t="s">
        <v>101</v>
      </c>
      <c r="C42" s="85" t="s">
        <v>102</v>
      </c>
      <c r="D42" s="47" t="s">
        <v>31</v>
      </c>
      <c r="E42" s="9">
        <v>49</v>
      </c>
      <c r="F42" s="9">
        <v>49</v>
      </c>
      <c r="G42" s="9"/>
      <c r="H42" s="18">
        <f t="shared" si="40"/>
        <v>98</v>
      </c>
      <c r="I42" s="18">
        <v>4</v>
      </c>
      <c r="J42" s="18" t="str">
        <f t="shared" si="41"/>
        <v>10</v>
      </c>
      <c r="K42" s="18" t="str">
        <f t="shared" si="42"/>
        <v>O</v>
      </c>
      <c r="L42" s="18">
        <f t="shared" si="43"/>
        <v>40</v>
      </c>
      <c r="M42" s="18"/>
      <c r="N42" s="9">
        <v>42</v>
      </c>
      <c r="O42" s="9">
        <v>49</v>
      </c>
      <c r="P42" s="9"/>
      <c r="Q42" s="18">
        <f t="shared" si="44"/>
        <v>91</v>
      </c>
      <c r="R42" s="18">
        <v>4</v>
      </c>
      <c r="S42" s="18" t="str">
        <f t="shared" si="45"/>
        <v>10</v>
      </c>
      <c r="T42" s="18" t="str">
        <f t="shared" si="46"/>
        <v>O</v>
      </c>
      <c r="U42" s="18">
        <f t="shared" si="47"/>
        <v>40</v>
      </c>
      <c r="V42" s="18"/>
      <c r="W42" s="9">
        <v>35</v>
      </c>
      <c r="X42" s="9">
        <v>44</v>
      </c>
      <c r="Y42" s="18"/>
      <c r="Z42" s="18">
        <f t="shared" si="48"/>
        <v>79</v>
      </c>
      <c r="AA42" s="18">
        <v>3</v>
      </c>
      <c r="AB42" s="18" t="str">
        <f t="shared" si="49"/>
        <v>8</v>
      </c>
      <c r="AC42" s="18" t="str">
        <f t="shared" si="50"/>
        <v>A</v>
      </c>
      <c r="AD42" s="18">
        <f t="shared" si="51"/>
        <v>24</v>
      </c>
      <c r="AE42" s="18"/>
      <c r="AF42" s="46">
        <v>37</v>
      </c>
      <c r="AG42" s="46">
        <v>44</v>
      </c>
      <c r="AH42" s="9"/>
      <c r="AI42" s="18">
        <f t="shared" si="52"/>
        <v>81</v>
      </c>
      <c r="AJ42" s="18">
        <v>3</v>
      </c>
      <c r="AK42" s="18" t="str">
        <f t="shared" si="53"/>
        <v>9</v>
      </c>
      <c r="AL42" s="18" t="str">
        <f t="shared" si="54"/>
        <v>A+</v>
      </c>
      <c r="AM42" s="18">
        <f t="shared" si="55"/>
        <v>27</v>
      </c>
      <c r="AN42" s="18"/>
      <c r="AO42" s="46">
        <v>36</v>
      </c>
      <c r="AP42" s="46">
        <v>45</v>
      </c>
      <c r="AQ42" s="9"/>
      <c r="AR42" s="18">
        <f t="shared" si="56"/>
        <v>81</v>
      </c>
      <c r="AS42" s="18">
        <v>3</v>
      </c>
      <c r="AT42" s="18" t="str">
        <f t="shared" si="57"/>
        <v>9</v>
      </c>
      <c r="AU42" s="18" t="str">
        <f t="shared" si="58"/>
        <v>A+</v>
      </c>
      <c r="AV42" s="18">
        <f t="shared" si="59"/>
        <v>27</v>
      </c>
      <c r="AW42" s="18"/>
      <c r="AX42" s="9">
        <v>32</v>
      </c>
      <c r="AY42" s="9">
        <v>48</v>
      </c>
      <c r="AZ42" s="9"/>
      <c r="BA42" s="18">
        <f t="shared" si="60"/>
        <v>80</v>
      </c>
      <c r="BB42" s="18">
        <v>1</v>
      </c>
      <c r="BC42" s="18" t="str">
        <f t="shared" si="61"/>
        <v>9</v>
      </c>
      <c r="BD42" s="18" t="str">
        <f t="shared" si="62"/>
        <v>A+</v>
      </c>
      <c r="BE42" s="18">
        <f t="shared" si="63"/>
        <v>9</v>
      </c>
      <c r="BF42" s="43" t="s">
        <v>35</v>
      </c>
      <c r="BG42" s="9">
        <v>25</v>
      </c>
      <c r="BH42" s="9">
        <v>46</v>
      </c>
      <c r="BI42" s="9"/>
      <c r="BJ42" s="18">
        <f t="shared" si="64"/>
        <v>71</v>
      </c>
      <c r="BK42" s="18">
        <v>1</v>
      </c>
      <c r="BL42" s="18" t="str">
        <f t="shared" si="65"/>
        <v>8</v>
      </c>
      <c r="BM42" s="18" t="str">
        <f t="shared" si="66"/>
        <v>A</v>
      </c>
      <c r="BN42" s="18">
        <f t="shared" si="67"/>
        <v>8</v>
      </c>
      <c r="BO42" s="18"/>
      <c r="BP42" s="9">
        <v>29</v>
      </c>
      <c r="BQ42" s="9">
        <v>657</v>
      </c>
      <c r="BR42" s="9"/>
      <c r="BS42" s="18">
        <f t="shared" si="68"/>
        <v>686</v>
      </c>
      <c r="BT42" s="18">
        <v>1</v>
      </c>
      <c r="BU42" s="18" t="str">
        <f t="shared" si="69"/>
        <v>10</v>
      </c>
      <c r="BV42" s="18" t="str">
        <f t="shared" si="70"/>
        <v>O</v>
      </c>
      <c r="BW42" s="18">
        <f t="shared" si="71"/>
        <v>10</v>
      </c>
      <c r="BX42" s="18"/>
      <c r="BY42" s="18"/>
      <c r="BZ42" s="18">
        <f t="shared" si="72"/>
        <v>185</v>
      </c>
      <c r="CA42" s="19">
        <f t="shared" si="73"/>
        <v>9.25</v>
      </c>
      <c r="CB42" s="28" t="str">
        <f t="shared" si="74"/>
        <v>O</v>
      </c>
      <c r="CC42" s="27">
        <f t="shared" si="75"/>
        <v>87.875</v>
      </c>
      <c r="CD42" s="27"/>
      <c r="CE42" s="28">
        <f t="shared" si="76"/>
        <v>1267</v>
      </c>
      <c r="CF42" s="28">
        <f t="shared" si="77"/>
        <v>158.375</v>
      </c>
      <c r="CG42" s="27"/>
      <c r="CH42" s="27"/>
      <c r="CI42" s="27" t="str">
        <f t="shared" si="39"/>
        <v>FCD</v>
      </c>
    </row>
    <row r="43" spans="1:87" ht="15.75" customHeight="1" x14ac:dyDescent="0.3">
      <c r="A43" s="35">
        <f t="shared" si="78"/>
        <v>36</v>
      </c>
      <c r="B43" s="85" t="s">
        <v>103</v>
      </c>
      <c r="C43" s="85" t="s">
        <v>104</v>
      </c>
      <c r="D43" s="47" t="s">
        <v>31</v>
      </c>
      <c r="E43" s="9">
        <v>4</v>
      </c>
      <c r="F43" s="9">
        <v>43</v>
      </c>
      <c r="G43" s="9"/>
      <c r="H43" s="18">
        <f t="shared" si="40"/>
        <v>47</v>
      </c>
      <c r="I43" s="18">
        <v>4</v>
      </c>
      <c r="J43" s="18" t="str">
        <f t="shared" si="41"/>
        <v>4</v>
      </c>
      <c r="K43" s="18" t="str">
        <f t="shared" si="42"/>
        <v>P</v>
      </c>
      <c r="L43" s="18">
        <f t="shared" si="43"/>
        <v>16</v>
      </c>
      <c r="M43" s="18"/>
      <c r="N43" s="9">
        <v>35</v>
      </c>
      <c r="O43" s="9">
        <v>41</v>
      </c>
      <c r="P43" s="9"/>
      <c r="Q43" s="18">
        <f t="shared" si="44"/>
        <v>76</v>
      </c>
      <c r="R43" s="18">
        <v>4</v>
      </c>
      <c r="S43" s="18" t="str">
        <f t="shared" si="45"/>
        <v>8</v>
      </c>
      <c r="T43" s="18" t="str">
        <f t="shared" si="46"/>
        <v>A</v>
      </c>
      <c r="U43" s="18">
        <f t="shared" si="47"/>
        <v>32</v>
      </c>
      <c r="V43" s="18"/>
      <c r="W43" s="9">
        <v>18</v>
      </c>
      <c r="X43" s="9">
        <v>43</v>
      </c>
      <c r="Y43" s="18"/>
      <c r="Z43" s="18">
        <f t="shared" si="48"/>
        <v>61</v>
      </c>
      <c r="AA43" s="18">
        <v>3</v>
      </c>
      <c r="AB43" s="18" t="str">
        <f t="shared" si="49"/>
        <v>7</v>
      </c>
      <c r="AC43" s="18" t="str">
        <f t="shared" si="50"/>
        <v>B+</v>
      </c>
      <c r="AD43" s="18">
        <f t="shared" si="51"/>
        <v>21</v>
      </c>
      <c r="AE43" s="18"/>
      <c r="AF43" s="46">
        <v>32</v>
      </c>
      <c r="AG43" s="46">
        <v>46</v>
      </c>
      <c r="AH43" s="9"/>
      <c r="AI43" s="18">
        <f t="shared" si="52"/>
        <v>78</v>
      </c>
      <c r="AJ43" s="18">
        <v>3</v>
      </c>
      <c r="AK43" s="18" t="str">
        <f t="shared" si="53"/>
        <v>8</v>
      </c>
      <c r="AL43" s="18" t="str">
        <f t="shared" si="54"/>
        <v>A</v>
      </c>
      <c r="AM43" s="18">
        <f t="shared" si="55"/>
        <v>24</v>
      </c>
      <c r="AN43" s="18"/>
      <c r="AO43" s="46">
        <v>33</v>
      </c>
      <c r="AP43" s="46">
        <v>38</v>
      </c>
      <c r="AQ43" s="9"/>
      <c r="AR43" s="18">
        <f t="shared" si="56"/>
        <v>71</v>
      </c>
      <c r="AS43" s="18">
        <v>3</v>
      </c>
      <c r="AT43" s="18" t="str">
        <f t="shared" si="57"/>
        <v>8</v>
      </c>
      <c r="AU43" s="18" t="str">
        <f t="shared" si="58"/>
        <v>A</v>
      </c>
      <c r="AV43" s="18">
        <f t="shared" si="59"/>
        <v>24</v>
      </c>
      <c r="AW43" s="18"/>
      <c r="AX43" s="9">
        <v>25</v>
      </c>
      <c r="AY43" s="9">
        <v>38</v>
      </c>
      <c r="AZ43" s="9"/>
      <c r="BA43" s="18">
        <f t="shared" si="60"/>
        <v>63</v>
      </c>
      <c r="BB43" s="18">
        <v>1</v>
      </c>
      <c r="BC43" s="18" t="str">
        <f t="shared" si="61"/>
        <v>7</v>
      </c>
      <c r="BD43" s="18" t="str">
        <f t="shared" si="62"/>
        <v>B+</v>
      </c>
      <c r="BE43" s="18">
        <f t="shared" si="63"/>
        <v>7</v>
      </c>
      <c r="BF43" s="43" t="s">
        <v>32</v>
      </c>
      <c r="BG43" s="9">
        <v>22</v>
      </c>
      <c r="BH43" s="9">
        <v>41</v>
      </c>
      <c r="BI43" s="9"/>
      <c r="BJ43" s="18">
        <f t="shared" si="64"/>
        <v>63</v>
      </c>
      <c r="BK43" s="18">
        <v>1</v>
      </c>
      <c r="BL43" s="18" t="str">
        <f t="shared" si="65"/>
        <v>7</v>
      </c>
      <c r="BM43" s="18" t="str">
        <f t="shared" si="66"/>
        <v>B+</v>
      </c>
      <c r="BN43" s="18">
        <f t="shared" si="67"/>
        <v>7</v>
      </c>
      <c r="BO43" s="18"/>
      <c r="BP43" s="9">
        <v>18</v>
      </c>
      <c r="BQ43" s="9">
        <v>514</v>
      </c>
      <c r="BR43" s="9"/>
      <c r="BS43" s="18">
        <f t="shared" si="68"/>
        <v>532</v>
      </c>
      <c r="BT43" s="18">
        <v>1</v>
      </c>
      <c r="BU43" s="18" t="str">
        <f t="shared" si="69"/>
        <v>10</v>
      </c>
      <c r="BV43" s="18" t="str">
        <f t="shared" si="70"/>
        <v>O</v>
      </c>
      <c r="BW43" s="18">
        <f t="shared" si="71"/>
        <v>10</v>
      </c>
      <c r="BX43" s="18"/>
      <c r="BY43" s="18"/>
      <c r="BZ43" s="18">
        <f t="shared" si="72"/>
        <v>141</v>
      </c>
      <c r="CA43" s="19">
        <f t="shared" si="73"/>
        <v>7.05</v>
      </c>
      <c r="CB43" s="28" t="str">
        <f t="shared" si="74"/>
        <v>A</v>
      </c>
      <c r="CC43" s="27">
        <f t="shared" si="75"/>
        <v>66.974999999999994</v>
      </c>
      <c r="CD43" s="27"/>
      <c r="CE43" s="28">
        <f t="shared" si="76"/>
        <v>991</v>
      </c>
      <c r="CF43" s="28">
        <f t="shared" si="77"/>
        <v>123.875</v>
      </c>
      <c r="CG43" s="27"/>
      <c r="CH43" s="27"/>
      <c r="CI43" s="27" t="str">
        <f t="shared" si="39"/>
        <v>FC</v>
      </c>
    </row>
    <row r="44" spans="1:87" ht="15.75" customHeight="1" x14ac:dyDescent="0.3">
      <c r="A44" s="35">
        <f t="shared" si="78"/>
        <v>37</v>
      </c>
      <c r="B44" s="85" t="s">
        <v>105</v>
      </c>
      <c r="C44" s="85" t="s">
        <v>106</v>
      </c>
      <c r="D44" s="47" t="s">
        <v>31</v>
      </c>
      <c r="E44" s="9">
        <v>24</v>
      </c>
      <c r="F44" s="9">
        <v>46</v>
      </c>
      <c r="G44" s="9"/>
      <c r="H44" s="18">
        <f t="shared" si="40"/>
        <v>70</v>
      </c>
      <c r="I44" s="18">
        <v>4</v>
      </c>
      <c r="J44" s="18" t="str">
        <f t="shared" si="41"/>
        <v>8</v>
      </c>
      <c r="K44" s="18" t="str">
        <f t="shared" si="42"/>
        <v>A</v>
      </c>
      <c r="L44" s="18">
        <f t="shared" si="43"/>
        <v>32</v>
      </c>
      <c r="M44" s="18"/>
      <c r="N44" s="9">
        <v>40</v>
      </c>
      <c r="O44" s="9">
        <v>40</v>
      </c>
      <c r="P44" s="9"/>
      <c r="Q44" s="18">
        <f t="shared" si="44"/>
        <v>80</v>
      </c>
      <c r="R44" s="18">
        <v>4</v>
      </c>
      <c r="S44" s="18" t="str">
        <f t="shared" si="45"/>
        <v>9</v>
      </c>
      <c r="T44" s="18" t="str">
        <f t="shared" si="46"/>
        <v>A+</v>
      </c>
      <c r="U44" s="18">
        <f t="shared" si="47"/>
        <v>36</v>
      </c>
      <c r="V44" s="18"/>
      <c r="W44" s="9">
        <v>26</v>
      </c>
      <c r="X44" s="9">
        <v>44</v>
      </c>
      <c r="Y44" s="18"/>
      <c r="Z44" s="18">
        <f t="shared" si="48"/>
        <v>70</v>
      </c>
      <c r="AA44" s="18">
        <v>3</v>
      </c>
      <c r="AB44" s="18" t="str">
        <f t="shared" si="49"/>
        <v>8</v>
      </c>
      <c r="AC44" s="18" t="str">
        <f t="shared" si="50"/>
        <v>A</v>
      </c>
      <c r="AD44" s="18">
        <f t="shared" si="51"/>
        <v>24</v>
      </c>
      <c r="AE44" s="18"/>
      <c r="AF44" s="46">
        <v>35</v>
      </c>
      <c r="AG44" s="46">
        <v>47</v>
      </c>
      <c r="AH44" s="9"/>
      <c r="AI44" s="18">
        <f t="shared" si="52"/>
        <v>82</v>
      </c>
      <c r="AJ44" s="18">
        <v>3</v>
      </c>
      <c r="AK44" s="18" t="str">
        <f t="shared" si="53"/>
        <v>9</v>
      </c>
      <c r="AL44" s="18" t="str">
        <f t="shared" si="54"/>
        <v>A+</v>
      </c>
      <c r="AM44" s="18">
        <f t="shared" si="55"/>
        <v>27</v>
      </c>
      <c r="AN44" s="18"/>
      <c r="AO44" s="46">
        <v>37</v>
      </c>
      <c r="AP44" s="46">
        <v>41</v>
      </c>
      <c r="AQ44" s="9"/>
      <c r="AR44" s="18">
        <f t="shared" si="56"/>
        <v>78</v>
      </c>
      <c r="AS44" s="18">
        <v>3</v>
      </c>
      <c r="AT44" s="18" t="str">
        <f t="shared" si="57"/>
        <v>8</v>
      </c>
      <c r="AU44" s="18" t="str">
        <f t="shared" si="58"/>
        <v>A</v>
      </c>
      <c r="AV44" s="18">
        <f t="shared" si="59"/>
        <v>24</v>
      </c>
      <c r="AW44" s="18"/>
      <c r="AX44" s="9">
        <v>32</v>
      </c>
      <c r="AY44" s="9">
        <v>43</v>
      </c>
      <c r="AZ44" s="9"/>
      <c r="BA44" s="18">
        <f t="shared" si="60"/>
        <v>75</v>
      </c>
      <c r="BB44" s="18">
        <v>1</v>
      </c>
      <c r="BC44" s="18" t="str">
        <f t="shared" si="61"/>
        <v>8</v>
      </c>
      <c r="BD44" s="18" t="str">
        <f t="shared" si="62"/>
        <v>A</v>
      </c>
      <c r="BE44" s="18">
        <f t="shared" si="63"/>
        <v>8</v>
      </c>
      <c r="BF44" s="43" t="s">
        <v>35</v>
      </c>
      <c r="BG44" s="9">
        <v>32</v>
      </c>
      <c r="BH44" s="9">
        <v>32</v>
      </c>
      <c r="BI44" s="9"/>
      <c r="BJ44" s="18">
        <f t="shared" si="64"/>
        <v>64</v>
      </c>
      <c r="BK44" s="18">
        <v>1</v>
      </c>
      <c r="BL44" s="18" t="str">
        <f t="shared" si="65"/>
        <v>7</v>
      </c>
      <c r="BM44" s="18" t="str">
        <f t="shared" si="66"/>
        <v>B+</v>
      </c>
      <c r="BN44" s="18">
        <f t="shared" si="67"/>
        <v>7</v>
      </c>
      <c r="BO44" s="18"/>
      <c r="BP44" s="9">
        <v>22</v>
      </c>
      <c r="BQ44" s="9">
        <v>589</v>
      </c>
      <c r="BR44" s="9"/>
      <c r="BS44" s="18">
        <f t="shared" si="68"/>
        <v>611</v>
      </c>
      <c r="BT44" s="18">
        <v>1</v>
      </c>
      <c r="BU44" s="18" t="str">
        <f t="shared" si="69"/>
        <v>10</v>
      </c>
      <c r="BV44" s="18" t="str">
        <f t="shared" si="70"/>
        <v>O</v>
      </c>
      <c r="BW44" s="18">
        <f t="shared" si="71"/>
        <v>10</v>
      </c>
      <c r="BX44" s="18"/>
      <c r="BY44" s="18"/>
      <c r="BZ44" s="18">
        <f t="shared" si="72"/>
        <v>168</v>
      </c>
      <c r="CA44" s="19">
        <f t="shared" si="73"/>
        <v>8.4</v>
      </c>
      <c r="CB44" s="28" t="str">
        <f t="shared" si="74"/>
        <v>A+</v>
      </c>
      <c r="CC44" s="27">
        <f t="shared" si="75"/>
        <v>79.8</v>
      </c>
      <c r="CD44" s="27"/>
      <c r="CE44" s="28">
        <f t="shared" si="76"/>
        <v>1130</v>
      </c>
      <c r="CF44" s="28">
        <f t="shared" si="77"/>
        <v>141.25</v>
      </c>
      <c r="CG44" s="27"/>
      <c r="CH44" s="27"/>
      <c r="CI44" s="27" t="str">
        <f t="shared" ref="CI44:CI63" si="79">IF(CA44&lt;=4,"F",IF(CA44&lt;=6,"PASS",IF(CA44&lt;=6.5,"SC",IF(CA44&lt;=7.5,"FC",IF(CA44&lt;="10","FCD")))))</f>
        <v>FCD</v>
      </c>
    </row>
    <row r="45" spans="1:87" ht="15.75" customHeight="1" x14ac:dyDescent="0.3">
      <c r="A45" s="35">
        <f t="shared" si="78"/>
        <v>38</v>
      </c>
      <c r="B45" s="86" t="s">
        <v>107</v>
      </c>
      <c r="C45" s="86" t="s">
        <v>108</v>
      </c>
      <c r="D45" s="47" t="s">
        <v>31</v>
      </c>
      <c r="E45" s="53">
        <v>18</v>
      </c>
      <c r="F45" s="53">
        <v>36</v>
      </c>
      <c r="G45" s="9"/>
      <c r="H45" s="18">
        <f t="shared" si="40"/>
        <v>54</v>
      </c>
      <c r="I45" s="18">
        <v>4</v>
      </c>
      <c r="J45" s="18" t="str">
        <f t="shared" si="41"/>
        <v>5</v>
      </c>
      <c r="K45" s="18" t="str">
        <f t="shared" si="42"/>
        <v>C</v>
      </c>
      <c r="L45" s="18">
        <f t="shared" si="43"/>
        <v>20</v>
      </c>
      <c r="M45" s="18"/>
      <c r="N45" s="9">
        <v>25</v>
      </c>
      <c r="O45" s="9">
        <v>42</v>
      </c>
      <c r="P45" s="9"/>
      <c r="Q45" s="18">
        <f t="shared" si="44"/>
        <v>67</v>
      </c>
      <c r="R45" s="18">
        <v>4</v>
      </c>
      <c r="S45" s="18" t="str">
        <f t="shared" si="45"/>
        <v>7</v>
      </c>
      <c r="T45" s="18" t="str">
        <f t="shared" si="46"/>
        <v>B+</v>
      </c>
      <c r="U45" s="18">
        <f t="shared" si="47"/>
        <v>28</v>
      </c>
      <c r="V45" s="18"/>
      <c r="W45" s="9">
        <v>19</v>
      </c>
      <c r="X45" s="9">
        <v>45</v>
      </c>
      <c r="Y45" s="18"/>
      <c r="Z45" s="18">
        <f t="shared" si="48"/>
        <v>64</v>
      </c>
      <c r="AA45" s="18">
        <v>3</v>
      </c>
      <c r="AB45" s="18" t="str">
        <f t="shared" si="49"/>
        <v>7</v>
      </c>
      <c r="AC45" s="18" t="str">
        <f t="shared" si="50"/>
        <v>B+</v>
      </c>
      <c r="AD45" s="18">
        <f t="shared" si="51"/>
        <v>21</v>
      </c>
      <c r="AE45" s="18"/>
      <c r="AF45" s="46">
        <v>32</v>
      </c>
      <c r="AG45" s="46">
        <v>46</v>
      </c>
      <c r="AH45" s="9"/>
      <c r="AI45" s="18">
        <f t="shared" si="52"/>
        <v>78</v>
      </c>
      <c r="AJ45" s="18">
        <v>3</v>
      </c>
      <c r="AK45" s="18" t="str">
        <f t="shared" si="53"/>
        <v>8</v>
      </c>
      <c r="AL45" s="18" t="str">
        <f t="shared" si="54"/>
        <v>A</v>
      </c>
      <c r="AM45" s="18">
        <f t="shared" si="55"/>
        <v>24</v>
      </c>
      <c r="AN45" s="18"/>
      <c r="AO45" s="46">
        <v>44</v>
      </c>
      <c r="AP45" s="46">
        <v>43</v>
      </c>
      <c r="AQ45" s="9"/>
      <c r="AR45" s="18">
        <f t="shared" si="56"/>
        <v>87</v>
      </c>
      <c r="AS45" s="18">
        <v>3</v>
      </c>
      <c r="AT45" s="18" t="str">
        <f t="shared" si="57"/>
        <v>9</v>
      </c>
      <c r="AU45" s="18" t="str">
        <f t="shared" si="58"/>
        <v>A+</v>
      </c>
      <c r="AV45" s="18">
        <f t="shared" si="59"/>
        <v>27</v>
      </c>
      <c r="AW45" s="18"/>
      <c r="AX45" s="9">
        <v>30</v>
      </c>
      <c r="AY45" s="9">
        <v>39</v>
      </c>
      <c r="AZ45" s="9"/>
      <c r="BA45" s="18">
        <f t="shared" si="60"/>
        <v>69</v>
      </c>
      <c r="BB45" s="18">
        <v>1</v>
      </c>
      <c r="BC45" s="18" t="str">
        <f t="shared" si="61"/>
        <v>7</v>
      </c>
      <c r="BD45" s="18" t="str">
        <f t="shared" si="62"/>
        <v>B+</v>
      </c>
      <c r="BE45" s="18">
        <f t="shared" si="63"/>
        <v>7</v>
      </c>
      <c r="BF45" s="43" t="s">
        <v>35</v>
      </c>
      <c r="BG45" s="9">
        <v>18</v>
      </c>
      <c r="BH45" s="9">
        <v>33</v>
      </c>
      <c r="BI45" s="9"/>
      <c r="BJ45" s="18">
        <f t="shared" si="64"/>
        <v>51</v>
      </c>
      <c r="BK45" s="18">
        <v>1</v>
      </c>
      <c r="BL45" s="18" t="str">
        <f t="shared" si="65"/>
        <v>5</v>
      </c>
      <c r="BM45" s="18" t="str">
        <f t="shared" si="66"/>
        <v>C</v>
      </c>
      <c r="BN45" s="18">
        <f t="shared" si="67"/>
        <v>5</v>
      </c>
      <c r="BO45" s="18"/>
      <c r="BP45" s="9">
        <v>26</v>
      </c>
      <c r="BQ45" s="9">
        <v>539</v>
      </c>
      <c r="BR45" s="9"/>
      <c r="BS45" s="18">
        <f t="shared" si="68"/>
        <v>565</v>
      </c>
      <c r="BT45" s="18">
        <v>1</v>
      </c>
      <c r="BU45" s="18" t="str">
        <f t="shared" si="69"/>
        <v>10</v>
      </c>
      <c r="BV45" s="18" t="str">
        <f t="shared" si="70"/>
        <v>O</v>
      </c>
      <c r="BW45" s="18">
        <f t="shared" si="71"/>
        <v>10</v>
      </c>
      <c r="BX45" s="18"/>
      <c r="BY45" s="18"/>
      <c r="BZ45" s="18">
        <f t="shared" si="72"/>
        <v>142</v>
      </c>
      <c r="CA45" s="19">
        <f t="shared" si="73"/>
        <v>7.1</v>
      </c>
      <c r="CB45" s="28" t="str">
        <f t="shared" si="74"/>
        <v>A</v>
      </c>
      <c r="CC45" s="27">
        <f t="shared" si="75"/>
        <v>67.45</v>
      </c>
      <c r="CD45" s="27"/>
      <c r="CE45" s="28">
        <f t="shared" si="76"/>
        <v>1035</v>
      </c>
      <c r="CF45" s="28">
        <f t="shared" si="77"/>
        <v>129.375</v>
      </c>
      <c r="CG45" s="27"/>
      <c r="CH45" s="27"/>
      <c r="CI45" s="27" t="str">
        <f t="shared" si="79"/>
        <v>FC</v>
      </c>
    </row>
    <row r="46" spans="1:87" ht="15.75" customHeight="1" x14ac:dyDescent="0.3">
      <c r="A46" s="35">
        <f t="shared" si="78"/>
        <v>39</v>
      </c>
      <c r="B46" s="85" t="s">
        <v>109</v>
      </c>
      <c r="C46" s="85" t="s">
        <v>110</v>
      </c>
      <c r="D46" s="47" t="s">
        <v>31</v>
      </c>
      <c r="E46" s="9">
        <v>26</v>
      </c>
      <c r="F46" s="9">
        <v>46</v>
      </c>
      <c r="G46" s="9"/>
      <c r="H46" s="18">
        <f t="shared" si="40"/>
        <v>72</v>
      </c>
      <c r="I46" s="18">
        <v>4</v>
      </c>
      <c r="J46" s="18" t="str">
        <f t="shared" si="41"/>
        <v>8</v>
      </c>
      <c r="K46" s="18" t="str">
        <f t="shared" si="42"/>
        <v>A</v>
      </c>
      <c r="L46" s="18">
        <f t="shared" si="43"/>
        <v>32</v>
      </c>
      <c r="M46" s="18"/>
      <c r="N46" s="9">
        <v>33</v>
      </c>
      <c r="O46" s="9">
        <v>47</v>
      </c>
      <c r="P46" s="9"/>
      <c r="Q46" s="18">
        <f t="shared" si="44"/>
        <v>80</v>
      </c>
      <c r="R46" s="18">
        <v>4</v>
      </c>
      <c r="S46" s="18" t="str">
        <f t="shared" si="45"/>
        <v>9</v>
      </c>
      <c r="T46" s="18" t="str">
        <f t="shared" si="46"/>
        <v>A+</v>
      </c>
      <c r="U46" s="18">
        <f t="shared" si="47"/>
        <v>36</v>
      </c>
      <c r="V46" s="18"/>
      <c r="W46" s="9">
        <v>39</v>
      </c>
      <c r="X46" s="9">
        <v>46</v>
      </c>
      <c r="Y46" s="18"/>
      <c r="Z46" s="18">
        <f t="shared" si="48"/>
        <v>85</v>
      </c>
      <c r="AA46" s="18">
        <v>3</v>
      </c>
      <c r="AB46" s="18" t="str">
        <f t="shared" si="49"/>
        <v>9</v>
      </c>
      <c r="AC46" s="18" t="str">
        <f t="shared" si="50"/>
        <v>A+</v>
      </c>
      <c r="AD46" s="18">
        <f t="shared" si="51"/>
        <v>27</v>
      </c>
      <c r="AE46" s="18"/>
      <c r="AF46" s="46">
        <v>39</v>
      </c>
      <c r="AG46" s="46">
        <v>46</v>
      </c>
      <c r="AH46" s="9"/>
      <c r="AI46" s="18">
        <f t="shared" si="52"/>
        <v>85</v>
      </c>
      <c r="AJ46" s="18">
        <v>3</v>
      </c>
      <c r="AK46" s="18" t="str">
        <f t="shared" si="53"/>
        <v>9</v>
      </c>
      <c r="AL46" s="18" t="str">
        <f t="shared" si="54"/>
        <v>A+</v>
      </c>
      <c r="AM46" s="18">
        <f t="shared" si="55"/>
        <v>27</v>
      </c>
      <c r="AN46" s="18"/>
      <c r="AO46" s="46">
        <v>42</v>
      </c>
      <c r="AP46" s="46">
        <v>40</v>
      </c>
      <c r="AQ46" s="9"/>
      <c r="AR46" s="18">
        <f t="shared" si="56"/>
        <v>82</v>
      </c>
      <c r="AS46" s="18">
        <v>3</v>
      </c>
      <c r="AT46" s="18" t="str">
        <f t="shared" si="57"/>
        <v>9</v>
      </c>
      <c r="AU46" s="18" t="str">
        <f t="shared" si="58"/>
        <v>A+</v>
      </c>
      <c r="AV46" s="18">
        <f t="shared" si="59"/>
        <v>27</v>
      </c>
      <c r="AW46" s="18"/>
      <c r="AX46" s="9">
        <v>33</v>
      </c>
      <c r="AY46" s="9">
        <v>48</v>
      </c>
      <c r="AZ46" s="9"/>
      <c r="BA46" s="18">
        <f t="shared" si="60"/>
        <v>81</v>
      </c>
      <c r="BB46" s="18">
        <v>1</v>
      </c>
      <c r="BC46" s="18" t="str">
        <f t="shared" si="61"/>
        <v>9</v>
      </c>
      <c r="BD46" s="18" t="str">
        <f t="shared" si="62"/>
        <v>A+</v>
      </c>
      <c r="BE46" s="18">
        <f t="shared" si="63"/>
        <v>9</v>
      </c>
      <c r="BF46" s="43" t="s">
        <v>35</v>
      </c>
      <c r="BG46" s="9">
        <v>22</v>
      </c>
      <c r="BH46" s="9">
        <v>44</v>
      </c>
      <c r="BI46" s="9"/>
      <c r="BJ46" s="18">
        <f t="shared" si="64"/>
        <v>66</v>
      </c>
      <c r="BK46" s="18">
        <v>1</v>
      </c>
      <c r="BL46" s="18" t="str">
        <f t="shared" si="65"/>
        <v>7</v>
      </c>
      <c r="BM46" s="18" t="str">
        <f t="shared" si="66"/>
        <v>B+</v>
      </c>
      <c r="BN46" s="18">
        <f t="shared" si="67"/>
        <v>7</v>
      </c>
      <c r="BO46" s="18"/>
      <c r="BP46" s="9">
        <v>23</v>
      </c>
      <c r="BQ46" s="9">
        <v>621</v>
      </c>
      <c r="BR46" s="9"/>
      <c r="BS46" s="18">
        <f t="shared" si="68"/>
        <v>644</v>
      </c>
      <c r="BT46" s="18">
        <v>1</v>
      </c>
      <c r="BU46" s="18" t="str">
        <f t="shared" si="69"/>
        <v>10</v>
      </c>
      <c r="BV46" s="18" t="str">
        <f t="shared" si="70"/>
        <v>O</v>
      </c>
      <c r="BW46" s="18">
        <f t="shared" si="71"/>
        <v>10</v>
      </c>
      <c r="BX46" s="18"/>
      <c r="BY46" s="18"/>
      <c r="BZ46" s="18">
        <f t="shared" si="72"/>
        <v>175</v>
      </c>
      <c r="CA46" s="19">
        <f t="shared" si="73"/>
        <v>8.75</v>
      </c>
      <c r="CB46" s="28" t="str">
        <f t="shared" si="74"/>
        <v>A+</v>
      </c>
      <c r="CC46" s="27">
        <f t="shared" si="75"/>
        <v>83.125</v>
      </c>
      <c r="CD46" s="27"/>
      <c r="CE46" s="28">
        <f t="shared" si="76"/>
        <v>1195</v>
      </c>
      <c r="CF46" s="28">
        <f t="shared" si="77"/>
        <v>149.375</v>
      </c>
      <c r="CG46" s="27"/>
      <c r="CH46" s="27"/>
      <c r="CI46" s="27" t="str">
        <f t="shared" si="79"/>
        <v>FCD</v>
      </c>
    </row>
    <row r="47" spans="1:87" ht="15.75" customHeight="1" x14ac:dyDescent="0.3">
      <c r="A47" s="35">
        <f t="shared" si="78"/>
        <v>40</v>
      </c>
      <c r="B47" s="85" t="s">
        <v>111</v>
      </c>
      <c r="C47" s="85" t="s">
        <v>112</v>
      </c>
      <c r="D47" s="47" t="s">
        <v>31</v>
      </c>
      <c r="E47" s="9">
        <v>19</v>
      </c>
      <c r="F47" s="9">
        <v>43</v>
      </c>
      <c r="G47" s="9"/>
      <c r="H47" s="18">
        <f t="shared" si="40"/>
        <v>62</v>
      </c>
      <c r="I47" s="18">
        <v>4</v>
      </c>
      <c r="J47" s="18" t="str">
        <f t="shared" si="41"/>
        <v>7</v>
      </c>
      <c r="K47" s="18" t="str">
        <f t="shared" si="42"/>
        <v>B+</v>
      </c>
      <c r="L47" s="18">
        <f t="shared" si="43"/>
        <v>28</v>
      </c>
      <c r="M47" s="18"/>
      <c r="N47" s="9">
        <v>39</v>
      </c>
      <c r="O47" s="9">
        <v>42</v>
      </c>
      <c r="P47" s="9"/>
      <c r="Q47" s="18">
        <f t="shared" si="44"/>
        <v>81</v>
      </c>
      <c r="R47" s="18">
        <v>4</v>
      </c>
      <c r="S47" s="18" t="str">
        <f t="shared" si="45"/>
        <v>9</v>
      </c>
      <c r="T47" s="18" t="str">
        <f t="shared" si="46"/>
        <v>A+</v>
      </c>
      <c r="U47" s="18">
        <f t="shared" si="47"/>
        <v>36</v>
      </c>
      <c r="V47" s="18"/>
      <c r="W47" s="9">
        <v>4</v>
      </c>
      <c r="X47" s="9">
        <v>41</v>
      </c>
      <c r="Y47" s="18"/>
      <c r="Z47" s="18">
        <f t="shared" si="48"/>
        <v>45</v>
      </c>
      <c r="AA47" s="18">
        <v>3</v>
      </c>
      <c r="AB47" s="18" t="str">
        <f t="shared" si="49"/>
        <v>4</v>
      </c>
      <c r="AC47" s="18" t="str">
        <f t="shared" si="50"/>
        <v>P</v>
      </c>
      <c r="AD47" s="18">
        <f t="shared" si="51"/>
        <v>12</v>
      </c>
      <c r="AE47" s="18"/>
      <c r="AF47" s="46">
        <v>32</v>
      </c>
      <c r="AG47" s="46">
        <v>46</v>
      </c>
      <c r="AH47" s="9"/>
      <c r="AI47" s="18">
        <f t="shared" si="52"/>
        <v>78</v>
      </c>
      <c r="AJ47" s="18">
        <v>3</v>
      </c>
      <c r="AK47" s="18" t="str">
        <f t="shared" si="53"/>
        <v>8</v>
      </c>
      <c r="AL47" s="18" t="str">
        <f t="shared" si="54"/>
        <v>A</v>
      </c>
      <c r="AM47" s="18">
        <f t="shared" si="55"/>
        <v>24</v>
      </c>
      <c r="AN47" s="18"/>
      <c r="AO47" s="46">
        <v>44</v>
      </c>
      <c r="AP47" s="46">
        <v>41</v>
      </c>
      <c r="AQ47" s="9"/>
      <c r="AR47" s="18">
        <f t="shared" si="56"/>
        <v>85</v>
      </c>
      <c r="AS47" s="18">
        <v>3</v>
      </c>
      <c r="AT47" s="18" t="str">
        <f t="shared" si="57"/>
        <v>9</v>
      </c>
      <c r="AU47" s="18" t="str">
        <f t="shared" si="58"/>
        <v>A+</v>
      </c>
      <c r="AV47" s="18">
        <f t="shared" si="59"/>
        <v>27</v>
      </c>
      <c r="AW47" s="18"/>
      <c r="AX47" s="9">
        <v>33</v>
      </c>
      <c r="AY47" s="9">
        <v>36</v>
      </c>
      <c r="AZ47" s="9"/>
      <c r="BA47" s="18">
        <f t="shared" si="60"/>
        <v>69</v>
      </c>
      <c r="BB47" s="18">
        <v>1</v>
      </c>
      <c r="BC47" s="18" t="str">
        <f t="shared" si="61"/>
        <v>7</v>
      </c>
      <c r="BD47" s="18" t="str">
        <f t="shared" si="62"/>
        <v>B+</v>
      </c>
      <c r="BE47" s="18">
        <f t="shared" si="63"/>
        <v>7</v>
      </c>
      <c r="BF47" s="43" t="s">
        <v>32</v>
      </c>
      <c r="BG47" s="9">
        <v>29</v>
      </c>
      <c r="BH47" s="9">
        <v>36</v>
      </c>
      <c r="BI47" s="9"/>
      <c r="BJ47" s="18">
        <f t="shared" si="64"/>
        <v>65</v>
      </c>
      <c r="BK47" s="18">
        <v>1</v>
      </c>
      <c r="BL47" s="18" t="str">
        <f t="shared" si="65"/>
        <v>7</v>
      </c>
      <c r="BM47" s="18" t="str">
        <f t="shared" si="66"/>
        <v>B+</v>
      </c>
      <c r="BN47" s="18">
        <f t="shared" si="67"/>
        <v>7</v>
      </c>
      <c r="BO47" s="18"/>
      <c r="BP47" s="9">
        <v>33</v>
      </c>
      <c r="BQ47" s="9">
        <v>563</v>
      </c>
      <c r="BR47" s="9"/>
      <c r="BS47" s="18">
        <f t="shared" si="68"/>
        <v>596</v>
      </c>
      <c r="BT47" s="18">
        <v>1</v>
      </c>
      <c r="BU47" s="18" t="str">
        <f t="shared" si="69"/>
        <v>10</v>
      </c>
      <c r="BV47" s="18" t="str">
        <f t="shared" si="70"/>
        <v>O</v>
      </c>
      <c r="BW47" s="18">
        <f t="shared" si="71"/>
        <v>10</v>
      </c>
      <c r="BX47" s="18"/>
      <c r="BY47" s="18"/>
      <c r="BZ47" s="18">
        <f t="shared" si="72"/>
        <v>151</v>
      </c>
      <c r="CA47" s="19">
        <f t="shared" si="73"/>
        <v>7.55</v>
      </c>
      <c r="CB47" s="28" t="str">
        <f t="shared" si="74"/>
        <v>A</v>
      </c>
      <c r="CC47" s="27">
        <f t="shared" si="75"/>
        <v>71.724999999999994</v>
      </c>
      <c r="CD47" s="27"/>
      <c r="CE47" s="28">
        <f t="shared" si="76"/>
        <v>1081</v>
      </c>
      <c r="CF47" s="28">
        <f t="shared" si="77"/>
        <v>135.125</v>
      </c>
      <c r="CG47" s="27"/>
      <c r="CH47" s="27"/>
      <c r="CI47" s="27" t="str">
        <f t="shared" si="79"/>
        <v>FCD</v>
      </c>
    </row>
    <row r="48" spans="1:87" ht="15.75" customHeight="1" x14ac:dyDescent="0.3">
      <c r="A48" s="35">
        <f t="shared" si="78"/>
        <v>41</v>
      </c>
      <c r="B48" s="85" t="s">
        <v>113</v>
      </c>
      <c r="C48" s="85" t="s">
        <v>114</v>
      </c>
      <c r="D48" s="47" t="s">
        <v>31</v>
      </c>
      <c r="E48" s="9">
        <v>23</v>
      </c>
      <c r="F48" s="9">
        <v>44</v>
      </c>
      <c r="G48" s="9"/>
      <c r="H48" s="18">
        <f t="shared" si="40"/>
        <v>67</v>
      </c>
      <c r="I48" s="18">
        <v>4</v>
      </c>
      <c r="J48" s="18" t="str">
        <f t="shared" si="41"/>
        <v>7</v>
      </c>
      <c r="K48" s="18" t="str">
        <f t="shared" si="42"/>
        <v>B+</v>
      </c>
      <c r="L48" s="18">
        <f t="shared" si="43"/>
        <v>28</v>
      </c>
      <c r="M48" s="18"/>
      <c r="N48" s="9">
        <v>43</v>
      </c>
      <c r="O48" s="9">
        <v>50</v>
      </c>
      <c r="P48" s="9"/>
      <c r="Q48" s="18">
        <f t="shared" si="44"/>
        <v>93</v>
      </c>
      <c r="R48" s="18">
        <v>4</v>
      </c>
      <c r="S48" s="18" t="str">
        <f t="shared" si="45"/>
        <v>10</v>
      </c>
      <c r="T48" s="18" t="str">
        <f t="shared" si="46"/>
        <v>O</v>
      </c>
      <c r="U48" s="18">
        <f t="shared" si="47"/>
        <v>40</v>
      </c>
      <c r="V48" s="18"/>
      <c r="W48" s="9">
        <v>33</v>
      </c>
      <c r="X48" s="9">
        <v>41</v>
      </c>
      <c r="Y48" s="18"/>
      <c r="Z48" s="18">
        <f t="shared" si="48"/>
        <v>74</v>
      </c>
      <c r="AA48" s="18">
        <v>3</v>
      </c>
      <c r="AB48" s="18" t="str">
        <f t="shared" si="49"/>
        <v>8</v>
      </c>
      <c r="AC48" s="18" t="str">
        <f t="shared" si="50"/>
        <v>A</v>
      </c>
      <c r="AD48" s="18">
        <f t="shared" si="51"/>
        <v>24</v>
      </c>
      <c r="AE48" s="18"/>
      <c r="AF48" s="46">
        <v>27</v>
      </c>
      <c r="AG48" s="46">
        <v>47</v>
      </c>
      <c r="AH48" s="9"/>
      <c r="AI48" s="18">
        <f t="shared" si="52"/>
        <v>74</v>
      </c>
      <c r="AJ48" s="18">
        <v>3</v>
      </c>
      <c r="AK48" s="18" t="str">
        <f t="shared" si="53"/>
        <v>8</v>
      </c>
      <c r="AL48" s="18" t="str">
        <f t="shared" si="54"/>
        <v>A</v>
      </c>
      <c r="AM48" s="18">
        <f t="shared" si="55"/>
        <v>24</v>
      </c>
      <c r="AN48" s="18"/>
      <c r="AO48" s="46">
        <v>40</v>
      </c>
      <c r="AP48" s="46">
        <v>36</v>
      </c>
      <c r="AQ48" s="9"/>
      <c r="AR48" s="18">
        <f t="shared" si="56"/>
        <v>76</v>
      </c>
      <c r="AS48" s="18">
        <v>3</v>
      </c>
      <c r="AT48" s="18" t="str">
        <f t="shared" si="57"/>
        <v>8</v>
      </c>
      <c r="AU48" s="18" t="str">
        <f t="shared" si="58"/>
        <v>A</v>
      </c>
      <c r="AV48" s="18">
        <f t="shared" si="59"/>
        <v>24</v>
      </c>
      <c r="AW48" s="18"/>
      <c r="AX48" s="9">
        <v>25</v>
      </c>
      <c r="AY48" s="9">
        <v>41</v>
      </c>
      <c r="AZ48" s="9"/>
      <c r="BA48" s="18">
        <f t="shared" si="60"/>
        <v>66</v>
      </c>
      <c r="BB48" s="18">
        <v>1</v>
      </c>
      <c r="BC48" s="18" t="str">
        <f t="shared" si="61"/>
        <v>7</v>
      </c>
      <c r="BD48" s="18" t="str">
        <f t="shared" si="62"/>
        <v>B+</v>
      </c>
      <c r="BE48" s="18">
        <f t="shared" si="63"/>
        <v>7</v>
      </c>
      <c r="BF48" s="43" t="s">
        <v>32</v>
      </c>
      <c r="BG48" s="9">
        <v>30</v>
      </c>
      <c r="BH48" s="9">
        <v>42</v>
      </c>
      <c r="BI48" s="9"/>
      <c r="BJ48" s="18">
        <f t="shared" si="64"/>
        <v>72</v>
      </c>
      <c r="BK48" s="18">
        <v>1</v>
      </c>
      <c r="BL48" s="18" t="str">
        <f t="shared" si="65"/>
        <v>8</v>
      </c>
      <c r="BM48" s="18" t="str">
        <f t="shared" si="66"/>
        <v>A</v>
      </c>
      <c r="BN48" s="18">
        <f t="shared" si="67"/>
        <v>8</v>
      </c>
      <c r="BO48" s="18"/>
      <c r="BP48" s="9">
        <v>29</v>
      </c>
      <c r="BQ48" s="9">
        <v>597</v>
      </c>
      <c r="BR48" s="9"/>
      <c r="BS48" s="18">
        <f t="shared" si="68"/>
        <v>626</v>
      </c>
      <c r="BT48" s="18">
        <v>1</v>
      </c>
      <c r="BU48" s="18" t="str">
        <f t="shared" si="69"/>
        <v>10</v>
      </c>
      <c r="BV48" s="18" t="str">
        <f t="shared" si="70"/>
        <v>O</v>
      </c>
      <c r="BW48" s="18">
        <f t="shared" si="71"/>
        <v>10</v>
      </c>
      <c r="BX48" s="18"/>
      <c r="BY48" s="18"/>
      <c r="BZ48" s="18">
        <f t="shared" si="72"/>
        <v>165</v>
      </c>
      <c r="CA48" s="19">
        <f t="shared" si="73"/>
        <v>8.25</v>
      </c>
      <c r="CB48" s="28" t="str">
        <f t="shared" si="74"/>
        <v>A+</v>
      </c>
      <c r="CC48" s="27">
        <f t="shared" si="75"/>
        <v>78.375</v>
      </c>
      <c r="CD48" s="27"/>
      <c r="CE48" s="28">
        <f t="shared" si="76"/>
        <v>1148</v>
      </c>
      <c r="CF48" s="28">
        <f t="shared" si="77"/>
        <v>143.5</v>
      </c>
      <c r="CG48" s="27"/>
      <c r="CH48" s="27"/>
      <c r="CI48" s="27" t="str">
        <f t="shared" si="79"/>
        <v>FCD</v>
      </c>
    </row>
    <row r="49" spans="1:87" ht="15.75" customHeight="1" x14ac:dyDescent="0.3">
      <c r="A49" s="35">
        <f t="shared" si="78"/>
        <v>42</v>
      </c>
      <c r="B49" s="85" t="s">
        <v>115</v>
      </c>
      <c r="C49" s="85" t="s">
        <v>116</v>
      </c>
      <c r="D49" s="47" t="s">
        <v>31</v>
      </c>
      <c r="E49" s="9">
        <v>41</v>
      </c>
      <c r="F49" s="9">
        <v>50</v>
      </c>
      <c r="G49" s="9"/>
      <c r="H49" s="18">
        <f t="shared" si="40"/>
        <v>91</v>
      </c>
      <c r="I49" s="18">
        <v>4</v>
      </c>
      <c r="J49" s="18" t="str">
        <f t="shared" si="41"/>
        <v>10</v>
      </c>
      <c r="K49" s="18" t="str">
        <f t="shared" si="42"/>
        <v>O</v>
      </c>
      <c r="L49" s="18">
        <f t="shared" si="43"/>
        <v>40</v>
      </c>
      <c r="M49" s="18"/>
      <c r="N49" s="9">
        <v>41</v>
      </c>
      <c r="O49" s="9">
        <v>50</v>
      </c>
      <c r="P49" s="9"/>
      <c r="Q49" s="18">
        <f t="shared" si="44"/>
        <v>91</v>
      </c>
      <c r="R49" s="18">
        <v>4</v>
      </c>
      <c r="S49" s="18" t="str">
        <f t="shared" si="45"/>
        <v>10</v>
      </c>
      <c r="T49" s="18" t="str">
        <f t="shared" si="46"/>
        <v>O</v>
      </c>
      <c r="U49" s="18">
        <f t="shared" si="47"/>
        <v>40</v>
      </c>
      <c r="V49" s="18"/>
      <c r="W49" s="9">
        <v>45</v>
      </c>
      <c r="X49" s="9">
        <v>46</v>
      </c>
      <c r="Y49" s="18"/>
      <c r="Z49" s="18">
        <f t="shared" si="48"/>
        <v>91</v>
      </c>
      <c r="AA49" s="18">
        <v>3</v>
      </c>
      <c r="AB49" s="18" t="str">
        <f t="shared" si="49"/>
        <v>10</v>
      </c>
      <c r="AC49" s="18" t="str">
        <f t="shared" si="50"/>
        <v>O</v>
      </c>
      <c r="AD49" s="18">
        <f t="shared" si="51"/>
        <v>30</v>
      </c>
      <c r="AE49" s="18"/>
      <c r="AF49" s="46">
        <v>41</v>
      </c>
      <c r="AG49" s="46">
        <v>49</v>
      </c>
      <c r="AH49" s="9"/>
      <c r="AI49" s="18">
        <f t="shared" si="52"/>
        <v>90</v>
      </c>
      <c r="AJ49" s="18">
        <v>3</v>
      </c>
      <c r="AK49" s="18" t="str">
        <f t="shared" si="53"/>
        <v>10</v>
      </c>
      <c r="AL49" s="18" t="str">
        <f t="shared" si="54"/>
        <v>O</v>
      </c>
      <c r="AM49" s="18">
        <f t="shared" si="55"/>
        <v>30</v>
      </c>
      <c r="AN49" s="18"/>
      <c r="AO49" s="46">
        <v>41</v>
      </c>
      <c r="AP49" s="46">
        <v>46</v>
      </c>
      <c r="AQ49" s="9"/>
      <c r="AR49" s="18">
        <f t="shared" si="56"/>
        <v>87</v>
      </c>
      <c r="AS49" s="18">
        <v>3</v>
      </c>
      <c r="AT49" s="18" t="str">
        <f t="shared" si="57"/>
        <v>9</v>
      </c>
      <c r="AU49" s="18" t="str">
        <f t="shared" si="58"/>
        <v>A+</v>
      </c>
      <c r="AV49" s="18">
        <f t="shared" si="59"/>
        <v>27</v>
      </c>
      <c r="AW49" s="18"/>
      <c r="AX49" s="9">
        <v>36</v>
      </c>
      <c r="AY49" s="9">
        <v>50</v>
      </c>
      <c r="AZ49" s="9"/>
      <c r="BA49" s="18">
        <f t="shared" si="60"/>
        <v>86</v>
      </c>
      <c r="BB49" s="18">
        <v>1</v>
      </c>
      <c r="BC49" s="18" t="str">
        <f t="shared" si="61"/>
        <v>9</v>
      </c>
      <c r="BD49" s="18" t="str">
        <f t="shared" si="62"/>
        <v>A+</v>
      </c>
      <c r="BE49" s="18">
        <f t="shared" si="63"/>
        <v>9</v>
      </c>
      <c r="BF49" s="43" t="s">
        <v>35</v>
      </c>
      <c r="BG49" s="9">
        <v>34</v>
      </c>
      <c r="BH49" s="9">
        <v>50</v>
      </c>
      <c r="BI49" s="9"/>
      <c r="BJ49" s="18">
        <f t="shared" si="64"/>
        <v>84</v>
      </c>
      <c r="BK49" s="18">
        <v>1</v>
      </c>
      <c r="BL49" s="18" t="str">
        <f t="shared" si="65"/>
        <v>9</v>
      </c>
      <c r="BM49" s="18" t="str">
        <f t="shared" si="66"/>
        <v>A+</v>
      </c>
      <c r="BN49" s="18">
        <f t="shared" si="67"/>
        <v>9</v>
      </c>
      <c r="BO49" s="18"/>
      <c r="BP49" s="9">
        <v>28</v>
      </c>
      <c r="BQ49" s="9">
        <v>698</v>
      </c>
      <c r="BR49" s="9"/>
      <c r="BS49" s="18">
        <f t="shared" si="68"/>
        <v>726</v>
      </c>
      <c r="BT49" s="18">
        <v>1</v>
      </c>
      <c r="BU49" s="18" t="str">
        <f t="shared" si="69"/>
        <v>10</v>
      </c>
      <c r="BV49" s="18" t="str">
        <f t="shared" si="70"/>
        <v>O</v>
      </c>
      <c r="BW49" s="18">
        <f t="shared" si="71"/>
        <v>10</v>
      </c>
      <c r="BX49" s="18"/>
      <c r="BY49" s="18"/>
      <c r="BZ49" s="18">
        <f t="shared" si="72"/>
        <v>195</v>
      </c>
      <c r="CA49" s="19">
        <f t="shared" si="73"/>
        <v>9.75</v>
      </c>
      <c r="CB49" s="28" t="str">
        <f t="shared" si="74"/>
        <v>O</v>
      </c>
      <c r="CC49" s="27">
        <f t="shared" si="75"/>
        <v>92.625</v>
      </c>
      <c r="CD49" s="27"/>
      <c r="CE49" s="28">
        <f t="shared" si="76"/>
        <v>1346</v>
      </c>
      <c r="CF49" s="28">
        <f t="shared" si="77"/>
        <v>168.25</v>
      </c>
      <c r="CG49" s="27"/>
      <c r="CH49" s="27"/>
      <c r="CI49" s="27" t="str">
        <f t="shared" si="79"/>
        <v>FCD</v>
      </c>
    </row>
    <row r="50" spans="1:87" ht="15.75" customHeight="1" x14ac:dyDescent="0.3">
      <c r="A50" s="35">
        <f t="shared" si="78"/>
        <v>43</v>
      </c>
      <c r="B50" s="85" t="s">
        <v>117</v>
      </c>
      <c r="C50" s="85" t="s">
        <v>118</v>
      </c>
      <c r="D50" s="47" t="s">
        <v>31</v>
      </c>
      <c r="E50" s="9">
        <v>27</v>
      </c>
      <c r="F50" s="9">
        <v>49</v>
      </c>
      <c r="G50" s="9"/>
      <c r="H50" s="18">
        <f t="shared" si="40"/>
        <v>76</v>
      </c>
      <c r="I50" s="18">
        <v>4</v>
      </c>
      <c r="J50" s="18" t="str">
        <f t="shared" si="41"/>
        <v>8</v>
      </c>
      <c r="K50" s="18" t="str">
        <f t="shared" si="42"/>
        <v>A</v>
      </c>
      <c r="L50" s="18">
        <f t="shared" si="43"/>
        <v>32</v>
      </c>
      <c r="M50" s="18"/>
      <c r="N50" s="9">
        <v>43</v>
      </c>
      <c r="O50" s="9">
        <v>46</v>
      </c>
      <c r="P50" s="9"/>
      <c r="Q50" s="18">
        <f t="shared" si="44"/>
        <v>89</v>
      </c>
      <c r="R50" s="18">
        <v>4</v>
      </c>
      <c r="S50" s="18" t="str">
        <f t="shared" si="45"/>
        <v>9</v>
      </c>
      <c r="T50" s="18" t="str">
        <f t="shared" si="46"/>
        <v>A+</v>
      </c>
      <c r="U50" s="18">
        <f t="shared" si="47"/>
        <v>36</v>
      </c>
      <c r="V50" s="18"/>
      <c r="W50" s="9">
        <v>18</v>
      </c>
      <c r="X50" s="9">
        <v>46</v>
      </c>
      <c r="Y50" s="18"/>
      <c r="Z50" s="18">
        <f t="shared" si="48"/>
        <v>64</v>
      </c>
      <c r="AA50" s="18">
        <v>3</v>
      </c>
      <c r="AB50" s="18" t="str">
        <f t="shared" si="49"/>
        <v>7</v>
      </c>
      <c r="AC50" s="18" t="str">
        <f t="shared" si="50"/>
        <v>B+</v>
      </c>
      <c r="AD50" s="18">
        <f t="shared" si="51"/>
        <v>21</v>
      </c>
      <c r="AE50" s="18"/>
      <c r="AF50" s="46">
        <v>35</v>
      </c>
      <c r="AG50" s="46">
        <v>48</v>
      </c>
      <c r="AH50" s="9"/>
      <c r="AI50" s="18">
        <f t="shared" si="52"/>
        <v>83</v>
      </c>
      <c r="AJ50" s="18">
        <v>3</v>
      </c>
      <c r="AK50" s="18" t="str">
        <f t="shared" si="53"/>
        <v>9</v>
      </c>
      <c r="AL50" s="18" t="str">
        <f t="shared" si="54"/>
        <v>A+</v>
      </c>
      <c r="AM50" s="18">
        <f t="shared" si="55"/>
        <v>27</v>
      </c>
      <c r="AN50" s="18"/>
      <c r="AO50" s="46">
        <v>34</v>
      </c>
      <c r="AP50" s="46">
        <v>45</v>
      </c>
      <c r="AQ50" s="9"/>
      <c r="AR50" s="18">
        <f t="shared" si="56"/>
        <v>79</v>
      </c>
      <c r="AS50" s="18">
        <v>3</v>
      </c>
      <c r="AT50" s="18" t="str">
        <f t="shared" si="57"/>
        <v>8</v>
      </c>
      <c r="AU50" s="18" t="str">
        <f t="shared" si="58"/>
        <v>A</v>
      </c>
      <c r="AV50" s="18">
        <f t="shared" si="59"/>
        <v>24</v>
      </c>
      <c r="AW50" s="18"/>
      <c r="AX50" s="9">
        <v>32</v>
      </c>
      <c r="AY50" s="9">
        <v>43</v>
      </c>
      <c r="AZ50" s="9"/>
      <c r="BA50" s="18">
        <f t="shared" si="60"/>
        <v>75</v>
      </c>
      <c r="BB50" s="18">
        <v>1</v>
      </c>
      <c r="BC50" s="18" t="str">
        <f t="shared" si="61"/>
        <v>8</v>
      </c>
      <c r="BD50" s="18" t="str">
        <f t="shared" si="62"/>
        <v>A</v>
      </c>
      <c r="BE50" s="18">
        <f t="shared" si="63"/>
        <v>8</v>
      </c>
      <c r="BF50" s="43" t="s">
        <v>35</v>
      </c>
      <c r="BG50" s="9">
        <v>35</v>
      </c>
      <c r="BH50" s="9">
        <v>50</v>
      </c>
      <c r="BI50" s="9"/>
      <c r="BJ50" s="18">
        <f t="shared" si="64"/>
        <v>85</v>
      </c>
      <c r="BK50" s="18">
        <v>1</v>
      </c>
      <c r="BL50" s="18" t="str">
        <f t="shared" si="65"/>
        <v>9</v>
      </c>
      <c r="BM50" s="18" t="str">
        <f t="shared" si="66"/>
        <v>A+</v>
      </c>
      <c r="BN50" s="18">
        <f t="shared" si="67"/>
        <v>9</v>
      </c>
      <c r="BO50" s="18"/>
      <c r="BP50" s="9">
        <v>25</v>
      </c>
      <c r="BQ50" s="9">
        <v>624</v>
      </c>
      <c r="BR50" s="9"/>
      <c r="BS50" s="18">
        <f t="shared" si="68"/>
        <v>649</v>
      </c>
      <c r="BT50" s="18">
        <v>1</v>
      </c>
      <c r="BU50" s="18" t="str">
        <f t="shared" si="69"/>
        <v>10</v>
      </c>
      <c r="BV50" s="18" t="str">
        <f t="shared" si="70"/>
        <v>O</v>
      </c>
      <c r="BW50" s="18">
        <f t="shared" si="71"/>
        <v>10</v>
      </c>
      <c r="BX50" s="18"/>
      <c r="BY50" s="18"/>
      <c r="BZ50" s="18">
        <f t="shared" si="72"/>
        <v>167</v>
      </c>
      <c r="CA50" s="19">
        <f t="shared" si="73"/>
        <v>8.35</v>
      </c>
      <c r="CB50" s="28" t="str">
        <f t="shared" si="74"/>
        <v>A+</v>
      </c>
      <c r="CC50" s="27">
        <f t="shared" si="75"/>
        <v>79.325000000000003</v>
      </c>
      <c r="CD50" s="27"/>
      <c r="CE50" s="28">
        <f t="shared" si="76"/>
        <v>1200</v>
      </c>
      <c r="CF50" s="28">
        <f t="shared" si="77"/>
        <v>150</v>
      </c>
      <c r="CG50" s="27"/>
      <c r="CH50" s="27"/>
      <c r="CI50" s="27" t="str">
        <f t="shared" si="79"/>
        <v>FCD</v>
      </c>
    </row>
    <row r="51" spans="1:87" ht="15.75" customHeight="1" x14ac:dyDescent="0.3">
      <c r="A51" s="35">
        <f t="shared" si="78"/>
        <v>44</v>
      </c>
      <c r="B51" s="85" t="s">
        <v>119</v>
      </c>
      <c r="C51" s="85" t="s">
        <v>120</v>
      </c>
      <c r="D51" s="47" t="s">
        <v>31</v>
      </c>
      <c r="E51" s="9">
        <v>31</v>
      </c>
      <c r="F51" s="9">
        <v>47</v>
      </c>
      <c r="G51" s="9"/>
      <c r="H51" s="18">
        <f t="shared" si="40"/>
        <v>78</v>
      </c>
      <c r="I51" s="18">
        <v>4</v>
      </c>
      <c r="J51" s="18" t="str">
        <f t="shared" si="41"/>
        <v>8</v>
      </c>
      <c r="K51" s="18" t="str">
        <f t="shared" si="42"/>
        <v>A</v>
      </c>
      <c r="L51" s="18">
        <f t="shared" si="43"/>
        <v>32</v>
      </c>
      <c r="M51" s="18"/>
      <c r="N51" s="9">
        <v>30</v>
      </c>
      <c r="O51" s="9">
        <v>49</v>
      </c>
      <c r="P51" s="9"/>
      <c r="Q51" s="18">
        <f t="shared" si="44"/>
        <v>79</v>
      </c>
      <c r="R51" s="18">
        <v>4</v>
      </c>
      <c r="S51" s="18" t="str">
        <f t="shared" si="45"/>
        <v>8</v>
      </c>
      <c r="T51" s="18" t="str">
        <f t="shared" si="46"/>
        <v>A</v>
      </c>
      <c r="U51" s="18">
        <f t="shared" si="47"/>
        <v>32</v>
      </c>
      <c r="V51" s="18"/>
      <c r="W51" s="9">
        <v>33</v>
      </c>
      <c r="X51" s="9">
        <v>45</v>
      </c>
      <c r="Y51" s="18"/>
      <c r="Z51" s="18">
        <f t="shared" si="48"/>
        <v>78</v>
      </c>
      <c r="AA51" s="18">
        <v>3</v>
      </c>
      <c r="AB51" s="18" t="str">
        <f t="shared" si="49"/>
        <v>8</v>
      </c>
      <c r="AC51" s="18" t="str">
        <f t="shared" si="50"/>
        <v>A</v>
      </c>
      <c r="AD51" s="18">
        <f t="shared" si="51"/>
        <v>24</v>
      </c>
      <c r="AE51" s="18"/>
      <c r="AF51" s="46">
        <v>35</v>
      </c>
      <c r="AG51" s="46">
        <v>49</v>
      </c>
      <c r="AH51" s="9"/>
      <c r="AI51" s="18">
        <f t="shared" si="52"/>
        <v>84</v>
      </c>
      <c r="AJ51" s="18">
        <v>3</v>
      </c>
      <c r="AK51" s="18" t="str">
        <f t="shared" si="53"/>
        <v>9</v>
      </c>
      <c r="AL51" s="18" t="str">
        <f t="shared" si="54"/>
        <v>A+</v>
      </c>
      <c r="AM51" s="18">
        <f t="shared" si="55"/>
        <v>27</v>
      </c>
      <c r="AN51" s="18"/>
      <c r="AO51" s="46">
        <v>42</v>
      </c>
      <c r="AP51" s="46">
        <v>41</v>
      </c>
      <c r="AQ51" s="9"/>
      <c r="AR51" s="18">
        <f t="shared" si="56"/>
        <v>83</v>
      </c>
      <c r="AS51" s="18">
        <v>3</v>
      </c>
      <c r="AT51" s="18" t="str">
        <f t="shared" si="57"/>
        <v>9</v>
      </c>
      <c r="AU51" s="18" t="str">
        <f t="shared" si="58"/>
        <v>A+</v>
      </c>
      <c r="AV51" s="18">
        <f t="shared" si="59"/>
        <v>27</v>
      </c>
      <c r="AW51" s="18"/>
      <c r="AX51" s="9">
        <v>37</v>
      </c>
      <c r="AY51" s="9">
        <v>46</v>
      </c>
      <c r="AZ51" s="9"/>
      <c r="BA51" s="18">
        <f t="shared" si="60"/>
        <v>83</v>
      </c>
      <c r="BB51" s="18">
        <v>1</v>
      </c>
      <c r="BC51" s="18" t="str">
        <f t="shared" si="61"/>
        <v>9</v>
      </c>
      <c r="BD51" s="18" t="str">
        <f t="shared" si="62"/>
        <v>A+</v>
      </c>
      <c r="BE51" s="18">
        <f t="shared" si="63"/>
        <v>9</v>
      </c>
      <c r="BF51" s="43" t="s">
        <v>32</v>
      </c>
      <c r="BG51" s="9">
        <v>32</v>
      </c>
      <c r="BH51" s="9">
        <v>48</v>
      </c>
      <c r="BI51" s="9"/>
      <c r="BJ51" s="18">
        <f t="shared" si="64"/>
        <v>80</v>
      </c>
      <c r="BK51" s="18">
        <v>1</v>
      </c>
      <c r="BL51" s="18" t="str">
        <f t="shared" si="65"/>
        <v>9</v>
      </c>
      <c r="BM51" s="18" t="str">
        <f t="shared" si="66"/>
        <v>A+</v>
      </c>
      <c r="BN51" s="18">
        <f t="shared" si="67"/>
        <v>9</v>
      </c>
      <c r="BO51" s="18"/>
      <c r="BP51" s="9">
        <v>29</v>
      </c>
      <c r="BQ51" s="9">
        <v>642</v>
      </c>
      <c r="BR51" s="9"/>
      <c r="BS51" s="18">
        <f t="shared" si="68"/>
        <v>671</v>
      </c>
      <c r="BT51" s="18">
        <v>1</v>
      </c>
      <c r="BU51" s="18" t="str">
        <f t="shared" si="69"/>
        <v>10</v>
      </c>
      <c r="BV51" s="18" t="str">
        <f t="shared" si="70"/>
        <v>O</v>
      </c>
      <c r="BW51" s="18">
        <f t="shared" si="71"/>
        <v>10</v>
      </c>
      <c r="BX51" s="18"/>
      <c r="BY51" s="18"/>
      <c r="BZ51" s="18">
        <f t="shared" si="72"/>
        <v>170</v>
      </c>
      <c r="CA51" s="19">
        <f t="shared" si="73"/>
        <v>8.5</v>
      </c>
      <c r="CB51" s="28" t="str">
        <f t="shared" si="74"/>
        <v>A+</v>
      </c>
      <c r="CC51" s="27">
        <f t="shared" si="75"/>
        <v>80.75</v>
      </c>
      <c r="CD51" s="27"/>
      <c r="CE51" s="28">
        <f t="shared" si="76"/>
        <v>1236</v>
      </c>
      <c r="CF51" s="28">
        <f t="shared" si="77"/>
        <v>154.5</v>
      </c>
      <c r="CG51" s="27"/>
      <c r="CH51" s="27"/>
      <c r="CI51" s="27" t="str">
        <f t="shared" si="79"/>
        <v>FCD</v>
      </c>
    </row>
    <row r="52" spans="1:87" ht="15.75" customHeight="1" x14ac:dyDescent="0.3">
      <c r="A52" s="35">
        <f t="shared" si="78"/>
        <v>45</v>
      </c>
      <c r="B52" s="85" t="s">
        <v>121</v>
      </c>
      <c r="C52" s="85" t="s">
        <v>122</v>
      </c>
      <c r="D52" s="47" t="s">
        <v>31</v>
      </c>
      <c r="E52" s="9">
        <v>21</v>
      </c>
      <c r="F52" s="9">
        <v>42</v>
      </c>
      <c r="G52" s="9"/>
      <c r="H52" s="18">
        <f t="shared" si="40"/>
        <v>63</v>
      </c>
      <c r="I52" s="18">
        <v>4</v>
      </c>
      <c r="J52" s="18" t="str">
        <f t="shared" si="41"/>
        <v>7</v>
      </c>
      <c r="K52" s="18" t="str">
        <f t="shared" si="42"/>
        <v>B+</v>
      </c>
      <c r="L52" s="18">
        <f t="shared" si="43"/>
        <v>28</v>
      </c>
      <c r="M52" s="18"/>
      <c r="N52" s="9">
        <v>37</v>
      </c>
      <c r="O52" s="9">
        <v>45</v>
      </c>
      <c r="P52" s="18"/>
      <c r="Q52" s="18">
        <f t="shared" si="44"/>
        <v>82</v>
      </c>
      <c r="R52" s="18">
        <v>4</v>
      </c>
      <c r="S52" s="18" t="str">
        <f t="shared" si="45"/>
        <v>9</v>
      </c>
      <c r="T52" s="18" t="str">
        <f t="shared" si="46"/>
        <v>A+</v>
      </c>
      <c r="U52" s="18">
        <f t="shared" si="47"/>
        <v>36</v>
      </c>
      <c r="V52" s="18"/>
      <c r="W52" s="9">
        <v>35</v>
      </c>
      <c r="X52" s="9">
        <v>41</v>
      </c>
      <c r="Y52" s="18"/>
      <c r="Z52" s="18">
        <f t="shared" si="48"/>
        <v>76</v>
      </c>
      <c r="AA52" s="18">
        <v>3</v>
      </c>
      <c r="AB52" s="18" t="str">
        <f t="shared" si="49"/>
        <v>8</v>
      </c>
      <c r="AC52" s="18" t="str">
        <f t="shared" si="50"/>
        <v>A</v>
      </c>
      <c r="AD52" s="18">
        <f t="shared" si="51"/>
        <v>24</v>
      </c>
      <c r="AE52" s="18"/>
      <c r="AF52" s="46">
        <v>30</v>
      </c>
      <c r="AG52" s="46">
        <v>49</v>
      </c>
      <c r="AH52" s="9"/>
      <c r="AI52" s="18">
        <f t="shared" si="52"/>
        <v>79</v>
      </c>
      <c r="AJ52" s="18">
        <v>3</v>
      </c>
      <c r="AK52" s="18" t="str">
        <f t="shared" si="53"/>
        <v>8</v>
      </c>
      <c r="AL52" s="18" t="str">
        <f t="shared" si="54"/>
        <v>A</v>
      </c>
      <c r="AM52" s="18">
        <f t="shared" si="55"/>
        <v>24</v>
      </c>
      <c r="AN52" s="18"/>
      <c r="AO52" s="46">
        <v>41</v>
      </c>
      <c r="AP52" s="46">
        <v>45</v>
      </c>
      <c r="AQ52" s="9"/>
      <c r="AR52" s="18">
        <f t="shared" si="56"/>
        <v>86</v>
      </c>
      <c r="AS52" s="18">
        <v>3</v>
      </c>
      <c r="AT52" s="18" t="str">
        <f t="shared" si="57"/>
        <v>9</v>
      </c>
      <c r="AU52" s="18" t="str">
        <f t="shared" si="58"/>
        <v>A+</v>
      </c>
      <c r="AV52" s="18">
        <f t="shared" si="59"/>
        <v>27</v>
      </c>
      <c r="AW52" s="18"/>
      <c r="AX52" s="9">
        <v>33</v>
      </c>
      <c r="AY52" s="9">
        <v>40</v>
      </c>
      <c r="AZ52" s="9"/>
      <c r="BA52" s="18">
        <f t="shared" si="60"/>
        <v>73</v>
      </c>
      <c r="BB52" s="18">
        <v>1</v>
      </c>
      <c r="BC52" s="18" t="str">
        <f t="shared" si="61"/>
        <v>8</v>
      </c>
      <c r="BD52" s="18" t="str">
        <f t="shared" si="62"/>
        <v>A</v>
      </c>
      <c r="BE52" s="18">
        <f t="shared" si="63"/>
        <v>8</v>
      </c>
      <c r="BF52" s="43" t="s">
        <v>35</v>
      </c>
      <c r="BG52" s="9">
        <v>27</v>
      </c>
      <c r="BH52" s="9">
        <v>38</v>
      </c>
      <c r="BI52" s="9"/>
      <c r="BJ52" s="18">
        <f t="shared" si="64"/>
        <v>65</v>
      </c>
      <c r="BK52" s="18">
        <v>1</v>
      </c>
      <c r="BL52" s="18" t="str">
        <f t="shared" si="65"/>
        <v>7</v>
      </c>
      <c r="BM52" s="18" t="str">
        <f t="shared" si="66"/>
        <v>B+</v>
      </c>
      <c r="BN52" s="18">
        <f t="shared" si="67"/>
        <v>7</v>
      </c>
      <c r="BO52" s="18"/>
      <c r="BP52" s="9">
        <v>24</v>
      </c>
      <c r="BQ52" s="9">
        <v>589</v>
      </c>
      <c r="BR52" s="9"/>
      <c r="BS52" s="18">
        <f t="shared" si="68"/>
        <v>613</v>
      </c>
      <c r="BT52" s="18">
        <v>1</v>
      </c>
      <c r="BU52" s="18" t="str">
        <f t="shared" si="69"/>
        <v>10</v>
      </c>
      <c r="BV52" s="18" t="str">
        <f t="shared" si="70"/>
        <v>O</v>
      </c>
      <c r="BW52" s="18">
        <f t="shared" si="71"/>
        <v>10</v>
      </c>
      <c r="BX52" s="18"/>
      <c r="BY52" s="18"/>
      <c r="BZ52" s="18">
        <f t="shared" si="72"/>
        <v>164</v>
      </c>
      <c r="CA52" s="19">
        <f t="shared" si="73"/>
        <v>8.1999999999999993</v>
      </c>
      <c r="CB52" s="28" t="str">
        <f t="shared" si="74"/>
        <v>A+</v>
      </c>
      <c r="CC52" s="27">
        <f t="shared" si="75"/>
        <v>77.899999999999991</v>
      </c>
      <c r="CD52" s="27"/>
      <c r="CE52" s="28">
        <f t="shared" si="76"/>
        <v>1137</v>
      </c>
      <c r="CF52" s="28">
        <f t="shared" si="77"/>
        <v>142.125</v>
      </c>
      <c r="CG52" s="27"/>
      <c r="CH52" s="27"/>
      <c r="CI52" s="27" t="str">
        <f t="shared" si="79"/>
        <v>FCD</v>
      </c>
    </row>
    <row r="53" spans="1:87" ht="15.75" customHeight="1" x14ac:dyDescent="0.3">
      <c r="A53" s="35">
        <f t="shared" si="78"/>
        <v>46</v>
      </c>
      <c r="B53" s="85" t="s">
        <v>123</v>
      </c>
      <c r="C53" s="85" t="s">
        <v>124</v>
      </c>
      <c r="D53" s="47" t="s">
        <v>31</v>
      </c>
      <c r="E53" s="9">
        <v>34</v>
      </c>
      <c r="F53" s="9">
        <v>47</v>
      </c>
      <c r="G53" s="9"/>
      <c r="H53" s="18">
        <f t="shared" si="40"/>
        <v>81</v>
      </c>
      <c r="I53" s="18">
        <v>4</v>
      </c>
      <c r="J53" s="18" t="str">
        <f t="shared" si="41"/>
        <v>9</v>
      </c>
      <c r="K53" s="18" t="str">
        <f t="shared" si="42"/>
        <v>A+</v>
      </c>
      <c r="L53" s="18">
        <f t="shared" si="43"/>
        <v>36</v>
      </c>
      <c r="M53" s="18"/>
      <c r="N53" s="9">
        <v>44</v>
      </c>
      <c r="O53" s="9">
        <v>44</v>
      </c>
      <c r="P53" s="9"/>
      <c r="Q53" s="18">
        <f t="shared" si="44"/>
        <v>88</v>
      </c>
      <c r="R53" s="18">
        <v>4</v>
      </c>
      <c r="S53" s="18" t="str">
        <f t="shared" si="45"/>
        <v>9</v>
      </c>
      <c r="T53" s="18" t="str">
        <f t="shared" si="46"/>
        <v>A+</v>
      </c>
      <c r="U53" s="18">
        <f t="shared" si="47"/>
        <v>36</v>
      </c>
      <c r="V53" s="18"/>
      <c r="W53" s="9">
        <v>31</v>
      </c>
      <c r="X53" s="9">
        <v>44</v>
      </c>
      <c r="Y53" s="18"/>
      <c r="Z53" s="18">
        <f t="shared" si="48"/>
        <v>75</v>
      </c>
      <c r="AA53" s="18">
        <v>3</v>
      </c>
      <c r="AB53" s="18" t="str">
        <f t="shared" si="49"/>
        <v>8</v>
      </c>
      <c r="AC53" s="18" t="str">
        <f t="shared" si="50"/>
        <v>A</v>
      </c>
      <c r="AD53" s="18">
        <f t="shared" si="51"/>
        <v>24</v>
      </c>
      <c r="AE53" s="18"/>
      <c r="AF53" s="46">
        <v>33</v>
      </c>
      <c r="AG53" s="46">
        <v>45</v>
      </c>
      <c r="AH53" s="9"/>
      <c r="AI53" s="18">
        <f t="shared" si="52"/>
        <v>78</v>
      </c>
      <c r="AJ53" s="18">
        <v>3</v>
      </c>
      <c r="AK53" s="18" t="str">
        <f t="shared" si="53"/>
        <v>8</v>
      </c>
      <c r="AL53" s="18" t="str">
        <f t="shared" si="54"/>
        <v>A</v>
      </c>
      <c r="AM53" s="18">
        <f t="shared" si="55"/>
        <v>24</v>
      </c>
      <c r="AN53" s="18"/>
      <c r="AO53" s="46">
        <v>36</v>
      </c>
      <c r="AP53" s="46">
        <v>41</v>
      </c>
      <c r="AQ53" s="9"/>
      <c r="AR53" s="18">
        <f t="shared" si="56"/>
        <v>77</v>
      </c>
      <c r="AS53" s="18">
        <v>3</v>
      </c>
      <c r="AT53" s="18" t="str">
        <f t="shared" si="57"/>
        <v>8</v>
      </c>
      <c r="AU53" s="18" t="str">
        <f t="shared" si="58"/>
        <v>A</v>
      </c>
      <c r="AV53" s="18">
        <f t="shared" si="59"/>
        <v>24</v>
      </c>
      <c r="AW53" s="18"/>
      <c r="AX53" s="9">
        <v>28</v>
      </c>
      <c r="AY53" s="9">
        <v>40</v>
      </c>
      <c r="AZ53" s="9"/>
      <c r="BA53" s="18">
        <f t="shared" si="60"/>
        <v>68</v>
      </c>
      <c r="BB53" s="18">
        <v>1</v>
      </c>
      <c r="BC53" s="18" t="str">
        <f t="shared" si="61"/>
        <v>7</v>
      </c>
      <c r="BD53" s="18" t="str">
        <f t="shared" si="62"/>
        <v>B+</v>
      </c>
      <c r="BE53" s="18">
        <f t="shared" si="63"/>
        <v>7</v>
      </c>
      <c r="BF53" s="43" t="s">
        <v>32</v>
      </c>
      <c r="BG53" s="9">
        <v>34</v>
      </c>
      <c r="BH53" s="9">
        <v>42</v>
      </c>
      <c r="BI53" s="9"/>
      <c r="BJ53" s="18">
        <f t="shared" si="64"/>
        <v>76</v>
      </c>
      <c r="BK53" s="18">
        <v>1</v>
      </c>
      <c r="BL53" s="18" t="str">
        <f t="shared" si="65"/>
        <v>8</v>
      </c>
      <c r="BM53" s="18" t="str">
        <f t="shared" si="66"/>
        <v>A</v>
      </c>
      <c r="BN53" s="18">
        <f t="shared" si="67"/>
        <v>8</v>
      </c>
      <c r="BO53" s="18"/>
      <c r="BP53" s="9">
        <v>36</v>
      </c>
      <c r="BQ53" s="9">
        <v>628</v>
      </c>
      <c r="BR53" s="9"/>
      <c r="BS53" s="18">
        <f t="shared" si="68"/>
        <v>664</v>
      </c>
      <c r="BT53" s="18">
        <v>1</v>
      </c>
      <c r="BU53" s="18" t="str">
        <f t="shared" si="69"/>
        <v>10</v>
      </c>
      <c r="BV53" s="18" t="str">
        <f t="shared" si="70"/>
        <v>O</v>
      </c>
      <c r="BW53" s="18">
        <f t="shared" si="71"/>
        <v>10</v>
      </c>
      <c r="BX53" s="18"/>
      <c r="BY53" s="18"/>
      <c r="BZ53" s="18">
        <f t="shared" si="72"/>
        <v>169</v>
      </c>
      <c r="CA53" s="19">
        <f t="shared" si="73"/>
        <v>8.4499999999999993</v>
      </c>
      <c r="CB53" s="28" t="str">
        <f t="shared" si="74"/>
        <v>A+</v>
      </c>
      <c r="CC53" s="27">
        <f t="shared" si="75"/>
        <v>80.274999999999991</v>
      </c>
      <c r="CD53" s="27"/>
      <c r="CE53" s="28">
        <f t="shared" si="76"/>
        <v>1207</v>
      </c>
      <c r="CF53" s="28">
        <f t="shared" si="77"/>
        <v>150.875</v>
      </c>
      <c r="CG53" s="27"/>
      <c r="CH53" s="27"/>
      <c r="CI53" s="27" t="str">
        <f t="shared" si="79"/>
        <v>FCD</v>
      </c>
    </row>
    <row r="54" spans="1:87" ht="15.75" customHeight="1" x14ac:dyDescent="0.3">
      <c r="A54" s="35">
        <f t="shared" si="78"/>
        <v>47</v>
      </c>
      <c r="B54" s="85" t="s">
        <v>125</v>
      </c>
      <c r="C54" s="85" t="s">
        <v>126</v>
      </c>
      <c r="D54" s="47" t="s">
        <v>31</v>
      </c>
      <c r="E54" s="9">
        <v>47</v>
      </c>
      <c r="F54" s="9">
        <v>46</v>
      </c>
      <c r="G54" s="25"/>
      <c r="H54" s="24">
        <f t="shared" si="40"/>
        <v>93</v>
      </c>
      <c r="I54" s="18">
        <v>4</v>
      </c>
      <c r="J54" s="18" t="str">
        <f t="shared" si="41"/>
        <v>10</v>
      </c>
      <c r="K54" s="18" t="str">
        <f t="shared" si="42"/>
        <v>O</v>
      </c>
      <c r="L54" s="24">
        <f t="shared" si="43"/>
        <v>40</v>
      </c>
      <c r="M54" s="24"/>
      <c r="N54" s="25">
        <v>44</v>
      </c>
      <c r="O54" s="25">
        <v>40</v>
      </c>
      <c r="P54" s="25"/>
      <c r="Q54" s="24">
        <f t="shared" si="44"/>
        <v>84</v>
      </c>
      <c r="R54" s="18">
        <v>4</v>
      </c>
      <c r="S54" s="18" t="str">
        <f t="shared" si="45"/>
        <v>9</v>
      </c>
      <c r="T54" s="18" t="str">
        <f t="shared" si="46"/>
        <v>A+</v>
      </c>
      <c r="U54" s="24">
        <f t="shared" si="47"/>
        <v>36</v>
      </c>
      <c r="V54" s="24"/>
      <c r="W54" s="25">
        <v>26</v>
      </c>
      <c r="X54" s="25">
        <v>47</v>
      </c>
      <c r="Y54" s="24"/>
      <c r="Z54" s="24">
        <f t="shared" si="48"/>
        <v>73</v>
      </c>
      <c r="AA54" s="24">
        <v>3</v>
      </c>
      <c r="AB54" s="18" t="str">
        <f t="shared" si="49"/>
        <v>8</v>
      </c>
      <c r="AC54" s="18" t="str">
        <f t="shared" si="50"/>
        <v>A</v>
      </c>
      <c r="AD54" s="24">
        <f t="shared" si="51"/>
        <v>24</v>
      </c>
      <c r="AE54" s="24"/>
      <c r="AF54" s="46">
        <v>30</v>
      </c>
      <c r="AG54" s="46">
        <v>42</v>
      </c>
      <c r="AH54" s="25"/>
      <c r="AI54" s="24">
        <f t="shared" si="52"/>
        <v>72</v>
      </c>
      <c r="AJ54" s="24">
        <v>3</v>
      </c>
      <c r="AK54" s="18" t="str">
        <f t="shared" si="53"/>
        <v>8</v>
      </c>
      <c r="AL54" s="18" t="str">
        <f t="shared" si="54"/>
        <v>A</v>
      </c>
      <c r="AM54" s="24">
        <f t="shared" si="55"/>
        <v>24</v>
      </c>
      <c r="AN54" s="24"/>
      <c r="AO54" s="46">
        <v>39</v>
      </c>
      <c r="AP54" s="46">
        <v>40</v>
      </c>
      <c r="AQ54" s="25"/>
      <c r="AR54" s="24">
        <f t="shared" si="56"/>
        <v>79</v>
      </c>
      <c r="AS54" s="24">
        <v>3</v>
      </c>
      <c r="AT54" s="18" t="str">
        <f t="shared" si="57"/>
        <v>8</v>
      </c>
      <c r="AU54" s="18" t="str">
        <f t="shared" si="58"/>
        <v>A</v>
      </c>
      <c r="AV54" s="24">
        <f t="shared" si="59"/>
        <v>24</v>
      </c>
      <c r="AW54" s="24"/>
      <c r="AX54" s="25">
        <v>33</v>
      </c>
      <c r="AY54" s="25">
        <v>38</v>
      </c>
      <c r="AZ54" s="25"/>
      <c r="BA54" s="24">
        <f t="shared" si="60"/>
        <v>71</v>
      </c>
      <c r="BB54" s="18">
        <v>1</v>
      </c>
      <c r="BC54" s="18" t="str">
        <f t="shared" si="61"/>
        <v>8</v>
      </c>
      <c r="BD54" s="18" t="str">
        <f t="shared" si="62"/>
        <v>A</v>
      </c>
      <c r="BE54" s="24">
        <f t="shared" si="63"/>
        <v>8</v>
      </c>
      <c r="BF54" s="43" t="s">
        <v>35</v>
      </c>
      <c r="BG54" s="9">
        <v>23</v>
      </c>
      <c r="BH54" s="9">
        <v>45</v>
      </c>
      <c r="BI54" s="25"/>
      <c r="BJ54" s="24">
        <f t="shared" si="64"/>
        <v>68</v>
      </c>
      <c r="BK54" s="18">
        <v>1</v>
      </c>
      <c r="BL54" s="18" t="str">
        <f t="shared" si="65"/>
        <v>7</v>
      </c>
      <c r="BM54" s="18" t="str">
        <f t="shared" si="66"/>
        <v>B+</v>
      </c>
      <c r="BN54" s="24">
        <f t="shared" si="67"/>
        <v>7</v>
      </c>
      <c r="BO54" s="24"/>
      <c r="BP54" s="25">
        <v>18</v>
      </c>
      <c r="BQ54" s="25">
        <v>606</v>
      </c>
      <c r="BR54" s="25"/>
      <c r="BS54" s="24">
        <f t="shared" si="68"/>
        <v>624</v>
      </c>
      <c r="BT54" s="18">
        <v>1</v>
      </c>
      <c r="BU54" s="18" t="str">
        <f t="shared" si="69"/>
        <v>10</v>
      </c>
      <c r="BV54" s="18" t="str">
        <f t="shared" si="70"/>
        <v>O</v>
      </c>
      <c r="BW54" s="24">
        <f t="shared" si="71"/>
        <v>10</v>
      </c>
      <c r="BX54" s="24"/>
      <c r="BY54" s="24"/>
      <c r="BZ54" s="18">
        <f t="shared" si="72"/>
        <v>173</v>
      </c>
      <c r="CA54" s="19">
        <f t="shared" si="73"/>
        <v>8.65</v>
      </c>
      <c r="CB54" s="28" t="str">
        <f t="shared" si="74"/>
        <v>A+</v>
      </c>
      <c r="CC54" s="27">
        <f t="shared" si="75"/>
        <v>82.174999999999997</v>
      </c>
      <c r="CD54" s="27"/>
      <c r="CE54" s="28">
        <f t="shared" si="76"/>
        <v>1164</v>
      </c>
      <c r="CF54" s="28">
        <f t="shared" si="77"/>
        <v>145.5</v>
      </c>
      <c r="CG54" s="27"/>
      <c r="CH54" s="27"/>
      <c r="CI54" s="27" t="str">
        <f t="shared" si="79"/>
        <v>FCD</v>
      </c>
    </row>
    <row r="55" spans="1:87" ht="15.75" customHeight="1" x14ac:dyDescent="0.3">
      <c r="A55" s="35">
        <f t="shared" si="78"/>
        <v>48</v>
      </c>
      <c r="B55" s="85" t="s">
        <v>127</v>
      </c>
      <c r="C55" s="85" t="s">
        <v>128</v>
      </c>
      <c r="D55" s="47" t="s">
        <v>31</v>
      </c>
      <c r="E55" s="9">
        <v>2</v>
      </c>
      <c r="F55" s="9">
        <v>44</v>
      </c>
      <c r="G55" s="9"/>
      <c r="H55" s="18">
        <f t="shared" si="40"/>
        <v>46</v>
      </c>
      <c r="I55" s="18">
        <v>4</v>
      </c>
      <c r="J55" s="18" t="str">
        <f t="shared" si="41"/>
        <v>4</v>
      </c>
      <c r="K55" s="18" t="str">
        <f t="shared" si="42"/>
        <v>P</v>
      </c>
      <c r="L55" s="18">
        <f t="shared" si="43"/>
        <v>16</v>
      </c>
      <c r="M55" s="18"/>
      <c r="N55" s="9">
        <v>14</v>
      </c>
      <c r="O55" s="9">
        <v>40</v>
      </c>
      <c r="P55" s="9"/>
      <c r="Q55" s="18">
        <f t="shared" si="44"/>
        <v>54</v>
      </c>
      <c r="R55" s="18">
        <v>4</v>
      </c>
      <c r="S55" s="18" t="str">
        <f t="shared" si="45"/>
        <v>5</v>
      </c>
      <c r="T55" s="18" t="str">
        <f t="shared" si="46"/>
        <v>C</v>
      </c>
      <c r="U55" s="18">
        <f t="shared" si="47"/>
        <v>20</v>
      </c>
      <c r="V55" s="18"/>
      <c r="W55" s="9">
        <v>18</v>
      </c>
      <c r="X55" s="9">
        <v>42</v>
      </c>
      <c r="Y55" s="18"/>
      <c r="Z55" s="18">
        <f t="shared" si="48"/>
        <v>60</v>
      </c>
      <c r="AA55" s="18">
        <v>3</v>
      </c>
      <c r="AB55" s="18" t="str">
        <f t="shared" si="49"/>
        <v>7</v>
      </c>
      <c r="AC55" s="18" t="str">
        <f t="shared" si="50"/>
        <v>B+</v>
      </c>
      <c r="AD55" s="18">
        <f t="shared" si="51"/>
        <v>21</v>
      </c>
      <c r="AE55" s="18"/>
      <c r="AF55" s="46">
        <v>35</v>
      </c>
      <c r="AG55" s="46">
        <v>46</v>
      </c>
      <c r="AH55" s="9"/>
      <c r="AI55" s="18">
        <f t="shared" si="52"/>
        <v>81</v>
      </c>
      <c r="AJ55" s="18">
        <v>3</v>
      </c>
      <c r="AK55" s="18" t="str">
        <f t="shared" si="53"/>
        <v>9</v>
      </c>
      <c r="AL55" s="18" t="str">
        <f t="shared" si="54"/>
        <v>A+</v>
      </c>
      <c r="AM55" s="18">
        <f t="shared" si="55"/>
        <v>27</v>
      </c>
      <c r="AN55" s="18"/>
      <c r="AO55" s="46">
        <v>43</v>
      </c>
      <c r="AP55" s="46">
        <v>46</v>
      </c>
      <c r="AQ55" s="9"/>
      <c r="AR55" s="18">
        <f t="shared" si="56"/>
        <v>89</v>
      </c>
      <c r="AS55" s="18">
        <v>3</v>
      </c>
      <c r="AT55" s="18" t="str">
        <f t="shared" si="57"/>
        <v>9</v>
      </c>
      <c r="AU55" s="18" t="str">
        <f t="shared" si="58"/>
        <v>A+</v>
      </c>
      <c r="AV55" s="18">
        <f t="shared" si="59"/>
        <v>27</v>
      </c>
      <c r="AW55" s="18"/>
      <c r="AX55" s="9">
        <v>28</v>
      </c>
      <c r="AY55" s="9">
        <v>30</v>
      </c>
      <c r="AZ55" s="9"/>
      <c r="BA55" s="18">
        <f t="shared" si="60"/>
        <v>58</v>
      </c>
      <c r="BB55" s="18">
        <v>1</v>
      </c>
      <c r="BC55" s="18" t="str">
        <f t="shared" si="61"/>
        <v>6</v>
      </c>
      <c r="BD55" s="18" t="str">
        <f t="shared" si="62"/>
        <v>B</v>
      </c>
      <c r="BE55" s="18">
        <f t="shared" si="63"/>
        <v>6</v>
      </c>
      <c r="BF55" s="43" t="s">
        <v>35</v>
      </c>
      <c r="BG55" s="9">
        <v>15</v>
      </c>
      <c r="BH55" s="9">
        <v>30</v>
      </c>
      <c r="BI55" s="9"/>
      <c r="BJ55" s="18">
        <f t="shared" si="64"/>
        <v>45</v>
      </c>
      <c r="BK55" s="18">
        <v>1</v>
      </c>
      <c r="BL55" s="18" t="str">
        <f t="shared" si="65"/>
        <v>4</v>
      </c>
      <c r="BM55" s="18" t="str">
        <f t="shared" si="66"/>
        <v>P</v>
      </c>
      <c r="BN55" s="18">
        <f t="shared" si="67"/>
        <v>4</v>
      </c>
      <c r="BO55" s="18"/>
      <c r="BP55" s="9">
        <v>5</v>
      </c>
      <c r="BQ55" s="9">
        <v>471</v>
      </c>
      <c r="BR55" s="9"/>
      <c r="BS55" s="18">
        <f t="shared" si="68"/>
        <v>476</v>
      </c>
      <c r="BT55" s="18">
        <v>1</v>
      </c>
      <c r="BU55" s="18" t="str">
        <f t="shared" si="69"/>
        <v>10</v>
      </c>
      <c r="BV55" s="18" t="str">
        <f t="shared" si="70"/>
        <v>O</v>
      </c>
      <c r="BW55" s="18">
        <f t="shared" si="71"/>
        <v>10</v>
      </c>
      <c r="BX55" s="18"/>
      <c r="BY55" s="18"/>
      <c r="BZ55" s="18">
        <f t="shared" si="72"/>
        <v>131</v>
      </c>
      <c r="CA55" s="19">
        <f t="shared" si="73"/>
        <v>6.55</v>
      </c>
      <c r="CB55" s="28" t="str">
        <f t="shared" si="74"/>
        <v>B+</v>
      </c>
      <c r="CC55" s="27">
        <f t="shared" si="75"/>
        <v>62.225000000000001</v>
      </c>
      <c r="CD55" s="27"/>
      <c r="CE55" s="28">
        <f t="shared" si="76"/>
        <v>909</v>
      </c>
      <c r="CF55" s="28">
        <f t="shared" si="77"/>
        <v>113.625</v>
      </c>
      <c r="CG55" s="27"/>
      <c r="CH55" s="27"/>
      <c r="CI55" s="27" t="str">
        <f t="shared" si="79"/>
        <v>FC</v>
      </c>
    </row>
    <row r="56" spans="1:87" ht="15.75" customHeight="1" x14ac:dyDescent="0.3">
      <c r="A56" s="35">
        <f t="shared" si="78"/>
        <v>49</v>
      </c>
      <c r="B56" s="85" t="s">
        <v>129</v>
      </c>
      <c r="C56" s="85" t="s">
        <v>130</v>
      </c>
      <c r="D56" s="47" t="s">
        <v>31</v>
      </c>
      <c r="E56" s="9">
        <v>14</v>
      </c>
      <c r="F56" s="9">
        <v>44</v>
      </c>
      <c r="G56" s="9"/>
      <c r="H56" s="18">
        <f t="shared" si="40"/>
        <v>58</v>
      </c>
      <c r="I56" s="18">
        <v>4</v>
      </c>
      <c r="J56" s="18" t="str">
        <f t="shared" si="41"/>
        <v>6</v>
      </c>
      <c r="K56" s="18" t="str">
        <f t="shared" si="42"/>
        <v>B</v>
      </c>
      <c r="L56" s="18">
        <f t="shared" si="43"/>
        <v>24</v>
      </c>
      <c r="M56" s="18"/>
      <c r="N56" s="9">
        <v>29</v>
      </c>
      <c r="O56" s="9">
        <v>40</v>
      </c>
      <c r="P56" s="9"/>
      <c r="Q56" s="18">
        <f t="shared" si="44"/>
        <v>69</v>
      </c>
      <c r="R56" s="18">
        <v>4</v>
      </c>
      <c r="S56" s="18" t="str">
        <f t="shared" si="45"/>
        <v>7</v>
      </c>
      <c r="T56" s="18" t="str">
        <f t="shared" si="46"/>
        <v>B+</v>
      </c>
      <c r="U56" s="18">
        <f t="shared" si="47"/>
        <v>28</v>
      </c>
      <c r="V56" s="18"/>
      <c r="W56" s="9">
        <v>9</v>
      </c>
      <c r="X56" s="9">
        <v>43</v>
      </c>
      <c r="Y56" s="18"/>
      <c r="Z56" s="18">
        <f t="shared" si="48"/>
        <v>52</v>
      </c>
      <c r="AA56" s="18">
        <v>3</v>
      </c>
      <c r="AB56" s="18" t="str">
        <f t="shared" si="49"/>
        <v>5</v>
      </c>
      <c r="AC56" s="18" t="str">
        <f t="shared" si="50"/>
        <v>C</v>
      </c>
      <c r="AD56" s="18">
        <f t="shared" si="51"/>
        <v>15</v>
      </c>
      <c r="AE56" s="18"/>
      <c r="AF56" s="46">
        <v>24</v>
      </c>
      <c r="AG56" s="46">
        <v>47</v>
      </c>
      <c r="AH56" s="9"/>
      <c r="AI56" s="18">
        <f t="shared" si="52"/>
        <v>71</v>
      </c>
      <c r="AJ56" s="18">
        <v>3</v>
      </c>
      <c r="AK56" s="18" t="str">
        <f t="shared" si="53"/>
        <v>8</v>
      </c>
      <c r="AL56" s="18" t="str">
        <f t="shared" si="54"/>
        <v>A</v>
      </c>
      <c r="AM56" s="18">
        <f t="shared" si="55"/>
        <v>24</v>
      </c>
      <c r="AN56" s="18"/>
      <c r="AO56" s="46">
        <v>31</v>
      </c>
      <c r="AP56" s="46">
        <v>41</v>
      </c>
      <c r="AQ56" s="9"/>
      <c r="AR56" s="18">
        <f t="shared" si="56"/>
        <v>72</v>
      </c>
      <c r="AS56" s="18">
        <v>3</v>
      </c>
      <c r="AT56" s="18" t="str">
        <f t="shared" si="57"/>
        <v>8</v>
      </c>
      <c r="AU56" s="18" t="str">
        <f t="shared" si="58"/>
        <v>A</v>
      </c>
      <c r="AV56" s="18">
        <f t="shared" si="59"/>
        <v>24</v>
      </c>
      <c r="AW56" s="18"/>
      <c r="AX56" s="9">
        <v>33</v>
      </c>
      <c r="AY56" s="9">
        <v>32</v>
      </c>
      <c r="AZ56" s="9"/>
      <c r="BA56" s="18">
        <f t="shared" si="60"/>
        <v>65</v>
      </c>
      <c r="BB56" s="18">
        <v>1</v>
      </c>
      <c r="BC56" s="18" t="str">
        <f t="shared" si="61"/>
        <v>7</v>
      </c>
      <c r="BD56" s="18" t="str">
        <f t="shared" si="62"/>
        <v>B+</v>
      </c>
      <c r="BE56" s="18">
        <f t="shared" si="63"/>
        <v>7</v>
      </c>
      <c r="BF56" s="43" t="s">
        <v>32</v>
      </c>
      <c r="BG56" s="9">
        <v>22</v>
      </c>
      <c r="BH56" s="9">
        <v>30</v>
      </c>
      <c r="BI56" s="9"/>
      <c r="BJ56" s="18">
        <f t="shared" si="64"/>
        <v>52</v>
      </c>
      <c r="BK56" s="18">
        <v>1</v>
      </c>
      <c r="BL56" s="18" t="str">
        <f t="shared" si="65"/>
        <v>5</v>
      </c>
      <c r="BM56" s="18" t="str">
        <f t="shared" si="66"/>
        <v>C</v>
      </c>
      <c r="BN56" s="18">
        <f t="shared" si="67"/>
        <v>5</v>
      </c>
      <c r="BO56" s="18"/>
      <c r="BP56" s="9">
        <v>20</v>
      </c>
      <c r="BQ56" s="9">
        <v>496</v>
      </c>
      <c r="BR56" s="9"/>
      <c r="BS56" s="18">
        <f t="shared" si="68"/>
        <v>516</v>
      </c>
      <c r="BT56" s="18">
        <v>1</v>
      </c>
      <c r="BU56" s="18" t="str">
        <f t="shared" si="69"/>
        <v>10</v>
      </c>
      <c r="BV56" s="18" t="str">
        <f t="shared" si="70"/>
        <v>O</v>
      </c>
      <c r="BW56" s="18">
        <f t="shared" si="71"/>
        <v>10</v>
      </c>
      <c r="BX56" s="18"/>
      <c r="BY56" s="18"/>
      <c r="BZ56" s="18">
        <f t="shared" si="72"/>
        <v>137</v>
      </c>
      <c r="CA56" s="19">
        <f t="shared" si="73"/>
        <v>6.85</v>
      </c>
      <c r="CB56" s="28" t="str">
        <f t="shared" si="74"/>
        <v>B+</v>
      </c>
      <c r="CC56" s="27">
        <f t="shared" si="75"/>
        <v>65.075000000000003</v>
      </c>
      <c r="CD56" s="27"/>
      <c r="CE56" s="28">
        <f t="shared" si="76"/>
        <v>955</v>
      </c>
      <c r="CF56" s="28">
        <f t="shared" si="77"/>
        <v>119.37500000000001</v>
      </c>
      <c r="CG56" s="27"/>
      <c r="CH56" s="27"/>
      <c r="CI56" s="27" t="str">
        <f t="shared" si="79"/>
        <v>FC</v>
      </c>
    </row>
    <row r="57" spans="1:87" ht="15.75" customHeight="1" x14ac:dyDescent="0.3">
      <c r="A57" s="35">
        <f t="shared" si="78"/>
        <v>50</v>
      </c>
      <c r="B57" s="86" t="s">
        <v>131</v>
      </c>
      <c r="C57" s="86" t="s">
        <v>132</v>
      </c>
      <c r="D57" s="47" t="s">
        <v>31</v>
      </c>
      <c r="E57" s="9">
        <v>20</v>
      </c>
      <c r="F57" s="9">
        <v>46</v>
      </c>
      <c r="G57" s="9"/>
      <c r="H57" s="18">
        <f t="shared" si="40"/>
        <v>66</v>
      </c>
      <c r="I57" s="18">
        <v>4</v>
      </c>
      <c r="J57" s="18" t="str">
        <f t="shared" si="41"/>
        <v>7</v>
      </c>
      <c r="K57" s="18" t="str">
        <f t="shared" si="42"/>
        <v>B+</v>
      </c>
      <c r="L57" s="18">
        <f t="shared" si="43"/>
        <v>28</v>
      </c>
      <c r="M57" s="18"/>
      <c r="N57" s="9">
        <v>35</v>
      </c>
      <c r="O57" s="9">
        <v>47</v>
      </c>
      <c r="P57" s="9"/>
      <c r="Q57" s="18">
        <f t="shared" si="44"/>
        <v>82</v>
      </c>
      <c r="R57" s="18">
        <v>4</v>
      </c>
      <c r="S57" s="18" t="str">
        <f t="shared" si="45"/>
        <v>9</v>
      </c>
      <c r="T57" s="18" t="str">
        <f t="shared" si="46"/>
        <v>A+</v>
      </c>
      <c r="U57" s="18">
        <f t="shared" si="47"/>
        <v>36</v>
      </c>
      <c r="V57" s="18"/>
      <c r="W57" s="9">
        <v>33</v>
      </c>
      <c r="X57" s="9">
        <v>46</v>
      </c>
      <c r="Y57" s="18"/>
      <c r="Z57" s="18">
        <f t="shared" si="48"/>
        <v>79</v>
      </c>
      <c r="AA57" s="18">
        <v>3</v>
      </c>
      <c r="AB57" s="18" t="str">
        <f t="shared" si="49"/>
        <v>8</v>
      </c>
      <c r="AC57" s="18" t="str">
        <f t="shared" si="50"/>
        <v>A</v>
      </c>
      <c r="AD57" s="18">
        <f t="shared" si="51"/>
        <v>24</v>
      </c>
      <c r="AE57" s="18"/>
      <c r="AF57" s="46">
        <v>36</v>
      </c>
      <c r="AG57" s="46">
        <v>49</v>
      </c>
      <c r="AH57" s="9"/>
      <c r="AI57" s="18">
        <f t="shared" si="52"/>
        <v>85</v>
      </c>
      <c r="AJ57" s="18">
        <v>3</v>
      </c>
      <c r="AK57" s="18" t="str">
        <f t="shared" si="53"/>
        <v>9</v>
      </c>
      <c r="AL57" s="18" t="str">
        <f t="shared" si="54"/>
        <v>A+</v>
      </c>
      <c r="AM57" s="18">
        <f t="shared" si="55"/>
        <v>27</v>
      </c>
      <c r="AN57" s="18"/>
      <c r="AO57" s="46">
        <v>43</v>
      </c>
      <c r="AP57" s="46">
        <v>41</v>
      </c>
      <c r="AQ57" s="9"/>
      <c r="AR57" s="18">
        <f t="shared" si="56"/>
        <v>84</v>
      </c>
      <c r="AS57" s="18">
        <v>3</v>
      </c>
      <c r="AT57" s="18" t="str">
        <f t="shared" si="57"/>
        <v>9</v>
      </c>
      <c r="AU57" s="18" t="str">
        <f t="shared" si="58"/>
        <v>A+</v>
      </c>
      <c r="AV57" s="18">
        <f t="shared" si="59"/>
        <v>27</v>
      </c>
      <c r="AW57" s="18"/>
      <c r="AX57" s="9">
        <v>32</v>
      </c>
      <c r="AY57" s="9">
        <v>42</v>
      </c>
      <c r="AZ57" s="9"/>
      <c r="BA57" s="18">
        <f t="shared" si="60"/>
        <v>74</v>
      </c>
      <c r="BB57" s="18">
        <v>1</v>
      </c>
      <c r="BC57" s="18" t="str">
        <f t="shared" si="61"/>
        <v>8</v>
      </c>
      <c r="BD57" s="18" t="str">
        <f t="shared" si="62"/>
        <v>A</v>
      </c>
      <c r="BE57" s="18">
        <f t="shared" si="63"/>
        <v>8</v>
      </c>
      <c r="BF57" s="43" t="s">
        <v>35</v>
      </c>
      <c r="BG57" s="9">
        <v>30</v>
      </c>
      <c r="BH57" s="9">
        <v>44</v>
      </c>
      <c r="BI57" s="9"/>
      <c r="BJ57" s="18">
        <f t="shared" si="64"/>
        <v>74</v>
      </c>
      <c r="BK57" s="18">
        <v>1</v>
      </c>
      <c r="BL57" s="18" t="str">
        <f t="shared" si="65"/>
        <v>8</v>
      </c>
      <c r="BM57" s="18" t="str">
        <f t="shared" si="66"/>
        <v>A</v>
      </c>
      <c r="BN57" s="18">
        <f t="shared" si="67"/>
        <v>8</v>
      </c>
      <c r="BO57" s="18"/>
      <c r="BP57" s="9">
        <v>29</v>
      </c>
      <c r="BQ57" s="9">
        <v>623</v>
      </c>
      <c r="BR57" s="9"/>
      <c r="BS57" s="18">
        <f t="shared" si="68"/>
        <v>652</v>
      </c>
      <c r="BT57" s="18">
        <v>1</v>
      </c>
      <c r="BU57" s="18" t="str">
        <f t="shared" si="69"/>
        <v>10</v>
      </c>
      <c r="BV57" s="18" t="str">
        <f t="shared" si="70"/>
        <v>O</v>
      </c>
      <c r="BW57" s="18">
        <f t="shared" si="71"/>
        <v>10</v>
      </c>
      <c r="BX57" s="18"/>
      <c r="BY57" s="18"/>
      <c r="BZ57" s="18">
        <f t="shared" si="72"/>
        <v>168</v>
      </c>
      <c r="CA57" s="19">
        <f t="shared" si="73"/>
        <v>8.4</v>
      </c>
      <c r="CB57" s="28" t="str">
        <f t="shared" si="74"/>
        <v>A+</v>
      </c>
      <c r="CC57" s="27">
        <f t="shared" si="75"/>
        <v>79.8</v>
      </c>
      <c r="CD57" s="27"/>
      <c r="CE57" s="28">
        <f t="shared" si="76"/>
        <v>1196</v>
      </c>
      <c r="CF57" s="28">
        <f t="shared" si="77"/>
        <v>149.5</v>
      </c>
      <c r="CG57" s="27"/>
      <c r="CH57" s="27"/>
      <c r="CI57" s="27" t="str">
        <f t="shared" si="79"/>
        <v>FCD</v>
      </c>
    </row>
    <row r="58" spans="1:87" ht="15.75" customHeight="1" x14ac:dyDescent="0.3">
      <c r="A58" s="35">
        <f t="shared" si="78"/>
        <v>51</v>
      </c>
      <c r="B58" s="85" t="s">
        <v>133</v>
      </c>
      <c r="C58" s="85" t="s">
        <v>134</v>
      </c>
      <c r="D58" s="47" t="s">
        <v>31</v>
      </c>
      <c r="E58" s="9">
        <v>38</v>
      </c>
      <c r="F58" s="9">
        <v>48</v>
      </c>
      <c r="G58" s="9"/>
      <c r="H58" s="18">
        <f t="shared" si="40"/>
        <v>86</v>
      </c>
      <c r="I58" s="18">
        <v>4</v>
      </c>
      <c r="J58" s="18" t="str">
        <f t="shared" si="41"/>
        <v>9</v>
      </c>
      <c r="K58" s="18" t="str">
        <f t="shared" si="42"/>
        <v>A+</v>
      </c>
      <c r="L58" s="18">
        <f t="shared" si="43"/>
        <v>36</v>
      </c>
      <c r="M58" s="18"/>
      <c r="N58" s="9">
        <v>39</v>
      </c>
      <c r="O58" s="9">
        <v>49</v>
      </c>
      <c r="P58" s="9"/>
      <c r="Q58" s="18">
        <f t="shared" si="44"/>
        <v>88</v>
      </c>
      <c r="R58" s="18">
        <v>4</v>
      </c>
      <c r="S58" s="18" t="str">
        <f t="shared" si="45"/>
        <v>9</v>
      </c>
      <c r="T58" s="18" t="str">
        <f t="shared" si="46"/>
        <v>A+</v>
      </c>
      <c r="U58" s="18">
        <f t="shared" si="47"/>
        <v>36</v>
      </c>
      <c r="V58" s="18"/>
      <c r="W58" s="9">
        <v>36</v>
      </c>
      <c r="X58" s="9">
        <v>48</v>
      </c>
      <c r="Y58" s="18"/>
      <c r="Z58" s="18">
        <f t="shared" si="48"/>
        <v>84</v>
      </c>
      <c r="AA58" s="18">
        <v>3</v>
      </c>
      <c r="AB58" s="18" t="str">
        <f t="shared" si="49"/>
        <v>9</v>
      </c>
      <c r="AC58" s="18" t="str">
        <f t="shared" si="50"/>
        <v>A+</v>
      </c>
      <c r="AD58" s="18">
        <f t="shared" si="51"/>
        <v>27</v>
      </c>
      <c r="AE58" s="18"/>
      <c r="AF58" s="46">
        <v>27</v>
      </c>
      <c r="AG58" s="46">
        <v>44</v>
      </c>
      <c r="AH58" s="9"/>
      <c r="AI58" s="18">
        <f t="shared" si="52"/>
        <v>71</v>
      </c>
      <c r="AJ58" s="18">
        <v>3</v>
      </c>
      <c r="AK58" s="18" t="str">
        <f t="shared" si="53"/>
        <v>8</v>
      </c>
      <c r="AL58" s="18" t="str">
        <f t="shared" si="54"/>
        <v>A</v>
      </c>
      <c r="AM58" s="18">
        <f t="shared" si="55"/>
        <v>24</v>
      </c>
      <c r="AN58" s="18"/>
      <c r="AO58" s="46">
        <v>37</v>
      </c>
      <c r="AP58" s="46">
        <v>47</v>
      </c>
      <c r="AQ58" s="9"/>
      <c r="AR58" s="18">
        <f t="shared" si="56"/>
        <v>84</v>
      </c>
      <c r="AS58" s="18">
        <v>3</v>
      </c>
      <c r="AT58" s="18" t="str">
        <f t="shared" si="57"/>
        <v>9</v>
      </c>
      <c r="AU58" s="18" t="str">
        <f t="shared" si="58"/>
        <v>A+</v>
      </c>
      <c r="AV58" s="18">
        <f t="shared" si="59"/>
        <v>27</v>
      </c>
      <c r="AW58" s="18"/>
      <c r="AX58" s="9">
        <v>31</v>
      </c>
      <c r="AY58" s="9">
        <v>44</v>
      </c>
      <c r="AZ58" s="9"/>
      <c r="BA58" s="18">
        <f t="shared" si="60"/>
        <v>75</v>
      </c>
      <c r="BB58" s="18">
        <v>1</v>
      </c>
      <c r="BC58" s="18" t="str">
        <f t="shared" si="61"/>
        <v>8</v>
      </c>
      <c r="BD58" s="18" t="str">
        <f t="shared" si="62"/>
        <v>A</v>
      </c>
      <c r="BE58" s="18">
        <f t="shared" si="63"/>
        <v>8</v>
      </c>
      <c r="BF58" s="43" t="s">
        <v>35</v>
      </c>
      <c r="BG58" s="9">
        <v>36</v>
      </c>
      <c r="BH58" s="9">
        <v>50</v>
      </c>
      <c r="BI58" s="9"/>
      <c r="BJ58" s="18">
        <f t="shared" si="64"/>
        <v>86</v>
      </c>
      <c r="BK58" s="18">
        <v>1</v>
      </c>
      <c r="BL58" s="18" t="str">
        <f t="shared" si="65"/>
        <v>9</v>
      </c>
      <c r="BM58" s="18" t="str">
        <f t="shared" si="66"/>
        <v>A+</v>
      </c>
      <c r="BN58" s="18">
        <f t="shared" si="67"/>
        <v>9</v>
      </c>
      <c r="BO58" s="18"/>
      <c r="BP58" s="9">
        <v>39</v>
      </c>
      <c r="BQ58" s="9">
        <v>663</v>
      </c>
      <c r="BR58" s="9"/>
      <c r="BS58" s="18">
        <f t="shared" si="68"/>
        <v>702</v>
      </c>
      <c r="BT58" s="18">
        <v>1</v>
      </c>
      <c r="BU58" s="18" t="str">
        <f t="shared" si="69"/>
        <v>10</v>
      </c>
      <c r="BV58" s="18" t="str">
        <f t="shared" si="70"/>
        <v>O</v>
      </c>
      <c r="BW58" s="18">
        <f t="shared" si="71"/>
        <v>10</v>
      </c>
      <c r="BX58" s="18"/>
      <c r="BY58" s="18"/>
      <c r="BZ58" s="18">
        <f t="shared" si="72"/>
        <v>177</v>
      </c>
      <c r="CA58" s="19">
        <f t="shared" si="73"/>
        <v>8.85</v>
      </c>
      <c r="CB58" s="28" t="str">
        <f t="shared" si="74"/>
        <v>A+</v>
      </c>
      <c r="CC58" s="27">
        <f t="shared" si="75"/>
        <v>84.075000000000003</v>
      </c>
      <c r="CD58" s="27"/>
      <c r="CE58" s="28">
        <f t="shared" si="76"/>
        <v>1276</v>
      </c>
      <c r="CF58" s="28">
        <f t="shared" si="77"/>
        <v>159.5</v>
      </c>
      <c r="CG58" s="27"/>
      <c r="CH58" s="27"/>
      <c r="CI58" s="27" t="str">
        <f t="shared" si="79"/>
        <v>FCD</v>
      </c>
    </row>
    <row r="59" spans="1:87" ht="15.75" customHeight="1" x14ac:dyDescent="0.3">
      <c r="A59" s="35">
        <f t="shared" si="78"/>
        <v>52</v>
      </c>
      <c r="B59" s="85" t="s">
        <v>135</v>
      </c>
      <c r="C59" s="85" t="s">
        <v>136</v>
      </c>
      <c r="D59" s="47" t="s">
        <v>31</v>
      </c>
      <c r="E59" s="9">
        <v>24</v>
      </c>
      <c r="F59" s="9">
        <v>48</v>
      </c>
      <c r="G59" s="9"/>
      <c r="H59" s="18">
        <f t="shared" si="40"/>
        <v>72</v>
      </c>
      <c r="I59" s="18">
        <v>4</v>
      </c>
      <c r="J59" s="18" t="str">
        <f t="shared" si="41"/>
        <v>8</v>
      </c>
      <c r="K59" s="18" t="str">
        <f t="shared" si="42"/>
        <v>A</v>
      </c>
      <c r="L59" s="18">
        <f t="shared" si="43"/>
        <v>32</v>
      </c>
      <c r="M59" s="18"/>
      <c r="N59" s="9">
        <v>46</v>
      </c>
      <c r="O59" s="9">
        <v>49</v>
      </c>
      <c r="P59" s="9"/>
      <c r="Q59" s="18">
        <f t="shared" si="44"/>
        <v>95</v>
      </c>
      <c r="R59" s="18">
        <v>4</v>
      </c>
      <c r="S59" s="18" t="str">
        <f t="shared" si="45"/>
        <v>10</v>
      </c>
      <c r="T59" s="18" t="str">
        <f t="shared" si="46"/>
        <v>O</v>
      </c>
      <c r="U59" s="18">
        <f t="shared" si="47"/>
        <v>40</v>
      </c>
      <c r="V59" s="18"/>
      <c r="W59" s="9">
        <v>45</v>
      </c>
      <c r="X59" s="9">
        <v>47</v>
      </c>
      <c r="Y59" s="18"/>
      <c r="Z59" s="18">
        <f t="shared" si="48"/>
        <v>92</v>
      </c>
      <c r="AA59" s="18">
        <v>3</v>
      </c>
      <c r="AB59" s="18" t="str">
        <f t="shared" si="49"/>
        <v>10</v>
      </c>
      <c r="AC59" s="18" t="str">
        <f t="shared" si="50"/>
        <v>O</v>
      </c>
      <c r="AD59" s="18">
        <f t="shared" si="51"/>
        <v>30</v>
      </c>
      <c r="AE59" s="18"/>
      <c r="AF59" s="46">
        <v>37</v>
      </c>
      <c r="AG59" s="46">
        <v>48</v>
      </c>
      <c r="AH59" s="9"/>
      <c r="AI59" s="18">
        <f t="shared" si="52"/>
        <v>85</v>
      </c>
      <c r="AJ59" s="18">
        <v>3</v>
      </c>
      <c r="AK59" s="18" t="str">
        <f t="shared" si="53"/>
        <v>9</v>
      </c>
      <c r="AL59" s="18" t="str">
        <f t="shared" si="54"/>
        <v>A+</v>
      </c>
      <c r="AM59" s="18">
        <f t="shared" si="55"/>
        <v>27</v>
      </c>
      <c r="AN59" s="18"/>
      <c r="AO59" s="46">
        <v>46</v>
      </c>
      <c r="AP59" s="46">
        <v>45</v>
      </c>
      <c r="AQ59" s="9"/>
      <c r="AR59" s="18">
        <f t="shared" si="56"/>
        <v>91</v>
      </c>
      <c r="AS59" s="18">
        <v>3</v>
      </c>
      <c r="AT59" s="18" t="str">
        <f t="shared" si="57"/>
        <v>10</v>
      </c>
      <c r="AU59" s="18" t="str">
        <f t="shared" si="58"/>
        <v>O</v>
      </c>
      <c r="AV59" s="18">
        <f t="shared" si="59"/>
        <v>30</v>
      </c>
      <c r="AW59" s="18"/>
      <c r="AX59" s="9">
        <v>35</v>
      </c>
      <c r="AY59" s="9">
        <v>45</v>
      </c>
      <c r="AZ59" s="9"/>
      <c r="BA59" s="18">
        <f t="shared" si="60"/>
        <v>80</v>
      </c>
      <c r="BB59" s="18">
        <v>1</v>
      </c>
      <c r="BC59" s="18" t="str">
        <f t="shared" si="61"/>
        <v>9</v>
      </c>
      <c r="BD59" s="18" t="str">
        <f t="shared" si="62"/>
        <v>A+</v>
      </c>
      <c r="BE59" s="18">
        <f t="shared" si="63"/>
        <v>9</v>
      </c>
      <c r="BF59" s="43" t="s">
        <v>35</v>
      </c>
      <c r="BG59" s="9">
        <v>36</v>
      </c>
      <c r="BH59" s="9">
        <v>48</v>
      </c>
      <c r="BI59" s="9"/>
      <c r="BJ59" s="18">
        <f t="shared" si="64"/>
        <v>84</v>
      </c>
      <c r="BK59" s="18">
        <v>1</v>
      </c>
      <c r="BL59" s="18" t="str">
        <f t="shared" si="65"/>
        <v>9</v>
      </c>
      <c r="BM59" s="18" t="str">
        <f t="shared" si="66"/>
        <v>A+</v>
      </c>
      <c r="BN59" s="18">
        <f t="shared" si="67"/>
        <v>9</v>
      </c>
      <c r="BO59" s="18"/>
      <c r="BP59" s="9">
        <v>32</v>
      </c>
      <c r="BQ59" s="9">
        <v>679</v>
      </c>
      <c r="BR59" s="9"/>
      <c r="BS59" s="18">
        <f t="shared" si="68"/>
        <v>711</v>
      </c>
      <c r="BT59" s="18">
        <v>1</v>
      </c>
      <c r="BU59" s="18" t="str">
        <f t="shared" si="69"/>
        <v>10</v>
      </c>
      <c r="BV59" s="18" t="str">
        <f t="shared" si="70"/>
        <v>O</v>
      </c>
      <c r="BW59" s="18">
        <f t="shared" si="71"/>
        <v>10</v>
      </c>
      <c r="BX59" s="18"/>
      <c r="BY59" s="18"/>
      <c r="BZ59" s="18">
        <f t="shared" si="72"/>
        <v>187</v>
      </c>
      <c r="CA59" s="19">
        <f t="shared" si="73"/>
        <v>9.35</v>
      </c>
      <c r="CB59" s="28" t="str">
        <f t="shared" si="74"/>
        <v>O</v>
      </c>
      <c r="CC59" s="27">
        <f t="shared" si="75"/>
        <v>88.825000000000003</v>
      </c>
      <c r="CD59" s="27"/>
      <c r="CE59" s="28">
        <f t="shared" si="76"/>
        <v>1310</v>
      </c>
      <c r="CF59" s="28">
        <f t="shared" si="77"/>
        <v>163.75</v>
      </c>
      <c r="CG59" s="27"/>
      <c r="CH59" s="27"/>
      <c r="CI59" s="27" t="str">
        <f t="shared" si="79"/>
        <v>FCD</v>
      </c>
    </row>
    <row r="60" spans="1:87" ht="15.75" customHeight="1" x14ac:dyDescent="0.3">
      <c r="A60" s="35">
        <f t="shared" si="78"/>
        <v>53</v>
      </c>
      <c r="B60" s="85" t="s">
        <v>137</v>
      </c>
      <c r="C60" s="85" t="s">
        <v>138</v>
      </c>
      <c r="D60" s="47" t="s">
        <v>31</v>
      </c>
      <c r="E60" s="9">
        <v>46</v>
      </c>
      <c r="F60" s="9">
        <v>49</v>
      </c>
      <c r="G60" s="9"/>
      <c r="H60" s="18">
        <f t="shared" si="40"/>
        <v>95</v>
      </c>
      <c r="I60" s="18">
        <v>4</v>
      </c>
      <c r="J60" s="18" t="str">
        <f t="shared" si="41"/>
        <v>10</v>
      </c>
      <c r="K60" s="18" t="str">
        <f t="shared" si="42"/>
        <v>O</v>
      </c>
      <c r="L60" s="18">
        <f t="shared" si="43"/>
        <v>40</v>
      </c>
      <c r="M60" s="18"/>
      <c r="N60" s="9">
        <v>36</v>
      </c>
      <c r="O60" s="9">
        <v>50</v>
      </c>
      <c r="P60" s="9"/>
      <c r="Q60" s="18">
        <f t="shared" si="44"/>
        <v>86</v>
      </c>
      <c r="R60" s="18">
        <v>4</v>
      </c>
      <c r="S60" s="18" t="str">
        <f t="shared" si="45"/>
        <v>9</v>
      </c>
      <c r="T60" s="18" t="str">
        <f t="shared" si="46"/>
        <v>A+</v>
      </c>
      <c r="U60" s="18">
        <f t="shared" si="47"/>
        <v>36</v>
      </c>
      <c r="V60" s="18"/>
      <c r="W60" s="9">
        <v>39</v>
      </c>
      <c r="X60" s="9">
        <v>46</v>
      </c>
      <c r="Y60" s="18"/>
      <c r="Z60" s="18">
        <f t="shared" si="48"/>
        <v>85</v>
      </c>
      <c r="AA60" s="18">
        <v>3</v>
      </c>
      <c r="AB60" s="18" t="str">
        <f t="shared" si="49"/>
        <v>9</v>
      </c>
      <c r="AC60" s="18" t="str">
        <f t="shared" si="50"/>
        <v>A+</v>
      </c>
      <c r="AD60" s="18">
        <f t="shared" si="51"/>
        <v>27</v>
      </c>
      <c r="AE60" s="18"/>
      <c r="AF60" s="46">
        <v>32</v>
      </c>
      <c r="AG60" s="46">
        <v>45</v>
      </c>
      <c r="AH60" s="9"/>
      <c r="AI60" s="18">
        <f t="shared" si="52"/>
        <v>77</v>
      </c>
      <c r="AJ60" s="18">
        <v>3</v>
      </c>
      <c r="AK60" s="18" t="str">
        <f t="shared" si="53"/>
        <v>8</v>
      </c>
      <c r="AL60" s="18" t="str">
        <f t="shared" si="54"/>
        <v>A</v>
      </c>
      <c r="AM60" s="18">
        <f t="shared" si="55"/>
        <v>24</v>
      </c>
      <c r="AN60" s="18"/>
      <c r="AO60" s="46">
        <v>40</v>
      </c>
      <c r="AP60" s="46">
        <v>45</v>
      </c>
      <c r="AQ60" s="9"/>
      <c r="AR60" s="18">
        <f t="shared" si="56"/>
        <v>85</v>
      </c>
      <c r="AS60" s="18">
        <v>3</v>
      </c>
      <c r="AT60" s="18" t="str">
        <f t="shared" si="57"/>
        <v>9</v>
      </c>
      <c r="AU60" s="18" t="str">
        <f t="shared" si="58"/>
        <v>A+</v>
      </c>
      <c r="AV60" s="18">
        <f t="shared" si="59"/>
        <v>27</v>
      </c>
      <c r="AW60" s="18"/>
      <c r="AX60" s="9">
        <v>28</v>
      </c>
      <c r="AY60" s="9">
        <v>43</v>
      </c>
      <c r="AZ60" s="9"/>
      <c r="BA60" s="18">
        <f t="shared" si="60"/>
        <v>71</v>
      </c>
      <c r="BB60" s="18">
        <v>1</v>
      </c>
      <c r="BC60" s="18" t="str">
        <f t="shared" si="61"/>
        <v>8</v>
      </c>
      <c r="BD60" s="18" t="str">
        <f t="shared" si="62"/>
        <v>A</v>
      </c>
      <c r="BE60" s="18">
        <f t="shared" si="63"/>
        <v>8</v>
      </c>
      <c r="BF60" s="43" t="s">
        <v>32</v>
      </c>
      <c r="BG60" s="9">
        <v>33</v>
      </c>
      <c r="BH60" s="9">
        <v>49</v>
      </c>
      <c r="BI60" s="9"/>
      <c r="BJ60" s="18">
        <f t="shared" si="64"/>
        <v>82</v>
      </c>
      <c r="BK60" s="18">
        <v>1</v>
      </c>
      <c r="BL60" s="18" t="str">
        <f t="shared" si="65"/>
        <v>9</v>
      </c>
      <c r="BM60" s="18" t="str">
        <f t="shared" si="66"/>
        <v>A+</v>
      </c>
      <c r="BN60" s="18">
        <f t="shared" si="67"/>
        <v>9</v>
      </c>
      <c r="BO60" s="18"/>
      <c r="BP60" s="9">
        <v>29</v>
      </c>
      <c r="BQ60" s="9">
        <v>659</v>
      </c>
      <c r="BR60" s="9"/>
      <c r="BS60" s="18">
        <f t="shared" si="68"/>
        <v>688</v>
      </c>
      <c r="BT60" s="18">
        <v>1</v>
      </c>
      <c r="BU60" s="18" t="str">
        <f t="shared" si="69"/>
        <v>10</v>
      </c>
      <c r="BV60" s="18" t="str">
        <f t="shared" si="70"/>
        <v>O</v>
      </c>
      <c r="BW60" s="18">
        <f t="shared" si="71"/>
        <v>10</v>
      </c>
      <c r="BX60" s="18"/>
      <c r="BY60" s="18"/>
      <c r="BZ60" s="18">
        <f t="shared" si="72"/>
        <v>181</v>
      </c>
      <c r="CA60" s="19">
        <f t="shared" si="73"/>
        <v>9.0500000000000007</v>
      </c>
      <c r="CB60" s="28" t="str">
        <f t="shared" si="74"/>
        <v>O</v>
      </c>
      <c r="CC60" s="27">
        <f t="shared" si="75"/>
        <v>85.975000000000009</v>
      </c>
      <c r="CD60" s="27"/>
      <c r="CE60" s="28">
        <f t="shared" si="76"/>
        <v>1269</v>
      </c>
      <c r="CF60" s="28">
        <f t="shared" si="77"/>
        <v>158.625</v>
      </c>
      <c r="CG60" s="27"/>
      <c r="CH60" s="27"/>
      <c r="CI60" s="27" t="str">
        <f t="shared" si="79"/>
        <v>FCD</v>
      </c>
    </row>
    <row r="61" spans="1:87" ht="15.75" customHeight="1" x14ac:dyDescent="0.3">
      <c r="A61" s="35">
        <f t="shared" si="78"/>
        <v>54</v>
      </c>
      <c r="B61" s="85" t="s">
        <v>139</v>
      </c>
      <c r="C61" s="85" t="s">
        <v>140</v>
      </c>
      <c r="D61" s="47" t="s">
        <v>31</v>
      </c>
      <c r="E61" s="9">
        <v>23</v>
      </c>
      <c r="F61" s="9">
        <v>47</v>
      </c>
      <c r="G61" s="9"/>
      <c r="H61" s="18">
        <f t="shared" si="40"/>
        <v>70</v>
      </c>
      <c r="I61" s="18">
        <v>4</v>
      </c>
      <c r="J61" s="18" t="str">
        <f t="shared" si="41"/>
        <v>8</v>
      </c>
      <c r="K61" s="18" t="str">
        <f t="shared" si="42"/>
        <v>A</v>
      </c>
      <c r="L61" s="18">
        <f t="shared" si="43"/>
        <v>32</v>
      </c>
      <c r="M61" s="18"/>
      <c r="N61" s="9">
        <v>38</v>
      </c>
      <c r="O61" s="9">
        <v>43</v>
      </c>
      <c r="P61" s="9"/>
      <c r="Q61" s="18">
        <f t="shared" si="44"/>
        <v>81</v>
      </c>
      <c r="R61" s="18">
        <v>4</v>
      </c>
      <c r="S61" s="18" t="str">
        <f t="shared" si="45"/>
        <v>9</v>
      </c>
      <c r="T61" s="18" t="str">
        <f t="shared" si="46"/>
        <v>A+</v>
      </c>
      <c r="U61" s="18">
        <f t="shared" si="47"/>
        <v>36</v>
      </c>
      <c r="V61" s="18"/>
      <c r="W61" s="9">
        <v>26</v>
      </c>
      <c r="X61" s="9">
        <v>43</v>
      </c>
      <c r="Y61" s="18"/>
      <c r="Z61" s="18">
        <f t="shared" si="48"/>
        <v>69</v>
      </c>
      <c r="AA61" s="18">
        <v>3</v>
      </c>
      <c r="AB61" s="18" t="str">
        <f t="shared" si="49"/>
        <v>7</v>
      </c>
      <c r="AC61" s="18" t="str">
        <f t="shared" si="50"/>
        <v>B+</v>
      </c>
      <c r="AD61" s="18">
        <f t="shared" si="51"/>
        <v>21</v>
      </c>
      <c r="AE61" s="18"/>
      <c r="AF61" s="46">
        <v>37</v>
      </c>
      <c r="AG61" s="46">
        <v>45</v>
      </c>
      <c r="AH61" s="9"/>
      <c r="AI61" s="18">
        <f t="shared" si="52"/>
        <v>82</v>
      </c>
      <c r="AJ61" s="18">
        <v>3</v>
      </c>
      <c r="AK61" s="18" t="str">
        <f t="shared" si="53"/>
        <v>9</v>
      </c>
      <c r="AL61" s="18" t="str">
        <f t="shared" si="54"/>
        <v>A+</v>
      </c>
      <c r="AM61" s="18">
        <f t="shared" si="55"/>
        <v>27</v>
      </c>
      <c r="AN61" s="18"/>
      <c r="AO61" s="46">
        <v>45</v>
      </c>
      <c r="AP61" s="46">
        <v>47</v>
      </c>
      <c r="AQ61" s="9"/>
      <c r="AR61" s="18">
        <f t="shared" si="56"/>
        <v>92</v>
      </c>
      <c r="AS61" s="18">
        <v>3</v>
      </c>
      <c r="AT61" s="18" t="str">
        <f t="shared" si="57"/>
        <v>10</v>
      </c>
      <c r="AU61" s="18" t="str">
        <f t="shared" si="58"/>
        <v>O</v>
      </c>
      <c r="AV61" s="18">
        <f t="shared" si="59"/>
        <v>30</v>
      </c>
      <c r="AW61" s="18"/>
      <c r="AX61" s="9">
        <v>34</v>
      </c>
      <c r="AY61" s="9">
        <v>41</v>
      </c>
      <c r="AZ61" s="9"/>
      <c r="BA61" s="18">
        <f t="shared" si="60"/>
        <v>75</v>
      </c>
      <c r="BB61" s="18">
        <v>1</v>
      </c>
      <c r="BC61" s="18" t="str">
        <f t="shared" si="61"/>
        <v>8</v>
      </c>
      <c r="BD61" s="18" t="str">
        <f t="shared" si="62"/>
        <v>A</v>
      </c>
      <c r="BE61" s="18">
        <f t="shared" si="63"/>
        <v>8</v>
      </c>
      <c r="BF61" s="43" t="s">
        <v>35</v>
      </c>
      <c r="BG61" s="9">
        <v>24</v>
      </c>
      <c r="BH61" s="9">
        <v>43</v>
      </c>
      <c r="BI61" s="9"/>
      <c r="BJ61" s="18">
        <f t="shared" si="64"/>
        <v>67</v>
      </c>
      <c r="BK61" s="18">
        <v>1</v>
      </c>
      <c r="BL61" s="18" t="str">
        <f t="shared" si="65"/>
        <v>7</v>
      </c>
      <c r="BM61" s="18" t="str">
        <f t="shared" si="66"/>
        <v>B+</v>
      </c>
      <c r="BN61" s="18">
        <f t="shared" si="67"/>
        <v>7</v>
      </c>
      <c r="BO61" s="18"/>
      <c r="BP61" s="9">
        <v>23</v>
      </c>
      <c r="BQ61" s="9">
        <v>608</v>
      </c>
      <c r="BR61" s="9"/>
      <c r="BS61" s="18">
        <f t="shared" si="68"/>
        <v>631</v>
      </c>
      <c r="BT61" s="18">
        <v>1</v>
      </c>
      <c r="BU61" s="18" t="str">
        <f t="shared" si="69"/>
        <v>10</v>
      </c>
      <c r="BV61" s="18" t="str">
        <f t="shared" si="70"/>
        <v>O</v>
      </c>
      <c r="BW61" s="18">
        <f t="shared" si="71"/>
        <v>10</v>
      </c>
      <c r="BX61" s="18"/>
      <c r="BY61" s="18"/>
      <c r="BZ61" s="18">
        <f t="shared" si="72"/>
        <v>171</v>
      </c>
      <c r="CA61" s="19">
        <f t="shared" si="73"/>
        <v>8.5500000000000007</v>
      </c>
      <c r="CB61" s="28" t="str">
        <f t="shared" si="74"/>
        <v>A+</v>
      </c>
      <c r="CC61" s="27">
        <f t="shared" si="75"/>
        <v>81.225000000000009</v>
      </c>
      <c r="CD61" s="27"/>
      <c r="CE61" s="28">
        <f t="shared" si="76"/>
        <v>1167</v>
      </c>
      <c r="CF61" s="28">
        <f t="shared" si="77"/>
        <v>145.875</v>
      </c>
      <c r="CG61" s="27"/>
      <c r="CH61" s="27"/>
      <c r="CI61" s="27" t="str">
        <f t="shared" si="79"/>
        <v>FCD</v>
      </c>
    </row>
    <row r="62" spans="1:87" ht="15.75" customHeight="1" x14ac:dyDescent="0.3">
      <c r="A62" s="35">
        <v>55</v>
      </c>
      <c r="B62" s="85" t="s">
        <v>137</v>
      </c>
      <c r="C62" s="85" t="s">
        <v>138</v>
      </c>
      <c r="D62" s="47" t="s">
        <v>31</v>
      </c>
      <c r="E62" s="9"/>
      <c r="F62" s="9"/>
      <c r="G62" s="9"/>
      <c r="H62" s="18">
        <f t="shared" si="40"/>
        <v>0</v>
      </c>
      <c r="I62" s="18">
        <v>4</v>
      </c>
      <c r="J62" s="18" t="str">
        <f t="shared" si="41"/>
        <v>0</v>
      </c>
      <c r="K62" s="18" t="str">
        <f t="shared" si="42"/>
        <v>F</v>
      </c>
      <c r="L62" s="18">
        <f t="shared" si="43"/>
        <v>0</v>
      </c>
      <c r="M62" s="18"/>
      <c r="N62" s="9"/>
      <c r="O62" s="9"/>
      <c r="P62" s="9"/>
      <c r="Q62" s="18">
        <f t="shared" si="44"/>
        <v>0</v>
      </c>
      <c r="R62" s="18">
        <v>4</v>
      </c>
      <c r="S62" s="18" t="str">
        <f t="shared" si="45"/>
        <v>0</v>
      </c>
      <c r="T62" s="18" t="str">
        <f t="shared" si="46"/>
        <v>F</v>
      </c>
      <c r="U62" s="18">
        <f t="shared" si="47"/>
        <v>0</v>
      </c>
      <c r="V62" s="18"/>
      <c r="W62" s="9"/>
      <c r="X62" s="9"/>
      <c r="Y62" s="18"/>
      <c r="Z62" s="18">
        <f t="shared" si="48"/>
        <v>0</v>
      </c>
      <c r="AA62" s="18">
        <v>3</v>
      </c>
      <c r="AB62" s="18" t="str">
        <f t="shared" si="49"/>
        <v>0</v>
      </c>
      <c r="AC62" s="18" t="str">
        <f t="shared" si="50"/>
        <v>F</v>
      </c>
      <c r="AD62" s="18">
        <f t="shared" si="51"/>
        <v>0</v>
      </c>
      <c r="AE62" s="18"/>
      <c r="AF62" s="46"/>
      <c r="AG62" s="46"/>
      <c r="AH62" s="9"/>
      <c r="AI62" s="18">
        <f t="shared" si="52"/>
        <v>0</v>
      </c>
      <c r="AJ62" s="18">
        <v>3</v>
      </c>
      <c r="AK62" s="18" t="str">
        <f t="shared" si="53"/>
        <v>0</v>
      </c>
      <c r="AL62" s="18" t="str">
        <f t="shared" si="54"/>
        <v>F</v>
      </c>
      <c r="AM62" s="18">
        <f t="shared" si="55"/>
        <v>0</v>
      </c>
      <c r="AN62" s="18"/>
      <c r="AO62" s="46"/>
      <c r="AP62" s="46"/>
      <c r="AQ62" s="9"/>
      <c r="AR62" s="18">
        <f t="shared" si="56"/>
        <v>0</v>
      </c>
      <c r="AS62" s="18">
        <v>3</v>
      </c>
      <c r="AT62" s="18" t="str">
        <f t="shared" si="57"/>
        <v>0</v>
      </c>
      <c r="AU62" s="18" t="str">
        <f t="shared" si="58"/>
        <v>F</v>
      </c>
      <c r="AV62" s="18">
        <f t="shared" si="59"/>
        <v>0</v>
      </c>
      <c r="AW62" s="18"/>
      <c r="AX62" s="9"/>
      <c r="AY62" s="9"/>
      <c r="AZ62" s="9"/>
      <c r="BA62" s="18">
        <f t="shared" si="60"/>
        <v>0</v>
      </c>
      <c r="BB62" s="18">
        <v>1</v>
      </c>
      <c r="BC62" s="18" t="str">
        <f t="shared" si="61"/>
        <v>0</v>
      </c>
      <c r="BD62" s="18" t="str">
        <f t="shared" si="62"/>
        <v>F</v>
      </c>
      <c r="BE62" s="18">
        <f t="shared" si="63"/>
        <v>0</v>
      </c>
      <c r="BF62" s="43" t="s">
        <v>35</v>
      </c>
      <c r="BG62" s="9"/>
      <c r="BH62" s="9"/>
      <c r="BI62" s="9"/>
      <c r="BJ62" s="18">
        <f t="shared" si="64"/>
        <v>0</v>
      </c>
      <c r="BK62" s="18">
        <v>1</v>
      </c>
      <c r="BL62" s="18" t="str">
        <f t="shared" si="65"/>
        <v>0</v>
      </c>
      <c r="BM62" s="18" t="str">
        <f t="shared" si="66"/>
        <v>F</v>
      </c>
      <c r="BN62" s="18">
        <f t="shared" si="67"/>
        <v>0</v>
      </c>
      <c r="BO62" s="18"/>
      <c r="BP62" s="9"/>
      <c r="BQ62" s="9"/>
      <c r="BR62" s="9"/>
      <c r="BS62" s="18">
        <f t="shared" si="68"/>
        <v>0</v>
      </c>
      <c r="BT62" s="18">
        <v>1</v>
      </c>
      <c r="BU62" s="18" t="str">
        <f t="shared" si="69"/>
        <v>0</v>
      </c>
      <c r="BV62" s="18" t="str">
        <f t="shared" si="70"/>
        <v>F</v>
      </c>
      <c r="BW62" s="18">
        <f t="shared" si="71"/>
        <v>0</v>
      </c>
      <c r="BX62" s="18"/>
      <c r="BY62" s="18"/>
      <c r="BZ62" s="18">
        <f t="shared" si="72"/>
        <v>0</v>
      </c>
      <c r="CA62" s="19">
        <f t="shared" si="73"/>
        <v>0</v>
      </c>
      <c r="CB62" s="28" t="str">
        <f t="shared" si="74"/>
        <v>F</v>
      </c>
      <c r="CC62" s="27">
        <f t="shared" si="75"/>
        <v>0</v>
      </c>
      <c r="CD62" s="27"/>
      <c r="CE62" s="28">
        <f t="shared" si="76"/>
        <v>0</v>
      </c>
      <c r="CF62" s="28">
        <f t="shared" si="77"/>
        <v>0</v>
      </c>
      <c r="CG62" s="27"/>
      <c r="CH62" s="27"/>
      <c r="CI62" s="27" t="str">
        <f t="shared" si="79"/>
        <v>F</v>
      </c>
    </row>
    <row r="63" spans="1:87" ht="15.75" customHeight="1" x14ac:dyDescent="0.3">
      <c r="A63" s="35">
        <v>56</v>
      </c>
      <c r="B63" s="85" t="s">
        <v>139</v>
      </c>
      <c r="C63" s="85" t="s">
        <v>140</v>
      </c>
      <c r="D63" s="47" t="s">
        <v>31</v>
      </c>
      <c r="E63" s="9"/>
      <c r="F63" s="9"/>
      <c r="G63" s="9"/>
      <c r="H63" s="18">
        <f t="shared" si="40"/>
        <v>0</v>
      </c>
      <c r="I63" s="18">
        <v>4</v>
      </c>
      <c r="J63" s="18" t="str">
        <f t="shared" si="41"/>
        <v>0</v>
      </c>
      <c r="K63" s="18" t="str">
        <f t="shared" si="42"/>
        <v>F</v>
      </c>
      <c r="L63" s="18">
        <f t="shared" si="43"/>
        <v>0</v>
      </c>
      <c r="M63" s="18"/>
      <c r="N63" s="9"/>
      <c r="O63" s="9"/>
      <c r="P63" s="9"/>
      <c r="Q63" s="18">
        <f t="shared" si="44"/>
        <v>0</v>
      </c>
      <c r="R63" s="18">
        <v>4</v>
      </c>
      <c r="S63" s="18" t="str">
        <f t="shared" si="45"/>
        <v>0</v>
      </c>
      <c r="T63" s="18" t="str">
        <f t="shared" si="46"/>
        <v>F</v>
      </c>
      <c r="U63" s="18">
        <f t="shared" si="47"/>
        <v>0</v>
      </c>
      <c r="V63" s="18"/>
      <c r="W63" s="9"/>
      <c r="X63" s="9"/>
      <c r="Y63" s="18"/>
      <c r="Z63" s="18">
        <f t="shared" si="48"/>
        <v>0</v>
      </c>
      <c r="AA63" s="18">
        <v>3</v>
      </c>
      <c r="AB63" s="18" t="str">
        <f t="shared" si="49"/>
        <v>0</v>
      </c>
      <c r="AC63" s="18" t="str">
        <f t="shared" si="50"/>
        <v>F</v>
      </c>
      <c r="AD63" s="18">
        <f t="shared" si="51"/>
        <v>0</v>
      </c>
      <c r="AE63" s="18"/>
      <c r="AF63" s="46"/>
      <c r="AG63" s="46"/>
      <c r="AH63" s="9"/>
      <c r="AI63" s="18">
        <f t="shared" si="52"/>
        <v>0</v>
      </c>
      <c r="AJ63" s="18">
        <v>3</v>
      </c>
      <c r="AK63" s="18" t="str">
        <f t="shared" si="53"/>
        <v>0</v>
      </c>
      <c r="AL63" s="18" t="str">
        <f t="shared" si="54"/>
        <v>F</v>
      </c>
      <c r="AM63" s="18">
        <f t="shared" si="55"/>
        <v>0</v>
      </c>
      <c r="AN63" s="18"/>
      <c r="AO63" s="46"/>
      <c r="AP63" s="46"/>
      <c r="AQ63" s="9"/>
      <c r="AR63" s="18">
        <f t="shared" si="56"/>
        <v>0</v>
      </c>
      <c r="AS63" s="18">
        <v>3</v>
      </c>
      <c r="AT63" s="18" t="str">
        <f t="shared" si="57"/>
        <v>0</v>
      </c>
      <c r="AU63" s="18" t="str">
        <f t="shared" si="58"/>
        <v>F</v>
      </c>
      <c r="AV63" s="18">
        <f t="shared" si="59"/>
        <v>0</v>
      </c>
      <c r="AW63" s="18"/>
      <c r="AX63" s="9"/>
      <c r="AY63" s="9"/>
      <c r="AZ63" s="9"/>
      <c r="BA63" s="18">
        <f t="shared" si="60"/>
        <v>0</v>
      </c>
      <c r="BB63" s="18">
        <v>1</v>
      </c>
      <c r="BC63" s="18" t="str">
        <f t="shared" si="61"/>
        <v>0</v>
      </c>
      <c r="BD63" s="18" t="str">
        <f t="shared" si="62"/>
        <v>F</v>
      </c>
      <c r="BE63" s="18">
        <f t="shared" si="63"/>
        <v>0</v>
      </c>
      <c r="BF63" s="43" t="s">
        <v>32</v>
      </c>
      <c r="BG63" s="9"/>
      <c r="BH63" s="9"/>
      <c r="BI63" s="9"/>
      <c r="BJ63" s="18">
        <f t="shared" si="64"/>
        <v>0</v>
      </c>
      <c r="BK63" s="18">
        <v>1</v>
      </c>
      <c r="BL63" s="18" t="str">
        <f t="shared" si="65"/>
        <v>0</v>
      </c>
      <c r="BM63" s="18" t="str">
        <f t="shared" si="66"/>
        <v>F</v>
      </c>
      <c r="BN63" s="18">
        <f t="shared" si="67"/>
        <v>0</v>
      </c>
      <c r="BO63" s="18"/>
      <c r="BP63" s="9"/>
      <c r="BQ63" s="9"/>
      <c r="BR63" s="9"/>
      <c r="BS63" s="18">
        <f t="shared" si="68"/>
        <v>0</v>
      </c>
      <c r="BT63" s="18">
        <v>1</v>
      </c>
      <c r="BU63" s="18" t="str">
        <f t="shared" si="69"/>
        <v>0</v>
      </c>
      <c r="BV63" s="18" t="str">
        <f t="shared" si="70"/>
        <v>F</v>
      </c>
      <c r="BW63" s="18">
        <f t="shared" si="71"/>
        <v>0</v>
      </c>
      <c r="BX63" s="18"/>
      <c r="BY63" s="18"/>
      <c r="BZ63" s="18">
        <f t="shared" si="72"/>
        <v>0</v>
      </c>
      <c r="CA63" s="19">
        <f t="shared" si="73"/>
        <v>0</v>
      </c>
      <c r="CB63" s="28" t="str">
        <f t="shared" si="74"/>
        <v>F</v>
      </c>
      <c r="CC63" s="27">
        <f t="shared" si="75"/>
        <v>0</v>
      </c>
      <c r="CD63" s="27"/>
      <c r="CE63" s="28">
        <f t="shared" si="76"/>
        <v>0</v>
      </c>
      <c r="CF63" s="28">
        <f t="shared" si="77"/>
        <v>0</v>
      </c>
      <c r="CG63" s="27"/>
      <c r="CH63" s="27"/>
      <c r="CI63" s="27" t="str">
        <f t="shared" si="79"/>
        <v>F</v>
      </c>
    </row>
    <row r="64" spans="1:87" ht="15.75" customHeight="1" x14ac:dyDescent="0.3">
      <c r="D64" s="1"/>
      <c r="E64" s="104" t="s">
        <v>141</v>
      </c>
      <c r="F64" s="98"/>
      <c r="G64" s="98"/>
      <c r="H64" s="98"/>
      <c r="I64" s="98"/>
      <c r="J64" s="98"/>
      <c r="K64" s="98"/>
      <c r="L64" s="98"/>
      <c r="M64" s="27"/>
      <c r="N64" s="105" t="s">
        <v>142</v>
      </c>
      <c r="O64" s="98"/>
      <c r="P64" s="98"/>
      <c r="Q64" s="98"/>
      <c r="R64" s="98"/>
      <c r="S64" s="98"/>
      <c r="T64" s="98"/>
      <c r="U64" s="98"/>
      <c r="V64" s="27"/>
      <c r="W64" s="105" t="s">
        <v>143</v>
      </c>
      <c r="X64" s="98"/>
      <c r="Y64" s="98"/>
      <c r="Z64" s="98"/>
      <c r="AA64" s="98"/>
      <c r="AB64" s="98"/>
      <c r="AC64" s="98"/>
      <c r="AD64" s="98"/>
      <c r="AE64" s="27"/>
      <c r="AF64" s="105" t="s">
        <v>144</v>
      </c>
      <c r="AG64" s="98"/>
      <c r="AH64" s="98"/>
      <c r="AI64" s="98"/>
      <c r="AJ64" s="98"/>
      <c r="AK64" s="98"/>
      <c r="AL64" s="98"/>
      <c r="AM64" s="98"/>
      <c r="AN64" s="27"/>
      <c r="AO64" s="105" t="s">
        <v>145</v>
      </c>
      <c r="AP64" s="98"/>
      <c r="AQ64" s="98"/>
      <c r="AR64" s="98"/>
      <c r="AS64" s="98"/>
      <c r="AT64" s="98"/>
      <c r="AU64" s="98"/>
      <c r="AV64" s="98"/>
      <c r="AW64" s="27"/>
      <c r="AX64" s="105" t="s">
        <v>146</v>
      </c>
      <c r="AY64" s="98"/>
      <c r="AZ64" s="98"/>
      <c r="BA64" s="98"/>
      <c r="BB64" s="98"/>
      <c r="BC64" s="98"/>
      <c r="BD64" s="98"/>
      <c r="BE64" s="98"/>
      <c r="BF64" s="27"/>
      <c r="BG64" s="105" t="s">
        <v>147</v>
      </c>
      <c r="BH64" s="98"/>
      <c r="BI64" s="98"/>
      <c r="BJ64" s="98"/>
      <c r="BK64" s="98"/>
      <c r="BL64" s="98"/>
      <c r="BM64" s="98"/>
      <c r="BN64" s="98"/>
      <c r="BO64" s="27"/>
      <c r="BP64" s="105" t="s">
        <v>148</v>
      </c>
      <c r="BQ64" s="98"/>
      <c r="BR64" s="98"/>
      <c r="BS64" s="98"/>
      <c r="BT64" s="98"/>
      <c r="BU64" s="98"/>
      <c r="BV64" s="98"/>
      <c r="BW64" s="98"/>
      <c r="BX64" s="27"/>
      <c r="BY64" s="27"/>
      <c r="BZ64" s="27"/>
      <c r="CA64" s="27"/>
      <c r="CB64" s="28"/>
      <c r="CC64" s="27"/>
      <c r="CD64" s="27"/>
      <c r="CE64" s="28"/>
      <c r="CF64" s="28"/>
      <c r="CG64" s="27"/>
      <c r="CH64" s="27"/>
      <c r="CI64" s="27"/>
    </row>
    <row r="65" spans="3:87" ht="15.75" customHeight="1" x14ac:dyDescent="0.3">
      <c r="C65" s="1" t="s">
        <v>149</v>
      </c>
      <c r="D65" s="1"/>
      <c r="E65" s="28"/>
      <c r="F65" s="28"/>
      <c r="G65" s="28"/>
      <c r="H65" s="28"/>
      <c r="I65" s="28"/>
      <c r="J65" s="27" t="s">
        <v>150</v>
      </c>
      <c r="K65" s="27">
        <f>COUNTIF(K8:K63,"O")</f>
        <v>8</v>
      </c>
      <c r="L65" s="27"/>
      <c r="M65" s="27"/>
      <c r="N65" s="28"/>
      <c r="O65" s="28"/>
      <c r="P65" s="28"/>
      <c r="Q65" s="28"/>
      <c r="R65" s="28"/>
      <c r="S65" s="27" t="s">
        <v>150</v>
      </c>
      <c r="T65" s="27">
        <f>COUNTIF(T8:T63,"O")</f>
        <v>14</v>
      </c>
      <c r="U65" s="27"/>
      <c r="V65" s="27"/>
      <c r="W65" s="27"/>
      <c r="X65" s="27"/>
      <c r="Y65" s="27"/>
      <c r="Z65" s="27"/>
      <c r="AA65" s="27"/>
      <c r="AB65" s="27" t="s">
        <v>150</v>
      </c>
      <c r="AC65" s="27">
        <f>COUNTIF(AC8:AC63,"O")</f>
        <v>6</v>
      </c>
      <c r="AD65" s="27"/>
      <c r="AE65" s="27"/>
      <c r="AF65" s="27"/>
      <c r="AG65" s="27"/>
      <c r="AH65" s="27"/>
      <c r="AI65" s="27"/>
      <c r="AJ65" s="27"/>
      <c r="AK65" s="27" t="s">
        <v>150</v>
      </c>
      <c r="AL65" s="27">
        <f>COUNTIF(AL8:AL63,"O")</f>
        <v>2</v>
      </c>
      <c r="AM65" s="27"/>
      <c r="AN65" s="27"/>
      <c r="AO65" s="27"/>
      <c r="AP65" s="27"/>
      <c r="AQ65" s="27"/>
      <c r="AR65" s="27"/>
      <c r="AS65" s="27"/>
      <c r="AT65" s="27" t="s">
        <v>150</v>
      </c>
      <c r="AU65" s="27">
        <f>COUNTIF(AU8:AU63,"O")</f>
        <v>5</v>
      </c>
      <c r="AV65" s="27"/>
      <c r="AW65" s="27"/>
      <c r="AX65" s="27"/>
      <c r="AY65" s="27"/>
      <c r="AZ65" s="27"/>
      <c r="BA65" s="27"/>
      <c r="BB65" s="27"/>
      <c r="BC65" s="27" t="s">
        <v>150</v>
      </c>
      <c r="BD65" s="27">
        <f>COUNTIF(BD8:BD63,"O")</f>
        <v>1</v>
      </c>
      <c r="BE65" s="27"/>
      <c r="BF65" s="27"/>
      <c r="BG65" s="27"/>
      <c r="BH65" s="27"/>
      <c r="BI65" s="27"/>
      <c r="BJ65" s="27"/>
      <c r="BK65" s="27"/>
      <c r="BL65" s="27" t="s">
        <v>150</v>
      </c>
      <c r="BM65" s="27">
        <f>COUNTIF(BM8:BM63,"O")</f>
        <v>0</v>
      </c>
      <c r="BN65" s="27"/>
      <c r="BO65" s="27"/>
      <c r="BP65" s="27"/>
      <c r="BQ65" s="27"/>
      <c r="BR65" s="27"/>
      <c r="BS65" s="27"/>
      <c r="BT65" s="27"/>
      <c r="BU65" s="27" t="s">
        <v>150</v>
      </c>
      <c r="BV65" s="27">
        <f>COUNTIF(BV8:BV63,"O")</f>
        <v>54</v>
      </c>
      <c r="BW65" s="27"/>
      <c r="BX65" s="27"/>
      <c r="BY65" s="27"/>
      <c r="BZ65" s="27"/>
      <c r="CA65" s="27" t="s">
        <v>150</v>
      </c>
      <c r="CB65" s="28">
        <f>COUNTIF(CB8:CB63,"O")</f>
        <v>12</v>
      </c>
      <c r="CC65" s="27"/>
      <c r="CD65" s="27"/>
      <c r="CE65" s="28"/>
      <c r="CF65" s="28"/>
      <c r="CG65" s="27"/>
      <c r="CH65" s="27" t="s">
        <v>151</v>
      </c>
      <c r="CI65" s="27">
        <f>COUNTIF(CI8:CI63,"FCD")</f>
        <v>47</v>
      </c>
    </row>
    <row r="66" spans="3:87" ht="15.75" customHeight="1" x14ac:dyDescent="0.3">
      <c r="C66" s="1" t="s">
        <v>149</v>
      </c>
      <c r="D66" s="1"/>
      <c r="E66" s="28"/>
      <c r="F66" s="28"/>
      <c r="G66" s="28"/>
      <c r="H66" s="28"/>
      <c r="I66" s="28"/>
      <c r="J66" s="27" t="s">
        <v>152</v>
      </c>
      <c r="K66" s="27">
        <f>COUNTIF(K8:K63,"A+")</f>
        <v>6</v>
      </c>
      <c r="L66" s="27"/>
      <c r="M66" s="27"/>
      <c r="N66" s="28"/>
      <c r="O66" s="28"/>
      <c r="P66" s="28"/>
      <c r="Q66" s="28"/>
      <c r="R66" s="28"/>
      <c r="S66" s="27" t="s">
        <v>152</v>
      </c>
      <c r="T66" s="27">
        <f>COUNTIF(T8:T63,"A+")</f>
        <v>26</v>
      </c>
      <c r="U66" s="27"/>
      <c r="V66" s="27"/>
      <c r="W66" s="27"/>
      <c r="X66" s="27"/>
      <c r="Y66" s="27"/>
      <c r="Z66" s="27"/>
      <c r="AA66" s="27"/>
      <c r="AB66" s="27" t="s">
        <v>152</v>
      </c>
      <c r="AC66" s="27">
        <f>COUNTIF(AC8:AC63,"A+")</f>
        <v>9</v>
      </c>
      <c r="AD66" s="27"/>
      <c r="AE66" s="27"/>
      <c r="AF66" s="27"/>
      <c r="AG66" s="27"/>
      <c r="AH66" s="27"/>
      <c r="AI66" s="27"/>
      <c r="AJ66" s="27"/>
      <c r="AK66" s="27" t="s">
        <v>152</v>
      </c>
      <c r="AL66" s="27">
        <f>COUNTIF(AL8:AL63,"A+")</f>
        <v>25</v>
      </c>
      <c r="AM66" s="27"/>
      <c r="AN66" s="27"/>
      <c r="AO66" s="27"/>
      <c r="AP66" s="27"/>
      <c r="AQ66" s="27"/>
      <c r="AR66" s="27"/>
      <c r="AS66" s="27"/>
      <c r="AT66" s="27" t="s">
        <v>152</v>
      </c>
      <c r="AU66" s="27">
        <f>COUNTIF(AU8:AU63,"A+")</f>
        <v>32</v>
      </c>
      <c r="AV66" s="27"/>
      <c r="AW66" s="27"/>
      <c r="AX66" s="27"/>
      <c r="AY66" s="27"/>
      <c r="AZ66" s="27"/>
      <c r="BA66" s="27"/>
      <c r="BB66" s="27"/>
      <c r="BC66" s="27" t="s">
        <v>152</v>
      </c>
      <c r="BD66" s="27">
        <f>COUNTIF(BD8:BD63,"A+")</f>
        <v>12</v>
      </c>
      <c r="BE66" s="27"/>
      <c r="BF66" s="27"/>
      <c r="BG66" s="27"/>
      <c r="BH66" s="27"/>
      <c r="BI66" s="27"/>
      <c r="BJ66" s="27"/>
      <c r="BK66" s="27"/>
      <c r="BL66" s="27" t="s">
        <v>152</v>
      </c>
      <c r="BM66" s="27">
        <f>COUNTIF(BM8:BM63,"A+")</f>
        <v>16</v>
      </c>
      <c r="BN66" s="27"/>
      <c r="BO66" s="27"/>
      <c r="BP66" s="27"/>
      <c r="BQ66" s="27"/>
      <c r="BR66" s="27"/>
      <c r="BS66" s="27"/>
      <c r="BT66" s="27"/>
      <c r="BU66" s="27" t="s">
        <v>152</v>
      </c>
      <c r="BV66" s="27">
        <f>COUNTIF(BV8:BV63,"A+")</f>
        <v>0</v>
      </c>
      <c r="BW66" s="27"/>
      <c r="BX66" s="27"/>
      <c r="BY66" s="27"/>
      <c r="BZ66" s="27"/>
      <c r="CA66" s="27" t="s">
        <v>152</v>
      </c>
      <c r="CB66" s="28">
        <f>COUNTIF(CB8:CB63,"A+")</f>
        <v>30</v>
      </c>
      <c r="CC66" s="27"/>
      <c r="CD66" s="27"/>
      <c r="CE66" s="28"/>
      <c r="CF66" s="28"/>
      <c r="CG66" s="27"/>
      <c r="CH66" s="27" t="s">
        <v>153</v>
      </c>
      <c r="CI66" s="27">
        <f>COUNTIF(CI8:CI63,"FC")</f>
        <v>5</v>
      </c>
    </row>
    <row r="67" spans="3:87" ht="15.75" customHeight="1" x14ac:dyDescent="0.3">
      <c r="C67" s="1" t="s">
        <v>149</v>
      </c>
      <c r="D67" s="1"/>
      <c r="E67" s="28"/>
      <c r="F67" s="28"/>
      <c r="G67" s="28"/>
      <c r="H67" s="28"/>
      <c r="I67" s="28"/>
      <c r="J67" s="27" t="s">
        <v>154</v>
      </c>
      <c r="K67" s="27">
        <f>COUNTIF(K8:K63,"A")</f>
        <v>21</v>
      </c>
      <c r="L67" s="27"/>
      <c r="M67" s="27"/>
      <c r="N67" s="28"/>
      <c r="O67" s="28"/>
      <c r="P67" s="28"/>
      <c r="Q67" s="28"/>
      <c r="R67" s="28"/>
      <c r="S67" s="27" t="s">
        <v>154</v>
      </c>
      <c r="T67" s="27">
        <f>COUNTIF(T8:T63,"A")</f>
        <v>7</v>
      </c>
      <c r="U67" s="27"/>
      <c r="V67" s="27"/>
      <c r="W67" s="27"/>
      <c r="X67" s="27"/>
      <c r="Y67" s="27"/>
      <c r="Z67" s="27"/>
      <c r="AA67" s="27"/>
      <c r="AB67" s="27" t="s">
        <v>154</v>
      </c>
      <c r="AC67" s="27">
        <f>COUNTIF(AC8:AC63,"A")</f>
        <v>23</v>
      </c>
      <c r="AD67" s="27"/>
      <c r="AE67" s="27"/>
      <c r="AF67" s="27"/>
      <c r="AG67" s="27"/>
      <c r="AH67" s="27"/>
      <c r="AI67" s="27"/>
      <c r="AJ67" s="27"/>
      <c r="AK67" s="27" t="s">
        <v>154</v>
      </c>
      <c r="AL67" s="27">
        <f>COUNTIF(AL8:AL63,"A")</f>
        <v>25</v>
      </c>
      <c r="AM67" s="27"/>
      <c r="AN67" s="27"/>
      <c r="AO67" s="27"/>
      <c r="AP67" s="27"/>
      <c r="AQ67" s="27"/>
      <c r="AR67" s="27"/>
      <c r="AS67" s="27"/>
      <c r="AT67" s="27" t="s">
        <v>154</v>
      </c>
      <c r="AU67" s="27">
        <f>COUNTIF(AU8:AU63,"A")</f>
        <v>13</v>
      </c>
      <c r="AV67" s="27"/>
      <c r="AW67" s="27"/>
      <c r="AX67" s="27"/>
      <c r="AY67" s="27"/>
      <c r="AZ67" s="27"/>
      <c r="BA67" s="27"/>
      <c r="BB67" s="27"/>
      <c r="BC67" s="27" t="s">
        <v>154</v>
      </c>
      <c r="BD67" s="27">
        <f>COUNTIF(BD8:BD63,"A")</f>
        <v>24</v>
      </c>
      <c r="BE67" s="27"/>
      <c r="BF67" s="27"/>
      <c r="BG67" s="27"/>
      <c r="BH67" s="27"/>
      <c r="BI67" s="27"/>
      <c r="BJ67" s="27"/>
      <c r="BK67" s="27"/>
      <c r="BL67" s="27" t="s">
        <v>154</v>
      </c>
      <c r="BM67" s="27">
        <f>COUNTIF(BM8:BM63,"A")</f>
        <v>16</v>
      </c>
      <c r="BN67" s="27"/>
      <c r="BO67" s="27"/>
      <c r="BP67" s="27"/>
      <c r="BQ67" s="27"/>
      <c r="BR67" s="27"/>
      <c r="BS67" s="27"/>
      <c r="BT67" s="27"/>
      <c r="BU67" s="27" t="s">
        <v>154</v>
      </c>
      <c r="BV67" s="27">
        <f>COUNTIF(BV8:BV63,"A")</f>
        <v>0</v>
      </c>
      <c r="BW67" s="27"/>
      <c r="BX67" s="27"/>
      <c r="BY67" s="27"/>
      <c r="BZ67" s="27"/>
      <c r="CA67" s="27" t="s">
        <v>154</v>
      </c>
      <c r="CB67" s="28">
        <f>COUNTIF(CB8:CB63,"A")</f>
        <v>8</v>
      </c>
      <c r="CC67" s="27"/>
      <c r="CD67" s="27"/>
      <c r="CE67" s="28"/>
      <c r="CF67" s="28"/>
      <c r="CG67" s="27"/>
      <c r="CH67" s="27" t="s">
        <v>155</v>
      </c>
      <c r="CI67" s="27">
        <f>COUNTIF(CI8:CI63,"SC")</f>
        <v>1</v>
      </c>
    </row>
    <row r="68" spans="3:87" ht="15.75" customHeight="1" x14ac:dyDescent="0.3">
      <c r="C68" s="1" t="s">
        <v>149</v>
      </c>
      <c r="D68" s="1"/>
      <c r="E68" s="28"/>
      <c r="F68" s="28"/>
      <c r="G68" s="28"/>
      <c r="H68" s="28"/>
      <c r="I68" s="28"/>
      <c r="J68" s="27" t="s">
        <v>156</v>
      </c>
      <c r="K68" s="27">
        <f>COUNTIF(K8:K63,"B+")</f>
        <v>12</v>
      </c>
      <c r="L68" s="27"/>
      <c r="M68" s="27"/>
      <c r="N68" s="28"/>
      <c r="O68" s="28"/>
      <c r="P68" s="28"/>
      <c r="Q68" s="28"/>
      <c r="R68" s="28"/>
      <c r="S68" s="27" t="s">
        <v>156</v>
      </c>
      <c r="T68" s="27">
        <f>COUNTIF(T8:T63,"B+")</f>
        <v>5</v>
      </c>
      <c r="U68" s="27"/>
      <c r="V68" s="27"/>
      <c r="W68" s="27"/>
      <c r="X68" s="27"/>
      <c r="Y68" s="27"/>
      <c r="Z68" s="27"/>
      <c r="AA68" s="27"/>
      <c r="AB68" s="27" t="s">
        <v>156</v>
      </c>
      <c r="AC68" s="27">
        <f>COUNTIF(AC8:AC63,"B+")</f>
        <v>13</v>
      </c>
      <c r="AD68" s="27"/>
      <c r="AE68" s="27"/>
      <c r="AF68" s="27"/>
      <c r="AG68" s="27"/>
      <c r="AH68" s="27"/>
      <c r="AI68" s="27"/>
      <c r="AJ68" s="27"/>
      <c r="AK68" s="27" t="s">
        <v>156</v>
      </c>
      <c r="AL68" s="27">
        <f>COUNTIF(AL8:AL63,"B+")</f>
        <v>2</v>
      </c>
      <c r="AM68" s="27"/>
      <c r="AN68" s="27"/>
      <c r="AO68" s="27"/>
      <c r="AP68" s="27"/>
      <c r="AQ68" s="27"/>
      <c r="AR68" s="27"/>
      <c r="AS68" s="27"/>
      <c r="AT68" s="27" t="s">
        <v>156</v>
      </c>
      <c r="AU68" s="27">
        <f>COUNTIF(AU8:AU63,"B+")</f>
        <v>3</v>
      </c>
      <c r="AV68" s="27"/>
      <c r="AW68" s="27"/>
      <c r="AX68" s="27"/>
      <c r="AY68" s="27"/>
      <c r="AZ68" s="27"/>
      <c r="BA68" s="27"/>
      <c r="BB68" s="27"/>
      <c r="BC68" s="27" t="s">
        <v>156</v>
      </c>
      <c r="BD68" s="27">
        <f>COUNTIF(BD8:BD63,"B+")</f>
        <v>15</v>
      </c>
      <c r="BE68" s="27"/>
      <c r="BF68" s="27"/>
      <c r="BG68" s="27"/>
      <c r="BH68" s="27"/>
      <c r="BI68" s="27"/>
      <c r="BJ68" s="27"/>
      <c r="BK68" s="27"/>
      <c r="BL68" s="27" t="s">
        <v>156</v>
      </c>
      <c r="BM68" s="27">
        <f>COUNTIF(BM8:BM63,"B+")</f>
        <v>13</v>
      </c>
      <c r="BN68" s="27"/>
      <c r="BO68" s="27"/>
      <c r="BP68" s="27"/>
      <c r="BQ68" s="27"/>
      <c r="BR68" s="27"/>
      <c r="BS68" s="27"/>
      <c r="BT68" s="27"/>
      <c r="BU68" s="27" t="s">
        <v>156</v>
      </c>
      <c r="BV68" s="27">
        <f>COUNTIF(BV8:BV63,"B+")</f>
        <v>0</v>
      </c>
      <c r="BW68" s="27"/>
      <c r="BX68" s="27"/>
      <c r="BY68" s="27"/>
      <c r="BZ68" s="27"/>
      <c r="CA68" s="27" t="s">
        <v>156</v>
      </c>
      <c r="CB68" s="28">
        <f>COUNTIF(CB8:CB63,"B+")</f>
        <v>4</v>
      </c>
      <c r="CC68" s="27"/>
      <c r="CD68" s="27"/>
      <c r="CE68" s="28"/>
      <c r="CF68" s="28"/>
      <c r="CG68" s="27"/>
      <c r="CH68" s="27" t="s">
        <v>157</v>
      </c>
      <c r="CI68" s="27">
        <f>COUNTIF(CI8:CI63,"PASS")</f>
        <v>0</v>
      </c>
    </row>
    <row r="69" spans="3:87" ht="15.75" customHeight="1" x14ac:dyDescent="0.3">
      <c r="C69" s="1" t="s">
        <v>149</v>
      </c>
      <c r="D69" s="1"/>
      <c r="E69" s="28"/>
      <c r="F69" s="28"/>
      <c r="G69" s="28"/>
      <c r="H69" s="28"/>
      <c r="I69" s="28"/>
      <c r="J69" s="27" t="s">
        <v>158</v>
      </c>
      <c r="K69" s="27">
        <f>COUNTIF(K8:K63,"B")</f>
        <v>2</v>
      </c>
      <c r="L69" s="27"/>
      <c r="M69" s="27"/>
      <c r="N69" s="28"/>
      <c r="O69" s="28"/>
      <c r="P69" s="28"/>
      <c r="Q69" s="28"/>
      <c r="R69" s="28"/>
      <c r="S69" s="27" t="s">
        <v>158</v>
      </c>
      <c r="T69" s="27">
        <f>COUNTIF(T8:T63,"B")</f>
        <v>1</v>
      </c>
      <c r="U69" s="27"/>
      <c r="V69" s="27"/>
      <c r="W69" s="27"/>
      <c r="X69" s="27"/>
      <c r="Y69" s="27"/>
      <c r="Z69" s="27"/>
      <c r="AA69" s="27"/>
      <c r="AB69" s="27" t="s">
        <v>158</v>
      </c>
      <c r="AC69" s="27">
        <f>COUNTIF(AC8:AC63,"B")</f>
        <v>1</v>
      </c>
      <c r="AD69" s="27"/>
      <c r="AE69" s="27"/>
      <c r="AF69" s="27"/>
      <c r="AG69" s="27"/>
      <c r="AH69" s="27"/>
      <c r="AI69" s="27"/>
      <c r="AJ69" s="27"/>
      <c r="AK69" s="27" t="s">
        <v>158</v>
      </c>
      <c r="AL69" s="27">
        <f>COUNTIF(AL8:AL63,"B")</f>
        <v>0</v>
      </c>
      <c r="AM69" s="27"/>
      <c r="AN69" s="27"/>
      <c r="AO69" s="27"/>
      <c r="AP69" s="27"/>
      <c r="AQ69" s="27"/>
      <c r="AR69" s="27"/>
      <c r="AS69" s="27"/>
      <c r="AT69" s="27" t="s">
        <v>158</v>
      </c>
      <c r="AU69" s="27">
        <f>COUNTIF(AU8:AU63,"B")</f>
        <v>1</v>
      </c>
      <c r="AV69" s="27"/>
      <c r="AW69" s="27"/>
      <c r="AX69" s="27"/>
      <c r="AY69" s="27"/>
      <c r="AZ69" s="27"/>
      <c r="BA69" s="27"/>
      <c r="BB69" s="27"/>
      <c r="BC69" s="27" t="s">
        <v>158</v>
      </c>
      <c r="BD69" s="27">
        <f>COUNTIF(BD8:BD63,"B")</f>
        <v>2</v>
      </c>
      <c r="BE69" s="27"/>
      <c r="BF69" s="27"/>
      <c r="BG69" s="27"/>
      <c r="BH69" s="27"/>
      <c r="BI69" s="27"/>
      <c r="BJ69" s="27"/>
      <c r="BK69" s="27"/>
      <c r="BL69" s="27" t="s">
        <v>158</v>
      </c>
      <c r="BM69" s="27">
        <f>COUNTIF(BM8:BM63,"B")</f>
        <v>2</v>
      </c>
      <c r="BN69" s="27"/>
      <c r="BO69" s="27"/>
      <c r="BP69" s="27"/>
      <c r="BQ69" s="27"/>
      <c r="BR69" s="27"/>
      <c r="BS69" s="27"/>
      <c r="BT69" s="27"/>
      <c r="BU69" s="27" t="s">
        <v>158</v>
      </c>
      <c r="BV69" s="27">
        <f>COUNTIF(BV8:BV63,"B")</f>
        <v>0</v>
      </c>
      <c r="BW69" s="27"/>
      <c r="BX69" s="27"/>
      <c r="BY69" s="27"/>
      <c r="BZ69" s="27"/>
      <c r="CA69" s="27" t="s">
        <v>158</v>
      </c>
      <c r="CB69" s="28">
        <f>COUNTIF(CB8:CB63,"B")</f>
        <v>0</v>
      </c>
      <c r="CC69" s="27"/>
      <c r="CD69" s="27"/>
      <c r="CE69" s="28"/>
      <c r="CF69" s="28"/>
      <c r="CG69" s="27"/>
      <c r="CH69" s="27" t="s">
        <v>159</v>
      </c>
      <c r="CI69" s="27">
        <f>COUNTIF(CI8:CI63,"F")</f>
        <v>3</v>
      </c>
    </row>
    <row r="70" spans="3:87" ht="15.75" customHeight="1" x14ac:dyDescent="0.3">
      <c r="C70" s="1" t="s">
        <v>149</v>
      </c>
      <c r="D70" s="1"/>
      <c r="E70" s="28"/>
      <c r="F70" s="28"/>
      <c r="G70" s="28"/>
      <c r="H70" s="28"/>
      <c r="I70" s="28"/>
      <c r="J70" s="27" t="s">
        <v>160</v>
      </c>
      <c r="K70" s="27">
        <f>COUNTIF(K8:K63,"C")</f>
        <v>3</v>
      </c>
      <c r="L70" s="27"/>
      <c r="M70" s="27"/>
      <c r="N70" s="28"/>
      <c r="O70" s="28"/>
      <c r="P70" s="28"/>
      <c r="Q70" s="28"/>
      <c r="R70" s="28"/>
      <c r="S70" s="27" t="s">
        <v>160</v>
      </c>
      <c r="T70" s="27">
        <f>COUNTIF(T8:T63,"C")</f>
        <v>1</v>
      </c>
      <c r="U70" s="27"/>
      <c r="V70" s="27"/>
      <c r="W70" s="27"/>
      <c r="X70" s="27"/>
      <c r="Y70" s="27"/>
      <c r="Z70" s="27"/>
      <c r="AA70" s="27"/>
      <c r="AB70" s="27" t="s">
        <v>160</v>
      </c>
      <c r="AC70" s="27">
        <f>COUNTIF(AC8:AC63,"C")</f>
        <v>1</v>
      </c>
      <c r="AD70" s="27"/>
      <c r="AE70" s="27"/>
      <c r="AF70" s="27"/>
      <c r="AG70" s="27"/>
      <c r="AH70" s="27"/>
      <c r="AI70" s="27"/>
      <c r="AJ70" s="27"/>
      <c r="AK70" s="27" t="s">
        <v>160</v>
      </c>
      <c r="AL70" s="27">
        <f>COUNTIF(AL8:AL63,"C")</f>
        <v>0</v>
      </c>
      <c r="AM70" s="27"/>
      <c r="AN70" s="27"/>
      <c r="AO70" s="27"/>
      <c r="AP70" s="27"/>
      <c r="AQ70" s="27"/>
      <c r="AR70" s="27"/>
      <c r="AS70" s="27"/>
      <c r="AT70" s="27" t="s">
        <v>160</v>
      </c>
      <c r="AU70" s="27">
        <f>COUNTIF(AU8:AU63,"C")</f>
        <v>0</v>
      </c>
      <c r="AV70" s="27"/>
      <c r="AW70" s="27"/>
      <c r="AX70" s="27"/>
      <c r="AY70" s="27"/>
      <c r="AZ70" s="27"/>
      <c r="BA70" s="27"/>
      <c r="BB70" s="27"/>
      <c r="BC70" s="27" t="s">
        <v>160</v>
      </c>
      <c r="BD70" s="27">
        <f>COUNTIF(BD8:BD63,"C")</f>
        <v>0</v>
      </c>
      <c r="BE70" s="27"/>
      <c r="BF70" s="27"/>
      <c r="BG70" s="27"/>
      <c r="BH70" s="27"/>
      <c r="BI70" s="27"/>
      <c r="BJ70" s="27"/>
      <c r="BK70" s="27"/>
      <c r="BL70" s="27" t="s">
        <v>160</v>
      </c>
      <c r="BM70" s="27">
        <f>COUNTIF(BM8:BM63,"C")</f>
        <v>3</v>
      </c>
      <c r="BN70" s="27"/>
      <c r="BO70" s="27"/>
      <c r="BP70" s="27"/>
      <c r="BQ70" s="27"/>
      <c r="BR70" s="27"/>
      <c r="BS70" s="27"/>
      <c r="BT70" s="27"/>
      <c r="BU70" s="27" t="s">
        <v>160</v>
      </c>
      <c r="BV70" s="27">
        <f>COUNTIF(BV8:BV63,"C")</f>
        <v>0</v>
      </c>
      <c r="BW70" s="27"/>
      <c r="BX70" s="27"/>
      <c r="BY70" s="27"/>
      <c r="BZ70" s="27"/>
      <c r="CA70" s="27" t="s">
        <v>160</v>
      </c>
      <c r="CB70" s="28">
        <f>COUNTIF(CB8:CB63,"C")</f>
        <v>0</v>
      </c>
      <c r="CC70" s="27"/>
      <c r="CD70" s="27"/>
      <c r="CE70" s="28"/>
      <c r="CF70" s="28"/>
      <c r="CG70" s="27"/>
      <c r="CH70" s="27"/>
      <c r="CI70" s="27"/>
    </row>
    <row r="71" spans="3:87" ht="15.75" customHeight="1" x14ac:dyDescent="0.3">
      <c r="C71" s="1" t="s">
        <v>149</v>
      </c>
      <c r="D71" s="1"/>
      <c r="E71" s="28"/>
      <c r="F71" s="28"/>
      <c r="G71" s="28"/>
      <c r="H71" s="28"/>
      <c r="I71" s="28"/>
      <c r="J71" s="27" t="s">
        <v>161</v>
      </c>
      <c r="K71" s="27">
        <f>COUNTIF(K8:K63,"P")</f>
        <v>2</v>
      </c>
      <c r="L71" s="27"/>
      <c r="M71" s="27"/>
      <c r="N71" s="28"/>
      <c r="O71" s="28"/>
      <c r="P71" s="28"/>
      <c r="Q71" s="28"/>
      <c r="R71" s="28"/>
      <c r="S71" s="27" t="s">
        <v>161</v>
      </c>
      <c r="T71" s="27">
        <f>COUNTIF(T8:T63,"P")</f>
        <v>0</v>
      </c>
      <c r="U71" s="27"/>
      <c r="V71" s="27"/>
      <c r="W71" s="27"/>
      <c r="X71" s="27"/>
      <c r="Y71" s="27"/>
      <c r="Z71" s="27"/>
      <c r="AA71" s="27"/>
      <c r="AB71" s="27" t="s">
        <v>161</v>
      </c>
      <c r="AC71" s="27">
        <f>COUNTIF(AC8:AC63,"P")</f>
        <v>1</v>
      </c>
      <c r="AD71" s="27"/>
      <c r="AE71" s="27"/>
      <c r="AF71" s="27"/>
      <c r="AG71" s="27"/>
      <c r="AH71" s="27"/>
      <c r="AI71" s="27"/>
      <c r="AJ71" s="27"/>
      <c r="AK71" s="27" t="s">
        <v>161</v>
      </c>
      <c r="AL71" s="27">
        <f>COUNTIF(AL8:AL63,"P")</f>
        <v>0</v>
      </c>
      <c r="AM71" s="27"/>
      <c r="AN71" s="27"/>
      <c r="AO71" s="27"/>
      <c r="AP71" s="27"/>
      <c r="AQ71" s="27"/>
      <c r="AR71" s="27"/>
      <c r="AS71" s="27"/>
      <c r="AT71" s="27" t="s">
        <v>161</v>
      </c>
      <c r="AU71" s="27">
        <f>COUNTIF(AU8:AU63,"P")</f>
        <v>0</v>
      </c>
      <c r="AV71" s="27"/>
      <c r="AW71" s="27"/>
      <c r="AX71" s="27"/>
      <c r="AY71" s="27"/>
      <c r="AZ71" s="27"/>
      <c r="BA71" s="27"/>
      <c r="BB71" s="27"/>
      <c r="BC71" s="27" t="s">
        <v>161</v>
      </c>
      <c r="BD71" s="27">
        <f>COUNTIF(BD8:BD63,"P")</f>
        <v>0</v>
      </c>
      <c r="BE71" s="27"/>
      <c r="BF71" s="27"/>
      <c r="BG71" s="27"/>
      <c r="BH71" s="27"/>
      <c r="BI71" s="27"/>
      <c r="BJ71" s="27"/>
      <c r="BK71" s="27"/>
      <c r="BL71" s="27" t="s">
        <v>161</v>
      </c>
      <c r="BM71" s="27">
        <f>COUNTIF(BM8:BM63,"P")</f>
        <v>4</v>
      </c>
      <c r="BN71" s="27"/>
      <c r="BO71" s="27"/>
      <c r="BP71" s="27"/>
      <c r="BQ71" s="27"/>
      <c r="BR71" s="27"/>
      <c r="BS71" s="27"/>
      <c r="BT71" s="27"/>
      <c r="BU71" s="27" t="s">
        <v>161</v>
      </c>
      <c r="BV71" s="27">
        <f>COUNTIF(BV8:BV63,"P")</f>
        <v>0</v>
      </c>
      <c r="BW71" s="27"/>
      <c r="BX71" s="27"/>
      <c r="BY71" s="27"/>
      <c r="BZ71" s="27"/>
      <c r="CA71" s="27" t="s">
        <v>161</v>
      </c>
      <c r="CB71" s="28">
        <f>COUNTIF(CB8:CB63,"P")</f>
        <v>0</v>
      </c>
      <c r="CC71" s="27"/>
      <c r="CD71" s="27"/>
      <c r="CE71" s="28"/>
      <c r="CF71" s="28"/>
      <c r="CG71" s="27"/>
      <c r="CH71" s="27"/>
      <c r="CI71" s="27"/>
    </row>
    <row r="72" spans="3:87" ht="15.75" customHeight="1" x14ac:dyDescent="0.3">
      <c r="C72" s="1" t="s">
        <v>149</v>
      </c>
      <c r="D72" s="1"/>
      <c r="E72" s="28"/>
      <c r="F72" s="28"/>
      <c r="G72" s="28"/>
      <c r="H72" s="28"/>
      <c r="I72" s="28"/>
      <c r="J72" s="27" t="s">
        <v>40</v>
      </c>
      <c r="K72" s="27">
        <f>COUNTIF(K8:K63,"F")</f>
        <v>2</v>
      </c>
      <c r="L72" s="27"/>
      <c r="M72" s="27"/>
      <c r="N72" s="28"/>
      <c r="O72" s="28"/>
      <c r="P72" s="28"/>
      <c r="Q72" s="28"/>
      <c r="R72" s="28"/>
      <c r="S72" s="27" t="s">
        <v>40</v>
      </c>
      <c r="T72" s="27">
        <f>COUNTIF(T8:T63,"F")</f>
        <v>2</v>
      </c>
      <c r="U72" s="27"/>
      <c r="V72" s="27"/>
      <c r="W72" s="27"/>
      <c r="X72" s="27"/>
      <c r="Y72" s="27"/>
      <c r="Z72" s="27"/>
      <c r="AA72" s="27"/>
      <c r="AB72" s="27" t="s">
        <v>40</v>
      </c>
      <c r="AC72" s="27">
        <f>COUNTIF(AC8:AC63,"F")</f>
        <v>2</v>
      </c>
      <c r="AD72" s="27"/>
      <c r="AE72" s="27"/>
      <c r="AF72" s="27"/>
      <c r="AG72" s="27"/>
      <c r="AH72" s="27"/>
      <c r="AI72" s="27"/>
      <c r="AJ72" s="27"/>
      <c r="AK72" s="27" t="s">
        <v>40</v>
      </c>
      <c r="AL72" s="27">
        <f>COUNTIF(AL8:AL63,"F")</f>
        <v>2</v>
      </c>
      <c r="AM72" s="27"/>
      <c r="AN72" s="27"/>
      <c r="AO72" s="27"/>
      <c r="AP72" s="27"/>
      <c r="AQ72" s="27"/>
      <c r="AR72" s="27"/>
      <c r="AS72" s="27"/>
      <c r="AT72" s="27" t="s">
        <v>40</v>
      </c>
      <c r="AU72" s="27">
        <f>COUNTIF(AU8:AU63,"F")</f>
        <v>2</v>
      </c>
      <c r="AV72" s="27"/>
      <c r="AW72" s="27"/>
      <c r="AX72" s="27"/>
      <c r="AY72" s="27"/>
      <c r="AZ72" s="27"/>
      <c r="BA72" s="27"/>
      <c r="BB72" s="27"/>
      <c r="BC72" s="27" t="s">
        <v>40</v>
      </c>
      <c r="BD72" s="27">
        <f>COUNTIF(BD8:BD63,"F")</f>
        <v>2</v>
      </c>
      <c r="BE72" s="27"/>
      <c r="BF72" s="27"/>
      <c r="BG72" s="27"/>
      <c r="BH72" s="27"/>
      <c r="BI72" s="27"/>
      <c r="BJ72" s="27"/>
      <c r="BK72" s="27"/>
      <c r="BL72" s="27" t="s">
        <v>40</v>
      </c>
      <c r="BM72" s="27">
        <f>COUNTIF(BM8:BM63,"F")</f>
        <v>2</v>
      </c>
      <c r="BN72" s="27"/>
      <c r="BO72" s="27"/>
      <c r="BP72" s="27"/>
      <c r="BQ72" s="27"/>
      <c r="BR72" s="27"/>
      <c r="BS72" s="27"/>
      <c r="BT72" s="27"/>
      <c r="BU72" s="27" t="s">
        <v>40</v>
      </c>
      <c r="BV72" s="27">
        <f>COUNTIF(BV8:BV63,"F")</f>
        <v>2</v>
      </c>
      <c r="BW72" s="27"/>
      <c r="BX72" s="27"/>
      <c r="BY72" s="27"/>
      <c r="BZ72" s="27"/>
      <c r="CA72" s="27" t="s">
        <v>40</v>
      </c>
      <c r="CB72" s="28">
        <f>COUNTIF(CB8:CB63,"F")</f>
        <v>2</v>
      </c>
      <c r="CC72" s="27"/>
      <c r="CD72" s="27"/>
      <c r="CE72" s="28"/>
      <c r="CF72" s="28"/>
      <c r="CG72" s="27"/>
      <c r="CH72" s="27"/>
      <c r="CI72" s="27"/>
    </row>
    <row r="73" spans="3:87" ht="15.75" customHeight="1" x14ac:dyDescent="0.3">
      <c r="C73" s="1" t="s">
        <v>149</v>
      </c>
      <c r="D73" s="1"/>
      <c r="E73" s="28"/>
      <c r="F73" s="28"/>
      <c r="G73" s="28"/>
      <c r="H73" s="28"/>
      <c r="I73" s="28"/>
      <c r="J73" s="27" t="s">
        <v>162</v>
      </c>
      <c r="K73" s="27">
        <f>COUNTIF(K8:K63,"AB")</f>
        <v>0</v>
      </c>
      <c r="L73" s="27"/>
      <c r="M73" s="27"/>
      <c r="N73" s="28"/>
      <c r="O73" s="28"/>
      <c r="P73" s="28"/>
      <c r="Q73" s="28"/>
      <c r="R73" s="28"/>
      <c r="S73" s="27" t="s">
        <v>162</v>
      </c>
      <c r="T73" s="27">
        <f>COUNTIF(T8:T63,"AB")</f>
        <v>0</v>
      </c>
      <c r="U73" s="27"/>
      <c r="V73" s="27"/>
      <c r="W73" s="27"/>
      <c r="X73" s="27"/>
      <c r="Y73" s="27"/>
      <c r="Z73" s="27"/>
      <c r="AA73" s="27"/>
      <c r="AB73" s="27" t="s">
        <v>162</v>
      </c>
      <c r="AC73" s="27">
        <f>COUNTIF(AC8:AC63,"AB")</f>
        <v>0</v>
      </c>
      <c r="AD73" s="27"/>
      <c r="AE73" s="27"/>
      <c r="AF73" s="27"/>
      <c r="AG73" s="27"/>
      <c r="AH73" s="27"/>
      <c r="AI73" s="27"/>
      <c r="AJ73" s="27"/>
      <c r="AK73" s="27" t="s">
        <v>162</v>
      </c>
      <c r="AL73" s="27">
        <f>COUNTIF(AL8:AL63,"AB")</f>
        <v>0</v>
      </c>
      <c r="AM73" s="27"/>
      <c r="AN73" s="27"/>
      <c r="AO73" s="27"/>
      <c r="AP73" s="27"/>
      <c r="AQ73" s="27"/>
      <c r="AR73" s="27"/>
      <c r="AS73" s="27"/>
      <c r="AT73" s="27" t="s">
        <v>162</v>
      </c>
      <c r="AU73" s="27">
        <f>COUNTIF(AU8:AU63,"AB")</f>
        <v>0</v>
      </c>
      <c r="AV73" s="27"/>
      <c r="AW73" s="27"/>
      <c r="AX73" s="27"/>
      <c r="AY73" s="27"/>
      <c r="AZ73" s="27"/>
      <c r="BA73" s="27"/>
      <c r="BB73" s="27"/>
      <c r="BC73" s="27" t="s">
        <v>162</v>
      </c>
      <c r="BD73" s="27">
        <f>COUNTIF(BD8:BD63,"AB")</f>
        <v>0</v>
      </c>
      <c r="BE73" s="27"/>
      <c r="BF73" s="27"/>
      <c r="BG73" s="27"/>
      <c r="BH73" s="27"/>
      <c r="BI73" s="27"/>
      <c r="BJ73" s="27"/>
      <c r="BK73" s="27"/>
      <c r="BL73" s="27" t="s">
        <v>162</v>
      </c>
      <c r="BM73" s="27">
        <f>COUNTIF(BM8:BM63,"AB")</f>
        <v>0</v>
      </c>
      <c r="BN73" s="27"/>
      <c r="BO73" s="27"/>
      <c r="BP73" s="27"/>
      <c r="BQ73" s="27"/>
      <c r="BR73" s="27"/>
      <c r="BS73" s="27"/>
      <c r="BT73" s="27"/>
      <c r="BU73" s="27" t="s">
        <v>162</v>
      </c>
      <c r="BV73" s="27">
        <f>COUNTIF(BV8:BV63,"AB")</f>
        <v>0</v>
      </c>
      <c r="BW73" s="27"/>
      <c r="BX73" s="27"/>
      <c r="BY73" s="27"/>
      <c r="BZ73" s="27"/>
      <c r="CA73" s="27" t="s">
        <v>162</v>
      </c>
      <c r="CB73" s="28">
        <f>COUNTIF(CB8:CB63,"AB")</f>
        <v>0</v>
      </c>
      <c r="CC73" s="27"/>
      <c r="CD73" s="27"/>
      <c r="CE73" s="28"/>
      <c r="CF73" s="28"/>
      <c r="CG73" s="27"/>
      <c r="CH73" s="27"/>
      <c r="CI73" s="27"/>
    </row>
    <row r="74" spans="3:87" ht="15.75" customHeight="1" x14ac:dyDescent="0.3">
      <c r="D74" s="1"/>
      <c r="E74" s="28"/>
      <c r="F74" s="28"/>
      <c r="G74" s="28"/>
      <c r="H74" s="28"/>
      <c r="I74" s="28"/>
      <c r="J74" s="27"/>
      <c r="K74" s="27"/>
      <c r="L74" s="27"/>
      <c r="M74" s="27"/>
      <c r="N74" s="28"/>
      <c r="O74" s="28"/>
      <c r="P74" s="28"/>
      <c r="Q74" s="28"/>
      <c r="R74" s="28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8"/>
      <c r="CC74" s="27"/>
      <c r="CD74" s="27"/>
      <c r="CE74" s="28"/>
      <c r="CF74" s="28"/>
      <c r="CG74" s="27"/>
      <c r="CH74" s="27"/>
      <c r="CI74" s="27"/>
    </row>
    <row r="75" spans="3:87" ht="15.75" customHeight="1" x14ac:dyDescent="0.3">
      <c r="C75" s="1" t="s">
        <v>163</v>
      </c>
      <c r="D75" s="1"/>
      <c r="E75" s="28"/>
      <c r="F75" s="28"/>
      <c r="G75" s="28"/>
      <c r="H75" s="28"/>
      <c r="I75" s="28"/>
      <c r="J75" s="28"/>
      <c r="K75" s="27">
        <v>56</v>
      </c>
      <c r="L75" s="27"/>
      <c r="M75" s="27"/>
      <c r="N75" s="28"/>
      <c r="O75" s="28"/>
      <c r="P75" s="28"/>
      <c r="Q75" s="28"/>
      <c r="R75" s="28"/>
      <c r="S75" s="28"/>
      <c r="T75" s="27">
        <v>56</v>
      </c>
      <c r="U75" s="27"/>
      <c r="V75" s="27"/>
      <c r="W75" s="27"/>
      <c r="X75" s="27"/>
      <c r="Y75" s="27"/>
      <c r="Z75" s="27"/>
      <c r="AA75" s="27"/>
      <c r="AB75" s="28"/>
      <c r="AC75" s="27">
        <v>56</v>
      </c>
      <c r="AD75" s="27"/>
      <c r="AE75" s="27"/>
      <c r="AF75" s="27"/>
      <c r="AG75" s="27"/>
      <c r="AH75" s="27"/>
      <c r="AI75" s="27"/>
      <c r="AJ75" s="27"/>
      <c r="AK75" s="28"/>
      <c r="AL75" s="27">
        <v>56</v>
      </c>
      <c r="AM75" s="27"/>
      <c r="AN75" s="27"/>
      <c r="AO75" s="27"/>
      <c r="AP75" s="27"/>
      <c r="AQ75" s="27"/>
      <c r="AR75" s="27"/>
      <c r="AS75" s="27"/>
      <c r="AT75" s="28"/>
      <c r="AU75" s="27">
        <v>56</v>
      </c>
      <c r="AV75" s="27"/>
      <c r="AW75" s="27"/>
      <c r="AX75" s="27"/>
      <c r="AY75" s="27"/>
      <c r="AZ75" s="27"/>
      <c r="BA75" s="27"/>
      <c r="BB75" s="27"/>
      <c r="BC75" s="28"/>
      <c r="BD75" s="27">
        <v>56</v>
      </c>
      <c r="BE75" s="27"/>
      <c r="BF75" s="27"/>
      <c r="BG75" s="27"/>
      <c r="BH75" s="27"/>
      <c r="BI75" s="27"/>
      <c r="BJ75" s="27"/>
      <c r="BK75" s="27"/>
      <c r="BL75" s="28"/>
      <c r="BM75" s="27">
        <v>56</v>
      </c>
      <c r="BN75" s="27"/>
      <c r="BO75" s="27"/>
      <c r="BP75" s="27"/>
      <c r="BQ75" s="27"/>
      <c r="BR75" s="27"/>
      <c r="BS75" s="27"/>
      <c r="BT75" s="27"/>
      <c r="BU75" s="28"/>
      <c r="BV75" s="27">
        <v>56</v>
      </c>
      <c r="BW75" s="27"/>
      <c r="BX75" s="27"/>
      <c r="BY75" s="27"/>
      <c r="BZ75" s="27"/>
      <c r="CA75" s="27"/>
      <c r="CB75" s="28">
        <v>56</v>
      </c>
      <c r="CC75" s="27"/>
      <c r="CD75" s="27"/>
      <c r="CE75" s="28"/>
      <c r="CF75" s="28"/>
      <c r="CG75" s="27"/>
      <c r="CH75" s="27"/>
      <c r="CI75" s="27"/>
    </row>
    <row r="76" spans="3:87" ht="15.75" customHeight="1" x14ac:dyDescent="0.3">
      <c r="C76" s="1" t="s">
        <v>164</v>
      </c>
      <c r="D76" s="1"/>
      <c r="E76" s="28"/>
      <c r="F76" s="28"/>
      <c r="G76" s="28"/>
      <c r="H76" s="28"/>
      <c r="I76" s="28"/>
      <c r="J76" s="28"/>
      <c r="K76" s="27">
        <f>K75-K72</f>
        <v>54</v>
      </c>
      <c r="L76" s="27"/>
      <c r="M76" s="27"/>
      <c r="N76" s="27"/>
      <c r="O76" s="27"/>
      <c r="P76" s="27"/>
      <c r="Q76" s="27"/>
      <c r="R76" s="27"/>
      <c r="S76" s="27"/>
      <c r="T76" s="27">
        <f>T75-T72</f>
        <v>54</v>
      </c>
      <c r="U76" s="27"/>
      <c r="V76" s="27"/>
      <c r="W76" s="27"/>
      <c r="X76" s="27"/>
      <c r="Y76" s="27"/>
      <c r="Z76" s="27"/>
      <c r="AA76" s="27"/>
      <c r="AB76" s="27"/>
      <c r="AC76" s="27">
        <f>AC75-AC72</f>
        <v>54</v>
      </c>
      <c r="AD76" s="27"/>
      <c r="AE76" s="27"/>
      <c r="AF76" s="27"/>
      <c r="AG76" s="27"/>
      <c r="AH76" s="27"/>
      <c r="AI76" s="27"/>
      <c r="AJ76" s="27"/>
      <c r="AK76" s="27"/>
      <c r="AL76" s="27">
        <f>AL75-AL72</f>
        <v>54</v>
      </c>
      <c r="AM76" s="27"/>
      <c r="AN76" s="27"/>
      <c r="AO76" s="27"/>
      <c r="AP76" s="27"/>
      <c r="AQ76" s="27"/>
      <c r="AR76" s="27"/>
      <c r="AS76" s="27"/>
      <c r="AT76" s="27"/>
      <c r="AU76" s="27">
        <f>AU75-AU72</f>
        <v>54</v>
      </c>
      <c r="AV76" s="27"/>
      <c r="AW76" s="27"/>
      <c r="AX76" s="27"/>
      <c r="AY76" s="27"/>
      <c r="AZ76" s="27"/>
      <c r="BA76" s="27"/>
      <c r="BB76" s="27"/>
      <c r="BC76" s="27"/>
      <c r="BD76" s="27">
        <f>BD75-BD72</f>
        <v>54</v>
      </c>
      <c r="BE76" s="27"/>
      <c r="BF76" s="27"/>
      <c r="BG76" s="27"/>
      <c r="BH76" s="27"/>
      <c r="BI76" s="27"/>
      <c r="BJ76" s="27"/>
      <c r="BK76" s="27"/>
      <c r="BL76" s="27"/>
      <c r="BM76" s="27">
        <f>BM75-BM72</f>
        <v>54</v>
      </c>
      <c r="BN76" s="27"/>
      <c r="BO76" s="27"/>
      <c r="BP76" s="27"/>
      <c r="BQ76" s="27"/>
      <c r="BR76" s="27"/>
      <c r="BS76" s="27"/>
      <c r="BT76" s="27"/>
      <c r="BU76" s="27"/>
      <c r="BV76" s="27">
        <f>BV75-BV72</f>
        <v>54</v>
      </c>
      <c r="BW76" s="27"/>
      <c r="BX76" s="27"/>
      <c r="BY76" s="27"/>
      <c r="BZ76" s="27"/>
      <c r="CA76" s="27"/>
      <c r="CB76" s="28">
        <f>CB75-CB72</f>
        <v>54</v>
      </c>
      <c r="CC76" s="27"/>
      <c r="CD76" s="27"/>
      <c r="CE76" s="28"/>
      <c r="CF76" s="28"/>
      <c r="CG76" s="27"/>
      <c r="CH76" s="27"/>
      <c r="CI76" s="27"/>
    </row>
    <row r="77" spans="3:87" ht="15.75" customHeight="1" x14ac:dyDescent="0.3">
      <c r="D77" s="1"/>
      <c r="E77" s="28"/>
      <c r="F77" s="28"/>
      <c r="G77" s="28"/>
      <c r="H77" s="28"/>
      <c r="I77" s="28"/>
      <c r="J77" s="28"/>
      <c r="K77" s="27"/>
      <c r="L77" s="27"/>
      <c r="M77" s="27"/>
      <c r="N77" s="28"/>
      <c r="O77" s="28"/>
      <c r="P77" s="28"/>
      <c r="Q77" s="28"/>
      <c r="R77" s="28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8"/>
      <c r="CC77" s="27"/>
      <c r="CD77" s="27"/>
      <c r="CE77" s="28"/>
      <c r="CF77" s="28"/>
      <c r="CG77" s="27"/>
      <c r="CH77" s="27"/>
      <c r="CI77" s="27"/>
    </row>
    <row r="78" spans="3:87" ht="15.75" customHeight="1" x14ac:dyDescent="0.3">
      <c r="D78" s="1"/>
      <c r="E78" s="28"/>
      <c r="F78" s="28"/>
      <c r="G78" s="28"/>
      <c r="H78" s="28"/>
      <c r="I78" s="28"/>
      <c r="J78" s="28"/>
      <c r="K78" s="27"/>
      <c r="L78" s="27"/>
      <c r="M78" s="27"/>
      <c r="N78" s="28"/>
      <c r="O78" s="28"/>
      <c r="P78" s="28"/>
      <c r="Q78" s="28"/>
      <c r="R78" s="28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1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8"/>
      <c r="CC78" s="27"/>
      <c r="CD78" s="27"/>
      <c r="CE78" s="28"/>
      <c r="CF78" s="28"/>
      <c r="CG78" s="27"/>
      <c r="CH78" s="27"/>
      <c r="CI78" s="27"/>
    </row>
    <row r="79" spans="3:87" ht="15.75" customHeight="1" x14ac:dyDescent="0.3">
      <c r="D79" s="1"/>
      <c r="E79" s="28"/>
      <c r="F79" s="28"/>
      <c r="G79" s="28"/>
      <c r="H79" s="28"/>
      <c r="I79" s="28"/>
      <c r="J79" s="28"/>
      <c r="K79" s="27"/>
      <c r="L79" s="27"/>
      <c r="M79" s="27"/>
      <c r="N79" s="28"/>
      <c r="O79" s="28"/>
      <c r="P79" s="28"/>
      <c r="Q79" s="28"/>
      <c r="R79" s="28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1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8"/>
      <c r="CC79" s="27"/>
      <c r="CD79" s="27"/>
      <c r="CE79" s="28"/>
      <c r="CF79" s="28"/>
      <c r="CG79" s="27"/>
      <c r="CH79" s="27"/>
      <c r="CI79" s="27"/>
    </row>
    <row r="80" spans="3:87" ht="15.75" customHeight="1" x14ac:dyDescent="0.25">
      <c r="D80" s="1"/>
      <c r="AM80" s="21"/>
    </row>
    <row r="81" spans="4:84" ht="15.75" customHeight="1" x14ac:dyDescent="0.25">
      <c r="D81" s="1"/>
      <c r="AM81" s="21"/>
    </row>
    <row r="82" spans="4:84" ht="15.75" customHeight="1" x14ac:dyDescent="0.25">
      <c r="D82" s="1"/>
      <c r="AM82" s="21"/>
    </row>
    <row r="83" spans="4:84" ht="15.75" customHeight="1" x14ac:dyDescent="0.25">
      <c r="D83" s="1"/>
      <c r="AM83" s="21"/>
    </row>
    <row r="84" spans="4:84" ht="13.8" x14ac:dyDescent="0.25">
      <c r="D84" s="1"/>
    </row>
    <row r="85" spans="4:84" ht="13.8" x14ac:dyDescent="0.25">
      <c r="D85" s="1"/>
      <c r="E85" s="1"/>
      <c r="F85" s="1"/>
      <c r="G85" s="1"/>
      <c r="H85" s="1"/>
      <c r="I85" s="1"/>
      <c r="J85" s="1"/>
      <c r="N85" s="1"/>
      <c r="O85" s="1"/>
      <c r="P85" s="1"/>
      <c r="Q85" s="1"/>
      <c r="R85" s="1"/>
    </row>
    <row r="86" spans="4:84" ht="13.8" x14ac:dyDescent="0.25">
      <c r="D86" s="1"/>
      <c r="E86" s="1"/>
      <c r="F86" s="1"/>
      <c r="G86" s="1"/>
      <c r="H86" s="1"/>
      <c r="I86" s="1"/>
      <c r="J86" s="1"/>
      <c r="N86" s="1"/>
      <c r="O86" s="1"/>
      <c r="P86" s="1"/>
      <c r="Q86" s="1"/>
      <c r="R86" s="1"/>
    </row>
    <row r="87" spans="4:84" ht="13.8" x14ac:dyDescent="0.25">
      <c r="D87" s="1"/>
      <c r="E87" s="1"/>
      <c r="F87" s="1"/>
      <c r="G87" s="1"/>
      <c r="H87" s="1"/>
      <c r="I87" s="1"/>
      <c r="J87" s="1"/>
      <c r="N87" s="1"/>
      <c r="O87" s="1"/>
      <c r="P87" s="1"/>
      <c r="Q87" s="1"/>
      <c r="R87" s="1"/>
    </row>
    <row r="88" spans="4:84" ht="13.8" x14ac:dyDescent="0.25">
      <c r="D88" s="1"/>
      <c r="E88" s="1"/>
      <c r="F88" s="1"/>
      <c r="G88" s="1"/>
      <c r="H88" s="1"/>
      <c r="I88" s="1"/>
      <c r="J88" s="1"/>
      <c r="N88" s="1"/>
      <c r="O88" s="1"/>
      <c r="P88" s="1"/>
      <c r="Q88" s="1"/>
      <c r="R88" s="1"/>
    </row>
    <row r="89" spans="4:84" ht="13.8" x14ac:dyDescent="0.25">
      <c r="D89" s="1"/>
      <c r="E89" s="1"/>
      <c r="F89" s="1"/>
      <c r="G89" s="1"/>
      <c r="H89" s="1"/>
      <c r="I89" s="1"/>
      <c r="J89" s="1"/>
      <c r="N89" s="1"/>
      <c r="O89" s="1"/>
      <c r="P89" s="1"/>
      <c r="Q89" s="1"/>
      <c r="R89" s="1"/>
    </row>
    <row r="90" spans="4:84" ht="13.8" x14ac:dyDescent="0.25">
      <c r="D90" s="1"/>
      <c r="E90" s="1"/>
      <c r="F90" s="1"/>
      <c r="G90" s="1"/>
      <c r="H90" s="1"/>
      <c r="I90" s="1"/>
      <c r="J90" s="1"/>
      <c r="N90" s="1"/>
      <c r="O90" s="1"/>
      <c r="P90" s="1"/>
      <c r="Q90" s="1"/>
      <c r="R90" s="1"/>
      <c r="CB90" s="1"/>
      <c r="CE90" s="1"/>
      <c r="CF90" s="1"/>
    </row>
    <row r="91" spans="4:84" ht="13.8" x14ac:dyDescent="0.25">
      <c r="D91" s="1"/>
      <c r="E91" s="1"/>
      <c r="F91" s="1"/>
      <c r="G91" s="1"/>
      <c r="H91" s="1"/>
      <c r="I91" s="1"/>
      <c r="J91" s="1"/>
      <c r="N91" s="1"/>
      <c r="O91" s="1"/>
      <c r="P91" s="1"/>
      <c r="Q91" s="1"/>
      <c r="R91" s="1"/>
      <c r="CB91" s="1"/>
      <c r="CE91" s="1"/>
      <c r="CF91" s="1"/>
    </row>
    <row r="92" spans="4:84" ht="13.8" x14ac:dyDescent="0.25">
      <c r="D92" s="1"/>
      <c r="E92" s="1"/>
      <c r="F92" s="1"/>
      <c r="G92" s="1"/>
      <c r="H92" s="1"/>
      <c r="I92" s="1"/>
      <c r="J92" s="1"/>
      <c r="N92" s="1"/>
      <c r="O92" s="1"/>
      <c r="P92" s="1"/>
      <c r="Q92" s="1"/>
      <c r="R92" s="1"/>
      <c r="CB92" s="1"/>
      <c r="CE92" s="1"/>
      <c r="CF92" s="1"/>
    </row>
    <row r="93" spans="4:84" ht="13.8" x14ac:dyDescent="0.25">
      <c r="D93" s="1"/>
      <c r="E93" s="1"/>
      <c r="F93" s="1"/>
      <c r="G93" s="1"/>
      <c r="H93" s="1"/>
      <c r="I93" s="1"/>
      <c r="J93" s="1"/>
      <c r="N93" s="1"/>
      <c r="O93" s="1"/>
      <c r="P93" s="1"/>
      <c r="Q93" s="1"/>
      <c r="R93" s="1"/>
      <c r="CB93" s="1"/>
      <c r="CE93" s="1"/>
      <c r="CF93" s="1"/>
    </row>
    <row r="94" spans="4:84" ht="13.8" x14ac:dyDescent="0.25">
      <c r="D94" s="22"/>
      <c r="E94" s="1"/>
      <c r="F94" s="1"/>
      <c r="G94" s="1"/>
      <c r="H94" s="1"/>
      <c r="I94" s="1"/>
      <c r="J94" s="1"/>
      <c r="N94" s="1"/>
      <c r="O94" s="1"/>
      <c r="P94" s="1"/>
      <c r="Q94" s="1"/>
      <c r="R94" s="1"/>
      <c r="CB94" s="1"/>
      <c r="CE94" s="1"/>
      <c r="CF94" s="1"/>
    </row>
    <row r="95" spans="4:84" ht="13.8" x14ac:dyDescent="0.25">
      <c r="E95" s="1"/>
      <c r="F95" s="1"/>
      <c r="G95" s="1"/>
      <c r="H95" s="1"/>
      <c r="I95" s="1"/>
      <c r="J95" s="1"/>
      <c r="N95" s="1"/>
      <c r="O95" s="1"/>
      <c r="P95" s="1"/>
      <c r="Q95" s="1"/>
      <c r="R95" s="1"/>
      <c r="CB95" s="1"/>
      <c r="CE95" s="1"/>
      <c r="CF95" s="1"/>
    </row>
    <row r="96" spans="4:84" ht="13.8" x14ac:dyDescent="0.25">
      <c r="E96" s="1"/>
      <c r="F96" s="1"/>
      <c r="G96" s="1"/>
      <c r="H96" s="1"/>
      <c r="I96" s="1"/>
      <c r="J96" s="1"/>
      <c r="N96" s="1"/>
      <c r="O96" s="1"/>
      <c r="P96" s="1"/>
      <c r="Q96" s="1"/>
      <c r="R96" s="1"/>
      <c r="CB96" s="1"/>
      <c r="CE96" s="1"/>
      <c r="CF96" s="1"/>
    </row>
    <row r="97" spans="4:84" ht="13.8" x14ac:dyDescent="0.25">
      <c r="E97" s="1"/>
      <c r="F97" s="1"/>
      <c r="G97" s="1"/>
      <c r="H97" s="1"/>
      <c r="I97" s="1"/>
      <c r="J97" s="1"/>
      <c r="N97" s="1"/>
      <c r="O97" s="1"/>
      <c r="P97" s="1"/>
      <c r="Q97" s="1"/>
      <c r="R97" s="1"/>
      <c r="CB97" s="1"/>
      <c r="CE97" s="1"/>
      <c r="CF97" s="1"/>
    </row>
    <row r="98" spans="4:84" ht="13.8" x14ac:dyDescent="0.25">
      <c r="E98" s="1"/>
      <c r="F98" s="1"/>
      <c r="G98" s="1"/>
      <c r="H98" s="1"/>
      <c r="I98" s="1"/>
      <c r="J98" s="1"/>
      <c r="N98" s="1"/>
      <c r="O98" s="1"/>
      <c r="P98" s="1"/>
      <c r="Q98" s="1"/>
      <c r="R98" s="1"/>
      <c r="CB98" s="1"/>
      <c r="CE98" s="1"/>
      <c r="CF98" s="1"/>
    </row>
    <row r="99" spans="4:84" ht="13.8" x14ac:dyDescent="0.25">
      <c r="E99" s="1"/>
      <c r="F99" s="1"/>
      <c r="G99" s="1"/>
      <c r="H99" s="1"/>
      <c r="I99" s="1"/>
      <c r="J99" s="1"/>
      <c r="N99" s="1"/>
      <c r="O99" s="1"/>
      <c r="P99" s="1"/>
      <c r="Q99" s="1"/>
      <c r="R99" s="1"/>
      <c r="CB99" s="1"/>
      <c r="CE99" s="1"/>
      <c r="CF99" s="1"/>
    </row>
    <row r="100" spans="4:84" ht="13.8" x14ac:dyDescent="0.25">
      <c r="E100" s="1"/>
      <c r="F100" s="1"/>
      <c r="G100" s="1"/>
      <c r="H100" s="1"/>
      <c r="I100" s="1"/>
      <c r="J100" s="1"/>
      <c r="N100" s="1"/>
      <c r="O100" s="1"/>
      <c r="P100" s="1"/>
      <c r="Q100" s="1"/>
      <c r="R100" s="1"/>
      <c r="CB100" s="1"/>
      <c r="CE100" s="1"/>
      <c r="CF100" s="1"/>
    </row>
    <row r="101" spans="4:84" ht="13.8" x14ac:dyDescent="0.25">
      <c r="D101" s="1"/>
      <c r="E101" s="1"/>
      <c r="F101" s="1"/>
      <c r="G101" s="1"/>
      <c r="H101" s="1"/>
      <c r="I101" s="1"/>
      <c r="J101" s="1"/>
      <c r="N101" s="1"/>
      <c r="O101" s="1"/>
      <c r="P101" s="1"/>
      <c r="Q101" s="1"/>
      <c r="R101" s="1"/>
      <c r="CB101" s="1"/>
      <c r="CE101" s="1"/>
      <c r="CF101" s="1"/>
    </row>
    <row r="102" spans="4:84" ht="13.8" x14ac:dyDescent="0.25">
      <c r="D102" s="1"/>
      <c r="E102" s="1"/>
      <c r="F102" s="1"/>
      <c r="G102" s="1"/>
      <c r="H102" s="1"/>
      <c r="I102" s="1"/>
      <c r="J102" s="1"/>
      <c r="N102" s="1"/>
      <c r="O102" s="1"/>
      <c r="P102" s="1"/>
      <c r="Q102" s="1"/>
      <c r="R102" s="1"/>
      <c r="CB102" s="1"/>
      <c r="CE102" s="1"/>
      <c r="CF102" s="1"/>
    </row>
    <row r="103" spans="4:84" ht="13.8" x14ac:dyDescent="0.25">
      <c r="D103" s="1"/>
      <c r="E103" s="1"/>
      <c r="F103" s="1"/>
      <c r="G103" s="1"/>
      <c r="H103" s="1"/>
      <c r="I103" s="1"/>
      <c r="J103" s="1"/>
      <c r="N103" s="1"/>
      <c r="O103" s="1"/>
      <c r="P103" s="1"/>
      <c r="Q103" s="1"/>
      <c r="R103" s="1"/>
      <c r="CB103" s="1"/>
      <c r="CE103" s="1"/>
      <c r="CF103" s="1"/>
    </row>
    <row r="104" spans="4:84" ht="13.8" x14ac:dyDescent="0.25">
      <c r="D104" s="1"/>
      <c r="E104" s="1"/>
      <c r="F104" s="1"/>
      <c r="G104" s="1"/>
      <c r="H104" s="1"/>
      <c r="I104" s="1"/>
      <c r="J104" s="1"/>
      <c r="N104" s="1"/>
      <c r="O104" s="1"/>
      <c r="P104" s="1"/>
      <c r="Q104" s="1"/>
      <c r="R104" s="1"/>
      <c r="CB104" s="1"/>
      <c r="CE104" s="1"/>
      <c r="CF104" s="1"/>
    </row>
    <row r="105" spans="4:84" ht="13.8" x14ac:dyDescent="0.25">
      <c r="D105" s="1"/>
      <c r="E105" s="1"/>
      <c r="F105" s="1"/>
      <c r="G105" s="1"/>
      <c r="H105" s="1"/>
      <c r="I105" s="1"/>
      <c r="J105" s="1"/>
      <c r="N105" s="1"/>
      <c r="O105" s="1"/>
      <c r="P105" s="1"/>
      <c r="Q105" s="1"/>
      <c r="R105" s="1"/>
      <c r="CB105" s="1"/>
      <c r="CE105" s="1"/>
      <c r="CF105" s="1"/>
    </row>
    <row r="106" spans="4:84" ht="13.8" x14ac:dyDescent="0.25">
      <c r="D106" s="1"/>
      <c r="E106" s="1"/>
      <c r="F106" s="1"/>
      <c r="G106" s="1"/>
      <c r="H106" s="1"/>
      <c r="I106" s="1"/>
      <c r="J106" s="1"/>
      <c r="N106" s="1"/>
      <c r="O106" s="1"/>
      <c r="P106" s="1"/>
      <c r="Q106" s="1"/>
      <c r="R106" s="1"/>
      <c r="CB106" s="1"/>
      <c r="CE106" s="1"/>
      <c r="CF106" s="1"/>
    </row>
    <row r="107" spans="4:84" ht="13.8" x14ac:dyDescent="0.25">
      <c r="D107" s="1"/>
      <c r="E107" s="1"/>
      <c r="F107" s="1"/>
      <c r="G107" s="1"/>
      <c r="H107" s="1"/>
      <c r="I107" s="1"/>
      <c r="J107" s="1"/>
      <c r="N107" s="1"/>
      <c r="O107" s="1"/>
      <c r="P107" s="1"/>
      <c r="Q107" s="1"/>
      <c r="R107" s="1"/>
      <c r="CB107" s="1"/>
      <c r="CE107" s="1"/>
      <c r="CF107" s="1"/>
    </row>
    <row r="108" spans="4:84" ht="13.8" x14ac:dyDescent="0.25">
      <c r="D108" s="1"/>
      <c r="E108" s="1"/>
      <c r="F108" s="1"/>
      <c r="G108" s="1"/>
      <c r="H108" s="1"/>
      <c r="I108" s="1"/>
      <c r="J108" s="1"/>
      <c r="N108" s="1"/>
      <c r="O108" s="1"/>
      <c r="P108" s="1"/>
      <c r="Q108" s="1"/>
      <c r="R108" s="1"/>
      <c r="CB108" s="1"/>
      <c r="CE108" s="1"/>
      <c r="CF108" s="1"/>
    </row>
    <row r="109" spans="4:84" ht="13.8" x14ac:dyDescent="0.25">
      <c r="D109" s="1"/>
      <c r="E109" s="1"/>
      <c r="F109" s="1"/>
      <c r="G109" s="1"/>
      <c r="H109" s="1"/>
      <c r="I109" s="1"/>
      <c r="J109" s="1"/>
      <c r="N109" s="1"/>
      <c r="O109" s="1"/>
      <c r="P109" s="1"/>
      <c r="Q109" s="1"/>
      <c r="R109" s="1"/>
      <c r="CB109" s="1"/>
      <c r="CE109" s="1"/>
      <c r="CF109" s="1"/>
    </row>
    <row r="110" spans="4:84" ht="13.8" x14ac:dyDescent="0.25">
      <c r="D110" s="1"/>
      <c r="E110" s="1"/>
      <c r="F110" s="1"/>
      <c r="G110" s="1"/>
      <c r="H110" s="1"/>
      <c r="I110" s="1"/>
      <c r="J110" s="1"/>
      <c r="N110" s="1"/>
      <c r="O110" s="1"/>
      <c r="P110" s="1"/>
      <c r="Q110" s="1"/>
      <c r="R110" s="1"/>
      <c r="CB110" s="1"/>
      <c r="CE110" s="1"/>
      <c r="CF110" s="1"/>
    </row>
    <row r="111" spans="4:84" ht="13.8" x14ac:dyDescent="0.25">
      <c r="D111" s="1"/>
      <c r="E111" s="1"/>
      <c r="F111" s="1"/>
      <c r="G111" s="1"/>
      <c r="H111" s="1"/>
      <c r="I111" s="1"/>
      <c r="J111" s="1"/>
      <c r="N111" s="1"/>
      <c r="O111" s="1"/>
      <c r="P111" s="1"/>
      <c r="Q111" s="1"/>
      <c r="R111" s="1"/>
      <c r="CB111" s="1"/>
      <c r="CE111" s="1"/>
      <c r="CF111" s="1"/>
    </row>
    <row r="112" spans="4:84" ht="13.8" x14ac:dyDescent="0.25">
      <c r="D112" s="1"/>
      <c r="E112" s="1"/>
      <c r="F112" s="1"/>
      <c r="G112" s="1"/>
      <c r="H112" s="1"/>
      <c r="I112" s="1"/>
      <c r="J112" s="1"/>
      <c r="N112" s="1"/>
      <c r="O112" s="1"/>
      <c r="P112" s="1"/>
      <c r="Q112" s="1"/>
      <c r="R112" s="1"/>
      <c r="CB112" s="1"/>
      <c r="CE112" s="1"/>
      <c r="CF112" s="1"/>
    </row>
    <row r="113" s="1" customFormat="1" ht="13.8" x14ac:dyDescent="0.25"/>
    <row r="114" s="1" customFormat="1" ht="13.8" x14ac:dyDescent="0.25"/>
    <row r="115" s="1" customFormat="1" ht="13.8" x14ac:dyDescent="0.25"/>
    <row r="116" s="1" customFormat="1" ht="13.8" x14ac:dyDescent="0.25"/>
    <row r="117" s="1" customFormat="1" ht="13.8" x14ac:dyDescent="0.25"/>
    <row r="118" s="1" customFormat="1" ht="13.8" x14ac:dyDescent="0.25"/>
    <row r="119" s="1" customFormat="1" ht="13.8" x14ac:dyDescent="0.25"/>
    <row r="120" s="1" customFormat="1" ht="13.8" x14ac:dyDescent="0.25"/>
    <row r="121" s="1" customFormat="1" ht="13.8" x14ac:dyDescent="0.25"/>
    <row r="122" s="1" customFormat="1" ht="13.8" x14ac:dyDescent="0.25"/>
    <row r="123" s="1" customFormat="1" ht="13.8" x14ac:dyDescent="0.25"/>
    <row r="124" s="1" customFormat="1" ht="13.8" x14ac:dyDescent="0.25"/>
    <row r="125" s="1" customFormat="1" ht="13.8" x14ac:dyDescent="0.25"/>
    <row r="126" s="1" customFormat="1" ht="13.8" x14ac:dyDescent="0.25"/>
    <row r="127" s="1" customFormat="1" ht="13.8" x14ac:dyDescent="0.25"/>
    <row r="128" s="1" customFormat="1" ht="13.8" x14ac:dyDescent="0.25"/>
    <row r="129" s="1" customFormat="1" ht="13.8" x14ac:dyDescent="0.25"/>
    <row r="130" s="1" customFormat="1" ht="13.8" x14ac:dyDescent="0.25"/>
    <row r="131" s="1" customFormat="1" ht="13.8" x14ac:dyDescent="0.25"/>
    <row r="132" s="1" customFormat="1" ht="13.8" x14ac:dyDescent="0.25"/>
    <row r="133" s="1" customFormat="1" ht="13.8" x14ac:dyDescent="0.25"/>
    <row r="134" s="1" customFormat="1" ht="13.8" x14ac:dyDescent="0.25"/>
    <row r="135" s="1" customFormat="1" ht="13.8" x14ac:dyDescent="0.25"/>
    <row r="136" s="1" customFormat="1" ht="13.8" x14ac:dyDescent="0.25"/>
    <row r="137" s="1" customFormat="1" ht="13.8" x14ac:dyDescent="0.25"/>
    <row r="138" s="1" customFormat="1" ht="13.8" x14ac:dyDescent="0.25"/>
    <row r="139" s="1" customFormat="1" ht="13.8" x14ac:dyDescent="0.25"/>
    <row r="140" s="1" customFormat="1" ht="13.8" x14ac:dyDescent="0.25"/>
    <row r="141" s="1" customFormat="1" ht="13.8" x14ac:dyDescent="0.25"/>
    <row r="142" s="1" customFormat="1" ht="13.8" x14ac:dyDescent="0.25"/>
    <row r="143" s="1" customFormat="1" ht="13.8" x14ac:dyDescent="0.25"/>
    <row r="144" s="1" customFormat="1" ht="13.8" x14ac:dyDescent="0.25"/>
    <row r="145" s="1" customFormat="1" ht="13.8" x14ac:dyDescent="0.25"/>
    <row r="146" s="1" customFormat="1" ht="13.8" x14ac:dyDescent="0.25"/>
    <row r="147" s="1" customFormat="1" ht="13.8" x14ac:dyDescent="0.25"/>
    <row r="148" s="1" customFormat="1" ht="13.8" x14ac:dyDescent="0.25"/>
    <row r="149" s="1" customFormat="1" ht="13.8" x14ac:dyDescent="0.25"/>
    <row r="150" s="1" customFormat="1" ht="13.8" x14ac:dyDescent="0.25"/>
    <row r="151" s="1" customFormat="1" ht="13.8" x14ac:dyDescent="0.25"/>
    <row r="152" s="1" customFormat="1" ht="13.8" x14ac:dyDescent="0.25"/>
    <row r="153" s="1" customFormat="1" ht="13.8" x14ac:dyDescent="0.25"/>
    <row r="154" s="1" customFormat="1" ht="13.8" x14ac:dyDescent="0.25"/>
    <row r="155" s="1" customFormat="1" ht="13.8" x14ac:dyDescent="0.25"/>
    <row r="156" s="1" customFormat="1" ht="13.8" x14ac:dyDescent="0.25"/>
    <row r="157" s="1" customFormat="1" ht="13.8" x14ac:dyDescent="0.25"/>
    <row r="158" s="1" customFormat="1" ht="13.8" x14ac:dyDescent="0.25"/>
    <row r="159" s="1" customFormat="1" ht="13.8" x14ac:dyDescent="0.25"/>
    <row r="160" s="1" customFormat="1" ht="13.8" x14ac:dyDescent="0.25"/>
    <row r="161" s="1" customFormat="1" ht="13.8" x14ac:dyDescent="0.25"/>
    <row r="162" s="1" customFormat="1" ht="13.8" x14ac:dyDescent="0.25"/>
    <row r="163" s="1" customFormat="1" ht="13.8" x14ac:dyDescent="0.25"/>
    <row r="164" s="1" customFormat="1" ht="13.8" x14ac:dyDescent="0.25"/>
    <row r="165" s="1" customFormat="1" ht="13.8" x14ac:dyDescent="0.25"/>
    <row r="166" s="1" customFormat="1" ht="13.8" x14ac:dyDescent="0.25"/>
    <row r="167" s="1" customFormat="1" ht="13.8" x14ac:dyDescent="0.25"/>
    <row r="168" s="1" customFormat="1" ht="13.8" x14ac:dyDescent="0.25"/>
    <row r="169" s="1" customFormat="1" ht="13.8" x14ac:dyDescent="0.25"/>
    <row r="170" s="1" customFormat="1" ht="13.8" x14ac:dyDescent="0.25"/>
    <row r="171" s="1" customFormat="1" ht="13.8" x14ac:dyDescent="0.25"/>
    <row r="172" s="1" customFormat="1" ht="13.8" x14ac:dyDescent="0.25"/>
    <row r="173" s="1" customFormat="1" ht="13.8" x14ac:dyDescent="0.25"/>
    <row r="174" s="1" customFormat="1" ht="13.8" x14ac:dyDescent="0.25"/>
    <row r="175" s="1" customFormat="1" ht="13.8" x14ac:dyDescent="0.25"/>
    <row r="176" s="1" customFormat="1" ht="13.8" x14ac:dyDescent="0.25"/>
    <row r="177" s="1" customFormat="1" ht="13.8" x14ac:dyDescent="0.25"/>
    <row r="178" s="1" customFormat="1" ht="13.8" x14ac:dyDescent="0.25"/>
    <row r="179" s="1" customFormat="1" ht="13.8" x14ac:dyDescent="0.25"/>
    <row r="180" s="1" customFormat="1" ht="13.8" x14ac:dyDescent="0.25"/>
    <row r="181" s="1" customFormat="1" ht="13.8" x14ac:dyDescent="0.25"/>
    <row r="182" s="1" customFormat="1" ht="13.8" x14ac:dyDescent="0.25"/>
    <row r="183" s="1" customFormat="1" ht="13.8" x14ac:dyDescent="0.25"/>
    <row r="184" s="1" customFormat="1" ht="13.8" x14ac:dyDescent="0.25"/>
    <row r="185" s="1" customFormat="1" ht="13.8" x14ac:dyDescent="0.25"/>
    <row r="186" s="1" customFormat="1" ht="13.8" x14ac:dyDescent="0.25"/>
    <row r="187" s="1" customFormat="1" ht="13.8" x14ac:dyDescent="0.25"/>
    <row r="188" s="1" customFormat="1" ht="13.8" x14ac:dyDescent="0.25"/>
    <row r="189" s="1" customFormat="1" ht="13.8" x14ac:dyDescent="0.25"/>
    <row r="190" s="1" customFormat="1" ht="13.8" x14ac:dyDescent="0.25"/>
    <row r="191" s="1" customFormat="1" ht="13.8" x14ac:dyDescent="0.25"/>
    <row r="192" s="1" customFormat="1" ht="13.8" x14ac:dyDescent="0.25"/>
    <row r="193" s="1" customFormat="1" ht="13.8" x14ac:dyDescent="0.25"/>
    <row r="194" s="1" customFormat="1" ht="13.8" x14ac:dyDescent="0.25"/>
    <row r="195" s="1" customFormat="1" ht="13.8" x14ac:dyDescent="0.25"/>
    <row r="196" s="1" customFormat="1" ht="13.8" x14ac:dyDescent="0.25"/>
    <row r="197" s="1" customFormat="1" ht="13.8" x14ac:dyDescent="0.25"/>
    <row r="198" s="1" customFormat="1" ht="13.8" x14ac:dyDescent="0.25"/>
    <row r="199" s="1" customFormat="1" ht="13.8" x14ac:dyDescent="0.25"/>
    <row r="200" s="1" customFormat="1" ht="13.8" x14ac:dyDescent="0.25"/>
    <row r="201" s="1" customFormat="1" ht="13.8" x14ac:dyDescent="0.25"/>
    <row r="202" s="1" customFormat="1" ht="13.8" x14ac:dyDescent="0.25"/>
    <row r="203" s="1" customFormat="1" ht="13.8" x14ac:dyDescent="0.25"/>
    <row r="204" s="1" customFormat="1" ht="13.8" x14ac:dyDescent="0.25"/>
    <row r="205" s="1" customFormat="1" ht="13.8" x14ac:dyDescent="0.25"/>
    <row r="206" s="1" customFormat="1" ht="13.8" x14ac:dyDescent="0.25"/>
    <row r="207" s="1" customFormat="1" ht="13.8" x14ac:dyDescent="0.25"/>
    <row r="208" s="1" customFormat="1" ht="13.8" x14ac:dyDescent="0.25"/>
    <row r="209" s="1" customFormat="1" ht="13.8" x14ac:dyDescent="0.25"/>
    <row r="210" s="1" customFormat="1" ht="13.8" x14ac:dyDescent="0.25"/>
    <row r="211" s="1" customFormat="1" ht="13.8" x14ac:dyDescent="0.25"/>
    <row r="212" s="1" customFormat="1" ht="13.8" x14ac:dyDescent="0.25"/>
    <row r="213" s="1" customFormat="1" ht="13.8" x14ac:dyDescent="0.25"/>
    <row r="214" s="1" customFormat="1" ht="13.8" x14ac:dyDescent="0.25"/>
    <row r="215" s="1" customFormat="1" ht="13.8" x14ac:dyDescent="0.25"/>
    <row r="216" s="1" customFormat="1" ht="13.8" x14ac:dyDescent="0.25"/>
    <row r="217" s="1" customFormat="1" ht="13.8" x14ac:dyDescent="0.25"/>
    <row r="218" s="1" customFormat="1" ht="13.8" x14ac:dyDescent="0.25"/>
    <row r="219" s="1" customFormat="1" ht="13.8" x14ac:dyDescent="0.25"/>
    <row r="220" s="1" customFormat="1" ht="13.8" x14ac:dyDescent="0.25"/>
    <row r="221" s="1" customFormat="1" ht="13.8" x14ac:dyDescent="0.25"/>
    <row r="222" s="1" customFormat="1" ht="13.8" x14ac:dyDescent="0.25"/>
    <row r="223" s="1" customFormat="1" ht="13.8" x14ac:dyDescent="0.25"/>
    <row r="224" s="1" customFormat="1" ht="13.8" x14ac:dyDescent="0.25"/>
    <row r="225" s="1" customFormat="1" ht="13.8" x14ac:dyDescent="0.25"/>
    <row r="226" s="1" customFormat="1" ht="13.8" x14ac:dyDescent="0.25"/>
    <row r="227" s="1" customFormat="1" ht="13.8" x14ac:dyDescent="0.25"/>
    <row r="228" s="1" customFormat="1" ht="13.8" x14ac:dyDescent="0.25"/>
    <row r="229" s="1" customFormat="1" ht="13.8" x14ac:dyDescent="0.25"/>
    <row r="230" s="1" customFormat="1" ht="13.8" x14ac:dyDescent="0.25"/>
    <row r="231" s="1" customFormat="1" ht="13.8" x14ac:dyDescent="0.25"/>
    <row r="232" s="1" customFormat="1" ht="13.8" x14ac:dyDescent="0.25"/>
    <row r="233" s="1" customFormat="1" ht="13.8" x14ac:dyDescent="0.25"/>
    <row r="234" s="1" customFormat="1" ht="13.8" x14ac:dyDescent="0.25"/>
    <row r="235" s="1" customFormat="1" ht="13.8" x14ac:dyDescent="0.25"/>
    <row r="236" s="1" customFormat="1" ht="13.8" x14ac:dyDescent="0.25"/>
    <row r="237" s="1" customFormat="1" ht="13.8" x14ac:dyDescent="0.25"/>
    <row r="238" s="1" customFormat="1" ht="13.8" x14ac:dyDescent="0.25"/>
    <row r="239" s="1" customFormat="1" ht="13.8" x14ac:dyDescent="0.25"/>
    <row r="240" s="1" customFormat="1" ht="13.8" x14ac:dyDescent="0.25"/>
    <row r="241" s="1" customFormat="1" ht="13.8" x14ac:dyDescent="0.25"/>
    <row r="242" s="1" customFormat="1" ht="13.8" x14ac:dyDescent="0.25"/>
    <row r="243" s="1" customFormat="1" ht="13.8" x14ac:dyDescent="0.25"/>
    <row r="244" s="1" customFormat="1" ht="13.8" x14ac:dyDescent="0.25"/>
    <row r="245" s="1" customFormat="1" ht="13.8" x14ac:dyDescent="0.25"/>
    <row r="246" s="1" customFormat="1" ht="13.8" x14ac:dyDescent="0.25"/>
    <row r="247" s="1" customFormat="1" ht="13.8" x14ac:dyDescent="0.25"/>
    <row r="248" s="1" customFormat="1" ht="13.8" x14ac:dyDescent="0.25"/>
    <row r="249" s="1" customFormat="1" ht="13.8" x14ac:dyDescent="0.25"/>
    <row r="250" s="1" customFormat="1" ht="13.8" x14ac:dyDescent="0.25"/>
    <row r="251" s="1" customFormat="1" ht="13.8" x14ac:dyDescent="0.25"/>
    <row r="252" s="1" customFormat="1" ht="13.8" x14ac:dyDescent="0.25"/>
    <row r="253" s="1" customFormat="1" ht="13.8" x14ac:dyDescent="0.25"/>
    <row r="254" s="1" customFormat="1" ht="13.8" x14ac:dyDescent="0.25"/>
    <row r="255" s="1" customFormat="1" ht="13.8" x14ac:dyDescent="0.25"/>
    <row r="256" s="1" customFormat="1" ht="13.8" x14ac:dyDescent="0.25"/>
    <row r="257" s="1" customFormat="1" ht="13.8" x14ac:dyDescent="0.25"/>
    <row r="258" s="1" customFormat="1" ht="13.8" x14ac:dyDescent="0.25"/>
    <row r="259" s="1" customFormat="1" ht="13.8" x14ac:dyDescent="0.25"/>
    <row r="260" s="1" customFormat="1" ht="13.8" x14ac:dyDescent="0.25"/>
    <row r="261" s="1" customFormat="1" ht="13.8" x14ac:dyDescent="0.25"/>
    <row r="262" s="1" customFormat="1" ht="13.8" x14ac:dyDescent="0.25"/>
    <row r="263" s="1" customFormat="1" ht="13.8" x14ac:dyDescent="0.25"/>
    <row r="264" s="1" customFormat="1" ht="13.8" x14ac:dyDescent="0.25"/>
    <row r="265" s="1" customFormat="1" ht="13.8" x14ac:dyDescent="0.25"/>
    <row r="266" s="1" customFormat="1" ht="13.8" x14ac:dyDescent="0.25"/>
    <row r="267" s="1" customFormat="1" ht="13.8" x14ac:dyDescent="0.25"/>
    <row r="268" s="1" customFormat="1" ht="13.8" x14ac:dyDescent="0.25"/>
    <row r="269" s="1" customFormat="1" ht="13.8" x14ac:dyDescent="0.25"/>
    <row r="270" s="1" customFormat="1" ht="13.8" x14ac:dyDescent="0.25"/>
    <row r="271" s="1" customFormat="1" ht="13.8" x14ac:dyDescent="0.25"/>
    <row r="272" s="1" customFormat="1" ht="13.8" x14ac:dyDescent="0.25"/>
    <row r="273" s="1" customFormat="1" ht="13.8" x14ac:dyDescent="0.25"/>
    <row r="274" s="1" customFormat="1" ht="13.8" x14ac:dyDescent="0.25"/>
    <row r="275" s="1" customFormat="1" ht="13.8" x14ac:dyDescent="0.25"/>
    <row r="276" s="1" customFormat="1" ht="13.8" x14ac:dyDescent="0.25"/>
    <row r="277" s="1" customFormat="1" ht="13.8" x14ac:dyDescent="0.25"/>
    <row r="278" s="1" customFormat="1" ht="13.8" x14ac:dyDescent="0.25"/>
    <row r="279" s="1" customFormat="1" ht="13.8" x14ac:dyDescent="0.25"/>
    <row r="280" s="1" customFormat="1" ht="13.8" x14ac:dyDescent="0.25"/>
    <row r="281" s="1" customFormat="1" ht="13.8" x14ac:dyDescent="0.25"/>
    <row r="282" s="1" customFormat="1" ht="13.8" x14ac:dyDescent="0.25"/>
    <row r="283" s="1" customFormat="1" ht="13.8" x14ac:dyDescent="0.25"/>
    <row r="284" s="1" customFormat="1" ht="13.8" x14ac:dyDescent="0.25"/>
    <row r="285" s="1" customFormat="1" ht="13.8" x14ac:dyDescent="0.25"/>
    <row r="286" s="1" customFormat="1" ht="13.8" x14ac:dyDescent="0.25"/>
    <row r="287" s="1" customFormat="1" ht="13.8" x14ac:dyDescent="0.25"/>
    <row r="288" s="1" customFormat="1" ht="13.8" x14ac:dyDescent="0.25"/>
    <row r="289" s="1" customFormat="1" ht="13.8" x14ac:dyDescent="0.25"/>
    <row r="290" s="1" customFormat="1" ht="13.8" x14ac:dyDescent="0.25"/>
    <row r="291" s="1" customFormat="1" ht="13.8" x14ac:dyDescent="0.25"/>
    <row r="292" s="1" customFormat="1" ht="13.8" x14ac:dyDescent="0.25"/>
    <row r="293" s="1" customFormat="1" ht="13.8" x14ac:dyDescent="0.25"/>
    <row r="294" s="1" customFormat="1" ht="13.8" x14ac:dyDescent="0.25"/>
    <row r="295" s="1" customFormat="1" ht="13.8" x14ac:dyDescent="0.25"/>
    <row r="296" s="1" customFormat="1" ht="13.8" x14ac:dyDescent="0.25"/>
    <row r="297" s="1" customFormat="1" ht="13.8" x14ac:dyDescent="0.25"/>
    <row r="298" s="1" customFormat="1" ht="13.8" x14ac:dyDescent="0.25"/>
    <row r="299" s="1" customFormat="1" ht="13.8" x14ac:dyDescent="0.25"/>
    <row r="300" s="1" customFormat="1" ht="13.8" x14ac:dyDescent="0.25"/>
    <row r="301" s="1" customFormat="1" ht="13.8" x14ac:dyDescent="0.25"/>
    <row r="302" s="1" customFormat="1" ht="13.8" x14ac:dyDescent="0.25"/>
    <row r="303" s="1" customFormat="1" ht="13.8" x14ac:dyDescent="0.25"/>
    <row r="304" s="1" customFormat="1" ht="13.8" x14ac:dyDescent="0.25"/>
    <row r="305" s="1" customFormat="1" ht="13.8" x14ac:dyDescent="0.25"/>
    <row r="306" s="1" customFormat="1" ht="13.8" x14ac:dyDescent="0.25"/>
    <row r="307" s="1" customFormat="1" ht="13.8" x14ac:dyDescent="0.25"/>
    <row r="308" s="1" customFormat="1" ht="13.8" x14ac:dyDescent="0.25"/>
    <row r="309" s="1" customFormat="1" ht="13.8" x14ac:dyDescent="0.25"/>
    <row r="310" s="1" customFormat="1" ht="13.8" x14ac:dyDescent="0.25"/>
    <row r="311" s="1" customFormat="1" ht="13.8" x14ac:dyDescent="0.25"/>
    <row r="312" s="1" customFormat="1" ht="13.8" x14ac:dyDescent="0.25"/>
    <row r="313" s="1" customFormat="1" ht="13.8" x14ac:dyDescent="0.25"/>
    <row r="314" s="1" customFormat="1" ht="13.8" x14ac:dyDescent="0.25"/>
    <row r="315" s="1" customFormat="1" ht="13.8" x14ac:dyDescent="0.25"/>
    <row r="316" s="1" customFormat="1" ht="13.8" x14ac:dyDescent="0.25"/>
    <row r="317" s="1" customFormat="1" ht="13.8" x14ac:dyDescent="0.25"/>
    <row r="318" s="1" customFormat="1" ht="13.8" x14ac:dyDescent="0.25"/>
    <row r="319" s="1" customFormat="1" ht="13.8" x14ac:dyDescent="0.25"/>
    <row r="320" s="1" customFormat="1" ht="13.8" x14ac:dyDescent="0.25"/>
    <row r="321" s="1" customFormat="1" ht="13.8" x14ac:dyDescent="0.25"/>
    <row r="322" s="1" customFormat="1" ht="13.8" x14ac:dyDescent="0.25"/>
    <row r="323" s="1" customFormat="1" ht="13.8" x14ac:dyDescent="0.25"/>
    <row r="324" s="1" customFormat="1" ht="13.8" x14ac:dyDescent="0.25"/>
    <row r="325" s="1" customFormat="1" ht="13.8" x14ac:dyDescent="0.25"/>
    <row r="326" s="1" customFormat="1" ht="13.8" x14ac:dyDescent="0.25"/>
    <row r="327" s="1" customFormat="1" ht="13.8" x14ac:dyDescent="0.25"/>
    <row r="328" s="1" customFormat="1" ht="13.8" x14ac:dyDescent="0.25"/>
    <row r="329" s="1" customFormat="1" ht="13.8" x14ac:dyDescent="0.25"/>
    <row r="330" s="1" customFormat="1" ht="13.8" x14ac:dyDescent="0.25"/>
    <row r="331" s="1" customFormat="1" ht="13.8" x14ac:dyDescent="0.25"/>
    <row r="332" s="1" customFormat="1" ht="13.8" x14ac:dyDescent="0.25"/>
    <row r="333" s="1" customFormat="1" ht="13.8" x14ac:dyDescent="0.25"/>
    <row r="334" s="1" customFormat="1" ht="13.8" x14ac:dyDescent="0.25"/>
    <row r="335" s="1" customFormat="1" ht="13.8" x14ac:dyDescent="0.25"/>
    <row r="336" s="1" customFormat="1" ht="13.8" x14ac:dyDescent="0.25"/>
    <row r="337" s="1" customFormat="1" ht="13.8" x14ac:dyDescent="0.25"/>
    <row r="338" s="1" customFormat="1" ht="13.8" x14ac:dyDescent="0.25"/>
    <row r="339" s="1" customFormat="1" ht="13.8" x14ac:dyDescent="0.25"/>
    <row r="340" s="1" customFormat="1" ht="13.8" x14ac:dyDescent="0.25"/>
    <row r="341" s="1" customFormat="1" ht="13.8" x14ac:dyDescent="0.25"/>
    <row r="342" s="1" customFormat="1" ht="13.8" x14ac:dyDescent="0.25"/>
    <row r="343" s="1" customFormat="1" ht="13.8" x14ac:dyDescent="0.25"/>
    <row r="344" s="1" customFormat="1" ht="13.8" x14ac:dyDescent="0.25"/>
    <row r="345" s="1" customFormat="1" ht="13.8" x14ac:dyDescent="0.25"/>
    <row r="346" s="1" customFormat="1" ht="13.8" x14ac:dyDescent="0.25"/>
    <row r="347" s="1" customFormat="1" ht="13.8" x14ac:dyDescent="0.25"/>
    <row r="348" s="1" customFormat="1" ht="13.8" x14ac:dyDescent="0.25"/>
    <row r="349" s="1" customFormat="1" ht="13.8" x14ac:dyDescent="0.25"/>
    <row r="350" s="1" customFormat="1" ht="13.8" x14ac:dyDescent="0.25"/>
    <row r="351" s="1" customFormat="1" ht="13.8" x14ac:dyDescent="0.25"/>
    <row r="352" s="1" customFormat="1" ht="13.8" x14ac:dyDescent="0.25"/>
    <row r="353" s="1" customFormat="1" ht="13.8" x14ac:dyDescent="0.25"/>
    <row r="354" s="1" customFormat="1" ht="13.8" x14ac:dyDescent="0.25"/>
    <row r="355" s="1" customFormat="1" ht="13.8" x14ac:dyDescent="0.25"/>
    <row r="356" s="1" customFormat="1" ht="13.8" x14ac:dyDescent="0.25"/>
    <row r="357" s="1" customFormat="1" ht="13.8" x14ac:dyDescent="0.25"/>
    <row r="358" s="1" customFormat="1" ht="13.8" x14ac:dyDescent="0.25"/>
    <row r="359" s="1" customFormat="1" ht="13.8" x14ac:dyDescent="0.25"/>
    <row r="360" s="1" customFormat="1" ht="13.8" x14ac:dyDescent="0.25"/>
    <row r="361" s="1" customFormat="1" ht="13.8" x14ac:dyDescent="0.25"/>
    <row r="362" s="1" customFormat="1" ht="13.8" x14ac:dyDescent="0.25"/>
    <row r="363" s="1" customFormat="1" ht="13.8" x14ac:dyDescent="0.25"/>
    <row r="364" s="1" customFormat="1" ht="13.8" x14ac:dyDescent="0.25"/>
    <row r="365" s="1" customFormat="1" ht="13.8" x14ac:dyDescent="0.25"/>
    <row r="366" s="1" customFormat="1" ht="13.8" x14ac:dyDescent="0.25"/>
    <row r="367" s="1" customFormat="1" ht="13.8" x14ac:dyDescent="0.25"/>
    <row r="368" s="1" customFormat="1" ht="13.8" x14ac:dyDescent="0.25"/>
    <row r="369" s="1" customFormat="1" ht="13.8" x14ac:dyDescent="0.25"/>
    <row r="370" s="1" customFormat="1" ht="13.8" x14ac:dyDescent="0.25"/>
    <row r="371" s="1" customFormat="1" ht="13.8" x14ac:dyDescent="0.25"/>
    <row r="372" s="1" customFormat="1" ht="13.8" x14ac:dyDescent="0.25"/>
    <row r="373" s="1" customFormat="1" ht="13.8" x14ac:dyDescent="0.25"/>
    <row r="374" s="1" customFormat="1" ht="13.8" x14ac:dyDescent="0.25"/>
    <row r="375" s="1" customFormat="1" ht="13.8" x14ac:dyDescent="0.25"/>
    <row r="376" s="1" customFormat="1" ht="13.8" x14ac:dyDescent="0.25"/>
    <row r="377" s="1" customFormat="1" ht="13.8" x14ac:dyDescent="0.25"/>
    <row r="378" s="1" customFormat="1" ht="13.8" x14ac:dyDescent="0.25"/>
    <row r="379" s="1" customFormat="1" ht="13.8" x14ac:dyDescent="0.25"/>
    <row r="380" s="1" customFormat="1" ht="13.8" x14ac:dyDescent="0.25"/>
    <row r="381" s="1" customFormat="1" ht="13.8" x14ac:dyDescent="0.25"/>
    <row r="382" s="1" customFormat="1" ht="13.8" x14ac:dyDescent="0.25"/>
    <row r="383" s="1" customFormat="1" ht="13.8" x14ac:dyDescent="0.25"/>
    <row r="384" s="1" customFormat="1" ht="13.8" x14ac:dyDescent="0.25"/>
    <row r="385" s="1" customFormat="1" ht="13.8" x14ac:dyDescent="0.25"/>
    <row r="386" s="1" customFormat="1" ht="13.8" x14ac:dyDescent="0.25"/>
    <row r="387" s="1" customFormat="1" ht="13.8" x14ac:dyDescent="0.25"/>
    <row r="388" s="1" customFormat="1" ht="13.8" x14ac:dyDescent="0.25"/>
    <row r="389" s="1" customFormat="1" ht="13.8" x14ac:dyDescent="0.25"/>
    <row r="390" s="1" customFormat="1" ht="13.8" x14ac:dyDescent="0.25"/>
    <row r="391" s="1" customFormat="1" ht="13.8" x14ac:dyDescent="0.25"/>
    <row r="392" s="1" customFormat="1" ht="13.8" x14ac:dyDescent="0.25"/>
    <row r="393" s="1" customFormat="1" ht="13.8" x14ac:dyDescent="0.25"/>
    <row r="394" s="1" customFormat="1" ht="13.8" x14ac:dyDescent="0.25"/>
    <row r="395" s="1" customFormat="1" ht="13.8" x14ac:dyDescent="0.25"/>
    <row r="396" s="1" customFormat="1" ht="13.8" x14ac:dyDescent="0.25"/>
    <row r="397" s="1" customFormat="1" ht="13.8" x14ac:dyDescent="0.25"/>
    <row r="398" s="1" customFormat="1" ht="13.8" x14ac:dyDescent="0.25"/>
    <row r="399" s="1" customFormat="1" ht="13.8" x14ac:dyDescent="0.25"/>
    <row r="400" s="1" customFormat="1" ht="13.8" x14ac:dyDescent="0.25"/>
    <row r="401" s="1" customFormat="1" ht="13.8" x14ac:dyDescent="0.25"/>
    <row r="402" s="1" customFormat="1" ht="13.8" x14ac:dyDescent="0.25"/>
    <row r="403" s="1" customFormat="1" ht="13.8" x14ac:dyDescent="0.25"/>
    <row r="404" s="1" customFormat="1" ht="13.8" x14ac:dyDescent="0.25"/>
    <row r="405" s="1" customFormat="1" ht="13.8" x14ac:dyDescent="0.25"/>
    <row r="406" s="1" customFormat="1" ht="13.8" x14ac:dyDescent="0.25"/>
    <row r="407" s="1" customFormat="1" ht="13.8" x14ac:dyDescent="0.25"/>
    <row r="408" s="1" customFormat="1" ht="13.8" x14ac:dyDescent="0.25"/>
    <row r="409" s="1" customFormat="1" ht="13.8" x14ac:dyDescent="0.25"/>
    <row r="410" s="1" customFormat="1" ht="13.8" x14ac:dyDescent="0.25"/>
    <row r="411" s="1" customFormat="1" ht="13.8" x14ac:dyDescent="0.25"/>
    <row r="412" s="1" customFormat="1" ht="13.8" x14ac:dyDescent="0.25"/>
    <row r="413" s="1" customFormat="1" ht="13.8" x14ac:dyDescent="0.25"/>
    <row r="414" s="1" customFormat="1" ht="13.8" x14ac:dyDescent="0.25"/>
    <row r="415" s="1" customFormat="1" ht="13.8" x14ac:dyDescent="0.25"/>
    <row r="416" s="1" customFormat="1" ht="13.8" x14ac:dyDescent="0.25"/>
    <row r="417" s="1" customFormat="1" ht="13.8" x14ac:dyDescent="0.25"/>
    <row r="418" s="1" customFormat="1" ht="13.8" x14ac:dyDescent="0.25"/>
    <row r="419" s="1" customFormat="1" ht="13.8" x14ac:dyDescent="0.25"/>
    <row r="420" s="1" customFormat="1" ht="13.8" x14ac:dyDescent="0.25"/>
    <row r="421" s="1" customFormat="1" ht="13.8" x14ac:dyDescent="0.25"/>
    <row r="422" s="1" customFormat="1" ht="13.8" x14ac:dyDescent="0.25"/>
    <row r="423" s="1" customFormat="1" ht="13.8" x14ac:dyDescent="0.25"/>
    <row r="424" s="1" customFormat="1" ht="13.8" x14ac:dyDescent="0.25"/>
    <row r="425" s="1" customFormat="1" ht="13.8" x14ac:dyDescent="0.25"/>
    <row r="426" s="1" customFormat="1" ht="13.8" x14ac:dyDescent="0.25"/>
    <row r="427" s="1" customFormat="1" ht="13.8" x14ac:dyDescent="0.25"/>
    <row r="428" s="1" customFormat="1" ht="13.8" x14ac:dyDescent="0.25"/>
    <row r="429" s="1" customFormat="1" ht="13.8" x14ac:dyDescent="0.25"/>
    <row r="430" s="1" customFormat="1" ht="13.8" x14ac:dyDescent="0.25"/>
    <row r="431" s="1" customFormat="1" ht="13.8" x14ac:dyDescent="0.25"/>
    <row r="432" s="1" customFormat="1" ht="13.8" x14ac:dyDescent="0.25"/>
    <row r="433" s="1" customFormat="1" ht="13.8" x14ac:dyDescent="0.25"/>
    <row r="434" s="1" customFormat="1" ht="13.8" x14ac:dyDescent="0.25"/>
    <row r="435" s="1" customFormat="1" ht="13.8" x14ac:dyDescent="0.25"/>
    <row r="436" s="1" customFormat="1" ht="13.8" x14ac:dyDescent="0.25"/>
    <row r="437" s="1" customFormat="1" ht="13.8" x14ac:dyDescent="0.25"/>
    <row r="438" s="1" customFormat="1" ht="13.8" x14ac:dyDescent="0.25"/>
    <row r="439" s="1" customFormat="1" ht="13.8" x14ac:dyDescent="0.25"/>
    <row r="440" s="1" customFormat="1" ht="13.8" x14ac:dyDescent="0.25"/>
    <row r="441" s="1" customFormat="1" ht="13.8" x14ac:dyDescent="0.25"/>
    <row r="442" s="1" customFormat="1" ht="13.8" x14ac:dyDescent="0.25"/>
    <row r="443" s="1" customFormat="1" ht="13.8" x14ac:dyDescent="0.25"/>
    <row r="444" s="1" customFormat="1" ht="13.8" x14ac:dyDescent="0.25"/>
    <row r="445" s="1" customFormat="1" ht="13.8" x14ac:dyDescent="0.25"/>
    <row r="446" s="1" customFormat="1" ht="13.8" x14ac:dyDescent="0.25"/>
    <row r="447" s="1" customFormat="1" ht="13.8" x14ac:dyDescent="0.25"/>
    <row r="448" s="1" customFormat="1" ht="13.8" x14ac:dyDescent="0.25"/>
    <row r="449" s="1" customFormat="1" ht="13.8" x14ac:dyDescent="0.25"/>
    <row r="450" s="1" customFormat="1" ht="13.8" x14ac:dyDescent="0.25"/>
    <row r="451" s="1" customFormat="1" ht="13.8" x14ac:dyDescent="0.25"/>
    <row r="452" s="1" customFormat="1" ht="13.8" x14ac:dyDescent="0.25"/>
    <row r="453" s="1" customFormat="1" ht="13.8" x14ac:dyDescent="0.25"/>
    <row r="454" s="1" customFormat="1" ht="13.8" x14ac:dyDescent="0.25"/>
    <row r="455" s="1" customFormat="1" ht="13.8" x14ac:dyDescent="0.25"/>
    <row r="456" s="1" customFormat="1" ht="13.8" x14ac:dyDescent="0.25"/>
    <row r="457" s="1" customFormat="1" ht="13.8" x14ac:dyDescent="0.25"/>
    <row r="458" s="1" customFormat="1" ht="13.8" x14ac:dyDescent="0.25"/>
    <row r="459" s="1" customFormat="1" ht="13.8" x14ac:dyDescent="0.25"/>
    <row r="460" s="1" customFormat="1" ht="13.8" x14ac:dyDescent="0.25"/>
    <row r="461" s="1" customFormat="1" ht="13.8" x14ac:dyDescent="0.25"/>
    <row r="462" s="1" customFormat="1" ht="13.8" x14ac:dyDescent="0.25"/>
    <row r="463" s="1" customFormat="1" ht="13.8" x14ac:dyDescent="0.25"/>
    <row r="464" s="1" customFormat="1" ht="13.8" x14ac:dyDescent="0.25"/>
    <row r="465" s="1" customFormat="1" ht="13.8" x14ac:dyDescent="0.25"/>
    <row r="466" s="1" customFormat="1" ht="13.8" x14ac:dyDescent="0.25"/>
    <row r="467" s="1" customFormat="1" ht="13.8" x14ac:dyDescent="0.25"/>
    <row r="468" s="1" customFormat="1" ht="13.8" x14ac:dyDescent="0.25"/>
    <row r="469" s="1" customFormat="1" ht="13.8" x14ac:dyDescent="0.25"/>
    <row r="470" s="1" customFormat="1" ht="13.8" x14ac:dyDescent="0.25"/>
    <row r="471" s="1" customFormat="1" ht="13.8" x14ac:dyDescent="0.25"/>
    <row r="472" s="1" customFormat="1" ht="13.8" x14ac:dyDescent="0.25"/>
    <row r="473" s="1" customFormat="1" ht="13.8" x14ac:dyDescent="0.25"/>
    <row r="474" s="1" customFormat="1" ht="13.8" x14ac:dyDescent="0.25"/>
    <row r="475" s="1" customFormat="1" ht="13.8" x14ac:dyDescent="0.25"/>
    <row r="476" s="1" customFormat="1" ht="13.8" x14ac:dyDescent="0.25"/>
    <row r="477" s="1" customFormat="1" ht="13.8" x14ac:dyDescent="0.25"/>
    <row r="478" s="1" customFormat="1" ht="13.8" x14ac:dyDescent="0.25"/>
    <row r="479" s="1" customFormat="1" ht="13.8" x14ac:dyDescent="0.25"/>
    <row r="480" s="1" customFormat="1" ht="13.8" x14ac:dyDescent="0.25"/>
    <row r="481" s="1" customFormat="1" ht="13.8" x14ac:dyDescent="0.25"/>
    <row r="482" s="1" customFormat="1" ht="13.8" x14ac:dyDescent="0.25"/>
    <row r="483" s="1" customFormat="1" ht="13.8" x14ac:dyDescent="0.25"/>
    <row r="484" s="1" customFormat="1" ht="13.8" x14ac:dyDescent="0.25"/>
    <row r="485" s="1" customFormat="1" ht="13.8" x14ac:dyDescent="0.25"/>
    <row r="486" s="1" customFormat="1" ht="13.8" x14ac:dyDescent="0.25"/>
    <row r="487" s="1" customFormat="1" ht="13.8" x14ac:dyDescent="0.25"/>
    <row r="488" s="1" customFormat="1" ht="13.8" x14ac:dyDescent="0.25"/>
    <row r="489" s="1" customFormat="1" ht="13.8" x14ac:dyDescent="0.25"/>
    <row r="490" s="1" customFormat="1" ht="13.8" x14ac:dyDescent="0.25"/>
    <row r="491" s="1" customFormat="1" ht="13.8" x14ac:dyDescent="0.25"/>
    <row r="492" s="1" customFormat="1" ht="13.8" x14ac:dyDescent="0.25"/>
    <row r="493" s="1" customFormat="1" ht="13.8" x14ac:dyDescent="0.25"/>
    <row r="494" s="1" customFormat="1" ht="13.8" x14ac:dyDescent="0.25"/>
    <row r="495" s="1" customFormat="1" ht="13.8" x14ac:dyDescent="0.25"/>
    <row r="496" s="1" customFormat="1" ht="13.8" x14ac:dyDescent="0.25"/>
    <row r="497" s="1" customFormat="1" ht="13.8" x14ac:dyDescent="0.25"/>
    <row r="498" s="1" customFormat="1" ht="13.8" x14ac:dyDescent="0.25"/>
    <row r="499" s="1" customFormat="1" ht="13.8" x14ac:dyDescent="0.25"/>
    <row r="500" s="1" customFormat="1" ht="13.8" x14ac:dyDescent="0.25"/>
    <row r="501" s="1" customFormat="1" ht="13.8" x14ac:dyDescent="0.25"/>
    <row r="502" s="1" customFormat="1" ht="13.8" x14ac:dyDescent="0.25"/>
    <row r="503" s="1" customFormat="1" ht="13.8" x14ac:dyDescent="0.25"/>
    <row r="504" s="1" customFormat="1" ht="13.8" x14ac:dyDescent="0.25"/>
    <row r="505" s="1" customFormat="1" ht="13.8" x14ac:dyDescent="0.25"/>
    <row r="506" s="1" customFormat="1" ht="13.8" x14ac:dyDescent="0.25"/>
    <row r="507" s="1" customFormat="1" ht="13.8" x14ac:dyDescent="0.25"/>
    <row r="508" s="1" customFormat="1" ht="13.8" x14ac:dyDescent="0.25"/>
    <row r="509" s="1" customFormat="1" ht="13.8" x14ac:dyDescent="0.25"/>
    <row r="510" s="1" customFormat="1" ht="13.8" x14ac:dyDescent="0.25"/>
    <row r="511" s="1" customFormat="1" ht="13.8" x14ac:dyDescent="0.25"/>
    <row r="512" s="1" customFormat="1" ht="13.8" x14ac:dyDescent="0.25"/>
    <row r="513" s="1" customFormat="1" ht="13.8" x14ac:dyDescent="0.25"/>
    <row r="514" s="1" customFormat="1" ht="13.8" x14ac:dyDescent="0.25"/>
    <row r="515" s="1" customFormat="1" ht="13.8" x14ac:dyDescent="0.25"/>
    <row r="516" s="1" customFormat="1" ht="13.8" x14ac:dyDescent="0.25"/>
    <row r="517" s="1" customFormat="1" ht="13.8" x14ac:dyDescent="0.25"/>
    <row r="518" s="1" customFormat="1" ht="13.8" x14ac:dyDescent="0.25"/>
    <row r="519" s="1" customFormat="1" ht="13.8" x14ac:dyDescent="0.25"/>
    <row r="520" s="1" customFormat="1" ht="13.8" x14ac:dyDescent="0.25"/>
    <row r="521" s="1" customFormat="1" ht="13.8" x14ac:dyDescent="0.25"/>
    <row r="522" s="1" customFormat="1" ht="13.8" x14ac:dyDescent="0.25"/>
    <row r="523" s="1" customFormat="1" ht="13.8" x14ac:dyDescent="0.25"/>
    <row r="524" s="1" customFormat="1" ht="13.8" x14ac:dyDescent="0.25"/>
    <row r="525" s="1" customFormat="1" ht="13.8" x14ac:dyDescent="0.25"/>
    <row r="526" s="1" customFormat="1" ht="13.8" x14ac:dyDescent="0.25"/>
    <row r="527" s="1" customFormat="1" ht="13.8" x14ac:dyDescent="0.25"/>
    <row r="528" s="1" customFormat="1" ht="13.8" x14ac:dyDescent="0.25"/>
    <row r="529" s="1" customFormat="1" ht="13.8" x14ac:dyDescent="0.25"/>
    <row r="530" s="1" customFormat="1" ht="13.8" x14ac:dyDescent="0.25"/>
    <row r="531" s="1" customFormat="1" ht="13.8" x14ac:dyDescent="0.25"/>
    <row r="532" s="1" customFormat="1" ht="13.8" x14ac:dyDescent="0.25"/>
    <row r="533" s="1" customFormat="1" ht="13.8" x14ac:dyDescent="0.25"/>
    <row r="534" s="1" customFormat="1" ht="13.8" x14ac:dyDescent="0.25"/>
    <row r="535" s="1" customFormat="1" ht="13.8" x14ac:dyDescent="0.25"/>
    <row r="536" s="1" customFormat="1" ht="13.8" x14ac:dyDescent="0.25"/>
    <row r="537" s="1" customFormat="1" ht="13.8" x14ac:dyDescent="0.25"/>
    <row r="538" s="1" customFormat="1" ht="13.8" x14ac:dyDescent="0.25"/>
    <row r="539" s="1" customFormat="1" ht="13.8" x14ac:dyDescent="0.25"/>
    <row r="540" s="1" customFormat="1" ht="13.8" x14ac:dyDescent="0.25"/>
    <row r="541" s="1" customFormat="1" ht="13.8" x14ac:dyDescent="0.25"/>
    <row r="542" s="1" customFormat="1" ht="13.8" x14ac:dyDescent="0.25"/>
    <row r="543" s="1" customFormat="1" ht="13.8" x14ac:dyDescent="0.25"/>
    <row r="544" s="1" customFormat="1" ht="13.8" x14ac:dyDescent="0.25"/>
    <row r="545" s="1" customFormat="1" ht="13.8" x14ac:dyDescent="0.25"/>
    <row r="546" s="1" customFormat="1" ht="13.8" x14ac:dyDescent="0.25"/>
    <row r="547" s="1" customFormat="1" ht="13.8" x14ac:dyDescent="0.25"/>
    <row r="548" s="1" customFormat="1" ht="13.8" x14ac:dyDescent="0.25"/>
    <row r="549" s="1" customFormat="1" ht="13.8" x14ac:dyDescent="0.25"/>
    <row r="550" s="1" customFormat="1" ht="13.8" x14ac:dyDescent="0.25"/>
    <row r="551" s="1" customFormat="1" ht="13.8" x14ac:dyDescent="0.25"/>
    <row r="552" s="1" customFormat="1" ht="13.8" x14ac:dyDescent="0.25"/>
    <row r="553" s="1" customFormat="1" ht="13.8" x14ac:dyDescent="0.25"/>
    <row r="554" s="1" customFormat="1" ht="13.8" x14ac:dyDescent="0.25"/>
    <row r="555" s="1" customFormat="1" ht="13.8" x14ac:dyDescent="0.25"/>
    <row r="556" s="1" customFormat="1" ht="13.8" x14ac:dyDescent="0.25"/>
    <row r="557" s="1" customFormat="1" ht="13.8" x14ac:dyDescent="0.25"/>
    <row r="558" s="1" customFormat="1" ht="13.8" x14ac:dyDescent="0.25"/>
    <row r="559" s="1" customFormat="1" ht="13.8" x14ac:dyDescent="0.25"/>
    <row r="560" s="1" customFormat="1" ht="13.8" x14ac:dyDescent="0.25"/>
    <row r="561" s="1" customFormat="1" ht="13.8" x14ac:dyDescent="0.25"/>
    <row r="562" s="1" customFormat="1" ht="13.8" x14ac:dyDescent="0.25"/>
    <row r="563" s="1" customFormat="1" ht="13.8" x14ac:dyDescent="0.25"/>
    <row r="564" s="1" customFormat="1" ht="13.8" x14ac:dyDescent="0.25"/>
    <row r="565" s="1" customFormat="1" ht="13.8" x14ac:dyDescent="0.25"/>
    <row r="566" s="1" customFormat="1" ht="13.8" x14ac:dyDescent="0.25"/>
    <row r="567" s="1" customFormat="1" ht="13.8" x14ac:dyDescent="0.25"/>
    <row r="568" s="1" customFormat="1" ht="13.8" x14ac:dyDescent="0.25"/>
    <row r="569" s="1" customFormat="1" ht="13.8" x14ac:dyDescent="0.25"/>
    <row r="570" s="1" customFormat="1" ht="13.8" x14ac:dyDescent="0.25"/>
    <row r="571" s="1" customFormat="1" ht="13.8" x14ac:dyDescent="0.25"/>
    <row r="572" s="1" customFormat="1" ht="13.8" x14ac:dyDescent="0.25"/>
    <row r="573" s="1" customFormat="1" ht="13.8" x14ac:dyDescent="0.25"/>
    <row r="574" s="1" customFormat="1" ht="13.8" x14ac:dyDescent="0.25"/>
    <row r="575" s="1" customFormat="1" ht="13.8" x14ac:dyDescent="0.25"/>
    <row r="576" s="1" customFormat="1" ht="13.8" x14ac:dyDescent="0.25"/>
    <row r="577" s="1" customFormat="1" ht="13.8" x14ac:dyDescent="0.25"/>
    <row r="578" s="1" customFormat="1" ht="13.8" x14ac:dyDescent="0.25"/>
    <row r="579" s="1" customFormat="1" ht="13.8" x14ac:dyDescent="0.25"/>
    <row r="580" s="1" customFormat="1" ht="13.8" x14ac:dyDescent="0.25"/>
    <row r="581" s="1" customFormat="1" ht="13.8" x14ac:dyDescent="0.25"/>
    <row r="582" s="1" customFormat="1" ht="13.8" x14ac:dyDescent="0.25"/>
    <row r="583" s="1" customFormat="1" ht="13.8" x14ac:dyDescent="0.25"/>
    <row r="584" s="1" customFormat="1" ht="13.8" x14ac:dyDescent="0.25"/>
    <row r="585" s="1" customFormat="1" ht="13.8" x14ac:dyDescent="0.25"/>
    <row r="586" s="1" customFormat="1" ht="13.8" x14ac:dyDescent="0.25"/>
    <row r="587" s="1" customFormat="1" ht="13.8" x14ac:dyDescent="0.25"/>
    <row r="588" s="1" customFormat="1" ht="13.8" x14ac:dyDescent="0.25"/>
    <row r="589" s="1" customFormat="1" ht="13.8" x14ac:dyDescent="0.25"/>
    <row r="590" s="1" customFormat="1" ht="13.8" x14ac:dyDescent="0.25"/>
    <row r="591" s="1" customFormat="1" ht="13.8" x14ac:dyDescent="0.25"/>
    <row r="592" s="1" customFormat="1" ht="13.8" x14ac:dyDescent="0.25"/>
    <row r="593" s="1" customFormat="1" ht="13.8" x14ac:dyDescent="0.25"/>
    <row r="594" s="1" customFormat="1" ht="13.8" x14ac:dyDescent="0.25"/>
    <row r="595" s="1" customFormat="1" ht="13.8" x14ac:dyDescent="0.25"/>
    <row r="596" s="1" customFormat="1" ht="13.8" x14ac:dyDescent="0.25"/>
    <row r="597" s="1" customFormat="1" ht="13.8" x14ac:dyDescent="0.25"/>
    <row r="598" s="1" customFormat="1" ht="13.8" x14ac:dyDescent="0.25"/>
    <row r="599" s="1" customFormat="1" ht="13.8" x14ac:dyDescent="0.25"/>
    <row r="600" s="1" customFormat="1" ht="13.8" x14ac:dyDescent="0.25"/>
    <row r="601" s="1" customFormat="1" ht="13.8" x14ac:dyDescent="0.25"/>
    <row r="602" s="1" customFormat="1" ht="13.8" x14ac:dyDescent="0.25"/>
    <row r="603" s="1" customFormat="1" ht="13.8" x14ac:dyDescent="0.25"/>
    <row r="604" s="1" customFormat="1" ht="13.8" x14ac:dyDescent="0.25"/>
    <row r="605" s="1" customFormat="1" ht="13.8" x14ac:dyDescent="0.25"/>
    <row r="606" s="1" customFormat="1" ht="13.8" x14ac:dyDescent="0.25"/>
    <row r="607" s="1" customFormat="1" ht="13.8" x14ac:dyDescent="0.25"/>
    <row r="608" s="1" customFormat="1" ht="13.8" x14ac:dyDescent="0.25"/>
    <row r="609" s="1" customFormat="1" ht="13.8" x14ac:dyDescent="0.25"/>
    <row r="610" s="1" customFormat="1" ht="13.8" x14ac:dyDescent="0.25"/>
    <row r="611" s="1" customFormat="1" ht="13.8" x14ac:dyDescent="0.25"/>
    <row r="612" s="1" customFormat="1" ht="13.8" x14ac:dyDescent="0.25"/>
    <row r="613" s="1" customFormat="1" ht="13.8" x14ac:dyDescent="0.25"/>
    <row r="614" s="1" customFormat="1" ht="13.8" x14ac:dyDescent="0.25"/>
    <row r="615" s="1" customFormat="1" ht="13.8" x14ac:dyDescent="0.25"/>
    <row r="616" s="1" customFormat="1" ht="13.8" x14ac:dyDescent="0.25"/>
    <row r="617" s="1" customFormat="1" ht="13.8" x14ac:dyDescent="0.25"/>
    <row r="618" s="1" customFormat="1" ht="13.8" x14ac:dyDescent="0.25"/>
    <row r="619" s="1" customFormat="1" ht="13.8" x14ac:dyDescent="0.25"/>
    <row r="620" s="1" customFormat="1" ht="13.8" x14ac:dyDescent="0.25"/>
    <row r="621" s="1" customFormat="1" ht="13.8" x14ac:dyDescent="0.25"/>
    <row r="622" s="1" customFormat="1" ht="13.8" x14ac:dyDescent="0.25"/>
    <row r="623" s="1" customFormat="1" ht="13.8" x14ac:dyDescent="0.25"/>
    <row r="624" s="1" customFormat="1" ht="13.8" x14ac:dyDescent="0.25"/>
    <row r="625" s="1" customFormat="1" ht="13.8" x14ac:dyDescent="0.25"/>
    <row r="626" s="1" customFormat="1" ht="13.8" x14ac:dyDescent="0.25"/>
    <row r="627" s="1" customFormat="1" ht="13.8" x14ac:dyDescent="0.25"/>
    <row r="628" s="1" customFormat="1" ht="13.8" x14ac:dyDescent="0.25"/>
    <row r="629" s="1" customFormat="1" ht="13.8" x14ac:dyDescent="0.25"/>
    <row r="630" s="1" customFormat="1" ht="13.8" x14ac:dyDescent="0.25"/>
    <row r="631" s="1" customFormat="1" ht="13.8" x14ac:dyDescent="0.25"/>
    <row r="632" s="1" customFormat="1" ht="13.8" x14ac:dyDescent="0.25"/>
    <row r="633" s="1" customFormat="1" ht="13.8" x14ac:dyDescent="0.25"/>
    <row r="634" s="1" customFormat="1" ht="13.8" x14ac:dyDescent="0.25"/>
    <row r="635" s="1" customFormat="1" ht="13.8" x14ac:dyDescent="0.25"/>
    <row r="636" s="1" customFormat="1" ht="13.8" x14ac:dyDescent="0.25"/>
    <row r="637" s="1" customFormat="1" ht="13.8" x14ac:dyDescent="0.25"/>
    <row r="638" s="1" customFormat="1" ht="13.8" x14ac:dyDescent="0.25"/>
    <row r="639" s="1" customFormat="1" ht="13.8" x14ac:dyDescent="0.25"/>
    <row r="640" s="1" customFormat="1" ht="13.8" x14ac:dyDescent="0.25"/>
    <row r="641" s="1" customFormat="1" ht="13.8" x14ac:dyDescent="0.25"/>
    <row r="642" s="1" customFormat="1" ht="13.8" x14ac:dyDescent="0.25"/>
    <row r="643" s="1" customFormat="1" ht="13.8" x14ac:dyDescent="0.25"/>
    <row r="644" s="1" customFormat="1" ht="13.8" x14ac:dyDescent="0.25"/>
    <row r="645" s="1" customFormat="1" ht="13.8" x14ac:dyDescent="0.25"/>
    <row r="646" s="1" customFormat="1" ht="13.8" x14ac:dyDescent="0.25"/>
    <row r="647" s="1" customFormat="1" ht="13.8" x14ac:dyDescent="0.25"/>
    <row r="648" s="1" customFormat="1" ht="13.8" x14ac:dyDescent="0.25"/>
    <row r="649" s="1" customFormat="1" ht="13.8" x14ac:dyDescent="0.25"/>
    <row r="650" s="1" customFormat="1" ht="13.8" x14ac:dyDescent="0.25"/>
    <row r="651" s="1" customFormat="1" ht="13.8" x14ac:dyDescent="0.25"/>
    <row r="652" s="1" customFormat="1" ht="13.8" x14ac:dyDescent="0.25"/>
    <row r="653" s="1" customFormat="1" ht="13.8" x14ac:dyDescent="0.25"/>
    <row r="654" s="1" customFormat="1" ht="13.8" x14ac:dyDescent="0.25"/>
    <row r="655" s="1" customFormat="1" ht="13.8" x14ac:dyDescent="0.25"/>
    <row r="656" s="1" customFormat="1" ht="13.8" x14ac:dyDescent="0.25"/>
    <row r="657" s="1" customFormat="1" ht="13.8" x14ac:dyDescent="0.25"/>
    <row r="658" s="1" customFormat="1" ht="13.8" x14ac:dyDescent="0.25"/>
    <row r="659" s="1" customFormat="1" ht="13.8" x14ac:dyDescent="0.25"/>
    <row r="660" s="1" customFormat="1" ht="13.8" x14ac:dyDescent="0.25"/>
    <row r="661" s="1" customFormat="1" ht="13.8" x14ac:dyDescent="0.25"/>
    <row r="662" s="1" customFormat="1" ht="13.8" x14ac:dyDescent="0.25"/>
    <row r="663" s="1" customFormat="1" ht="13.8" x14ac:dyDescent="0.25"/>
    <row r="664" s="1" customFormat="1" ht="13.8" x14ac:dyDescent="0.25"/>
    <row r="665" s="1" customFormat="1" ht="13.8" x14ac:dyDescent="0.25"/>
    <row r="666" s="1" customFormat="1" ht="13.8" x14ac:dyDescent="0.25"/>
    <row r="667" s="1" customFormat="1" ht="13.8" x14ac:dyDescent="0.25"/>
    <row r="668" s="1" customFormat="1" ht="13.8" x14ac:dyDescent="0.25"/>
    <row r="669" s="1" customFormat="1" ht="13.8" x14ac:dyDescent="0.25"/>
    <row r="670" s="1" customFormat="1" ht="13.8" x14ac:dyDescent="0.25"/>
    <row r="671" s="1" customFormat="1" ht="13.8" x14ac:dyDescent="0.25"/>
    <row r="672" s="1" customFormat="1" ht="13.8" x14ac:dyDescent="0.25"/>
    <row r="673" s="1" customFormat="1" ht="13.8" x14ac:dyDescent="0.25"/>
    <row r="674" s="1" customFormat="1" ht="13.8" x14ac:dyDescent="0.25"/>
    <row r="675" s="1" customFormat="1" ht="13.8" x14ac:dyDescent="0.25"/>
    <row r="676" s="1" customFormat="1" ht="13.8" x14ac:dyDescent="0.25"/>
    <row r="677" s="1" customFormat="1" ht="13.8" x14ac:dyDescent="0.25"/>
    <row r="678" s="1" customFormat="1" ht="13.8" x14ac:dyDescent="0.25"/>
    <row r="679" s="1" customFormat="1" ht="13.8" x14ac:dyDescent="0.25"/>
    <row r="680" s="1" customFormat="1" ht="13.8" x14ac:dyDescent="0.25"/>
    <row r="681" s="1" customFormat="1" ht="13.8" x14ac:dyDescent="0.25"/>
    <row r="682" s="1" customFormat="1" ht="13.8" x14ac:dyDescent="0.25"/>
    <row r="683" s="1" customFormat="1" ht="13.8" x14ac:dyDescent="0.25"/>
    <row r="684" s="1" customFormat="1" ht="13.8" x14ac:dyDescent="0.25"/>
    <row r="685" s="1" customFormat="1" ht="13.8" x14ac:dyDescent="0.25"/>
    <row r="686" s="1" customFormat="1" ht="13.8" x14ac:dyDescent="0.25"/>
    <row r="687" s="1" customFormat="1" ht="13.8" x14ac:dyDescent="0.25"/>
    <row r="688" s="1" customFormat="1" ht="13.8" x14ac:dyDescent="0.25"/>
    <row r="689" s="1" customFormat="1" ht="13.8" x14ac:dyDescent="0.25"/>
    <row r="690" s="1" customFormat="1" ht="13.8" x14ac:dyDescent="0.25"/>
    <row r="691" s="1" customFormat="1" ht="13.8" x14ac:dyDescent="0.25"/>
    <row r="692" s="1" customFormat="1" ht="13.8" x14ac:dyDescent="0.25"/>
    <row r="693" s="1" customFormat="1" ht="13.8" x14ac:dyDescent="0.25"/>
    <row r="694" s="1" customFormat="1" ht="13.8" x14ac:dyDescent="0.25"/>
    <row r="695" s="1" customFormat="1" ht="13.8" x14ac:dyDescent="0.25"/>
    <row r="696" s="1" customFormat="1" ht="13.8" x14ac:dyDescent="0.25"/>
    <row r="697" s="1" customFormat="1" ht="13.8" x14ac:dyDescent="0.25"/>
    <row r="698" s="1" customFormat="1" ht="13.8" x14ac:dyDescent="0.25"/>
    <row r="699" s="1" customFormat="1" ht="13.8" x14ac:dyDescent="0.25"/>
    <row r="700" s="1" customFormat="1" ht="13.8" x14ac:dyDescent="0.25"/>
    <row r="701" s="1" customFormat="1" ht="13.8" x14ac:dyDescent="0.25"/>
    <row r="702" s="1" customFormat="1" ht="13.8" x14ac:dyDescent="0.25"/>
    <row r="703" s="1" customFormat="1" ht="13.8" x14ac:dyDescent="0.25"/>
    <row r="704" s="1" customFormat="1" ht="13.8" x14ac:dyDescent="0.25"/>
    <row r="705" s="1" customFormat="1" ht="13.8" x14ac:dyDescent="0.25"/>
    <row r="706" s="1" customFormat="1" ht="13.8" x14ac:dyDescent="0.25"/>
    <row r="707" s="1" customFormat="1" ht="13.8" x14ac:dyDescent="0.25"/>
    <row r="708" s="1" customFormat="1" ht="13.8" x14ac:dyDescent="0.25"/>
    <row r="709" s="1" customFormat="1" ht="13.8" x14ac:dyDescent="0.25"/>
    <row r="710" s="1" customFormat="1" ht="13.8" x14ac:dyDescent="0.25"/>
    <row r="711" s="1" customFormat="1" ht="13.8" x14ac:dyDescent="0.25"/>
    <row r="712" s="1" customFormat="1" ht="13.8" x14ac:dyDescent="0.25"/>
    <row r="713" s="1" customFormat="1" ht="13.8" x14ac:dyDescent="0.25"/>
    <row r="714" s="1" customFormat="1" ht="13.8" x14ac:dyDescent="0.25"/>
    <row r="715" s="1" customFormat="1" ht="13.8" x14ac:dyDescent="0.25"/>
    <row r="716" s="1" customFormat="1" ht="13.8" x14ac:dyDescent="0.25"/>
    <row r="717" s="1" customFormat="1" ht="13.8" x14ac:dyDescent="0.25"/>
    <row r="718" s="1" customFormat="1" ht="13.8" x14ac:dyDescent="0.25"/>
    <row r="719" s="1" customFormat="1" ht="13.8" x14ac:dyDescent="0.25"/>
    <row r="720" s="1" customFormat="1" ht="13.8" x14ac:dyDescent="0.25"/>
    <row r="721" s="1" customFormat="1" ht="13.8" x14ac:dyDescent="0.25"/>
    <row r="722" s="1" customFormat="1" ht="13.8" x14ac:dyDescent="0.25"/>
    <row r="723" s="1" customFormat="1" ht="13.8" x14ac:dyDescent="0.25"/>
    <row r="724" s="1" customFormat="1" ht="13.8" x14ac:dyDescent="0.25"/>
    <row r="725" s="1" customFormat="1" ht="13.8" x14ac:dyDescent="0.25"/>
    <row r="726" s="1" customFormat="1" ht="13.8" x14ac:dyDescent="0.25"/>
    <row r="727" s="1" customFormat="1" ht="13.8" x14ac:dyDescent="0.25"/>
    <row r="728" s="1" customFormat="1" ht="13.8" x14ac:dyDescent="0.25"/>
    <row r="729" s="1" customFormat="1" ht="13.8" x14ac:dyDescent="0.25"/>
    <row r="730" s="1" customFormat="1" ht="13.8" x14ac:dyDescent="0.25"/>
    <row r="731" s="1" customFormat="1" ht="13.8" x14ac:dyDescent="0.25"/>
    <row r="732" s="1" customFormat="1" ht="13.8" x14ac:dyDescent="0.25"/>
    <row r="733" s="1" customFormat="1" ht="13.8" x14ac:dyDescent="0.25"/>
    <row r="734" s="1" customFormat="1" ht="13.8" x14ac:dyDescent="0.25"/>
    <row r="735" s="1" customFormat="1" ht="13.8" x14ac:dyDescent="0.25"/>
    <row r="736" s="1" customFormat="1" ht="13.8" x14ac:dyDescent="0.25"/>
    <row r="737" s="1" customFormat="1" ht="13.8" x14ac:dyDescent="0.25"/>
    <row r="738" s="1" customFormat="1" ht="13.8" x14ac:dyDescent="0.25"/>
    <row r="739" s="1" customFormat="1" ht="13.8" x14ac:dyDescent="0.25"/>
    <row r="740" s="1" customFormat="1" ht="13.8" x14ac:dyDescent="0.25"/>
    <row r="741" s="1" customFormat="1" ht="13.8" x14ac:dyDescent="0.25"/>
    <row r="742" s="1" customFormat="1" ht="13.8" x14ac:dyDescent="0.25"/>
    <row r="743" s="1" customFormat="1" ht="13.8" x14ac:dyDescent="0.25"/>
    <row r="744" s="1" customFormat="1" ht="13.8" x14ac:dyDescent="0.25"/>
    <row r="745" s="1" customFormat="1" ht="13.8" x14ac:dyDescent="0.25"/>
    <row r="746" s="1" customFormat="1" ht="13.8" x14ac:dyDescent="0.25"/>
    <row r="747" s="1" customFormat="1" ht="13.8" x14ac:dyDescent="0.25"/>
    <row r="748" s="1" customFormat="1" ht="13.8" x14ac:dyDescent="0.25"/>
    <row r="749" s="1" customFormat="1" ht="13.8" x14ac:dyDescent="0.25"/>
    <row r="750" s="1" customFormat="1" ht="13.8" x14ac:dyDescent="0.25"/>
    <row r="751" s="1" customFormat="1" ht="13.8" x14ac:dyDescent="0.25"/>
    <row r="752" s="1" customFormat="1" ht="13.8" x14ac:dyDescent="0.25"/>
    <row r="753" s="1" customFormat="1" ht="13.8" x14ac:dyDescent="0.25"/>
    <row r="754" s="1" customFormat="1" ht="13.8" x14ac:dyDescent="0.25"/>
    <row r="755" s="1" customFormat="1" ht="13.8" x14ac:dyDescent="0.25"/>
    <row r="756" s="1" customFormat="1" ht="13.8" x14ac:dyDescent="0.25"/>
    <row r="757" s="1" customFormat="1" ht="13.8" x14ac:dyDescent="0.25"/>
    <row r="758" s="1" customFormat="1" ht="13.8" x14ac:dyDescent="0.25"/>
    <row r="759" s="1" customFormat="1" ht="13.8" x14ac:dyDescent="0.25"/>
    <row r="760" s="1" customFormat="1" ht="13.8" x14ac:dyDescent="0.25"/>
    <row r="761" s="1" customFormat="1" ht="13.8" x14ac:dyDescent="0.25"/>
    <row r="762" s="1" customFormat="1" ht="13.8" x14ac:dyDescent="0.25"/>
    <row r="763" s="1" customFormat="1" ht="13.8" x14ac:dyDescent="0.25"/>
    <row r="764" s="1" customFormat="1" ht="13.8" x14ac:dyDescent="0.25"/>
    <row r="765" s="1" customFormat="1" ht="13.8" x14ac:dyDescent="0.25"/>
    <row r="766" s="1" customFormat="1" ht="13.8" x14ac:dyDescent="0.25"/>
    <row r="767" s="1" customFormat="1" ht="13.8" x14ac:dyDescent="0.25"/>
    <row r="768" s="1" customFormat="1" ht="13.8" x14ac:dyDescent="0.25"/>
    <row r="769" s="1" customFormat="1" ht="13.8" x14ac:dyDescent="0.25"/>
    <row r="770" s="1" customFormat="1" ht="13.8" x14ac:dyDescent="0.25"/>
    <row r="771" s="1" customFormat="1" ht="13.8" x14ac:dyDescent="0.25"/>
    <row r="772" s="1" customFormat="1" ht="13.8" x14ac:dyDescent="0.25"/>
    <row r="773" s="1" customFormat="1" ht="13.8" x14ac:dyDescent="0.25"/>
    <row r="774" s="1" customFormat="1" ht="13.8" x14ac:dyDescent="0.25"/>
    <row r="775" s="1" customFormat="1" ht="13.8" x14ac:dyDescent="0.25"/>
    <row r="776" s="1" customFormat="1" ht="13.8" x14ac:dyDescent="0.25"/>
    <row r="777" s="1" customFormat="1" ht="13.8" x14ac:dyDescent="0.25"/>
    <row r="778" s="1" customFormat="1" ht="13.8" x14ac:dyDescent="0.25"/>
    <row r="779" s="1" customFormat="1" ht="13.8" x14ac:dyDescent="0.25"/>
    <row r="780" s="1" customFormat="1" ht="13.8" x14ac:dyDescent="0.25"/>
    <row r="781" s="1" customFormat="1" ht="13.8" x14ac:dyDescent="0.25"/>
    <row r="782" s="1" customFormat="1" ht="13.8" x14ac:dyDescent="0.25"/>
    <row r="783" s="1" customFormat="1" ht="13.8" x14ac:dyDescent="0.25"/>
    <row r="784" s="1" customFormat="1" ht="13.8" x14ac:dyDescent="0.25"/>
    <row r="785" s="1" customFormat="1" ht="13.8" x14ac:dyDescent="0.25"/>
    <row r="786" s="1" customFormat="1" ht="13.8" x14ac:dyDescent="0.25"/>
    <row r="787" s="1" customFormat="1" ht="13.8" x14ac:dyDescent="0.25"/>
    <row r="788" s="1" customFormat="1" ht="13.8" x14ac:dyDescent="0.25"/>
    <row r="789" s="1" customFormat="1" ht="13.8" x14ac:dyDescent="0.25"/>
    <row r="790" s="1" customFormat="1" ht="13.8" x14ac:dyDescent="0.25"/>
    <row r="791" s="1" customFormat="1" ht="13.8" x14ac:dyDescent="0.25"/>
    <row r="792" s="1" customFormat="1" ht="13.8" x14ac:dyDescent="0.25"/>
    <row r="793" s="1" customFormat="1" ht="13.8" x14ac:dyDescent="0.25"/>
    <row r="794" s="1" customFormat="1" ht="13.8" x14ac:dyDescent="0.25"/>
    <row r="795" s="1" customFormat="1" ht="13.8" x14ac:dyDescent="0.25"/>
    <row r="796" s="1" customFormat="1" ht="13.8" x14ac:dyDescent="0.25"/>
    <row r="797" s="1" customFormat="1" ht="13.8" x14ac:dyDescent="0.25"/>
    <row r="798" s="1" customFormat="1" ht="13.8" x14ac:dyDescent="0.25"/>
    <row r="799" s="1" customFormat="1" ht="13.8" x14ac:dyDescent="0.25"/>
    <row r="800" s="1" customFormat="1" ht="13.8" x14ac:dyDescent="0.25"/>
    <row r="801" s="1" customFormat="1" ht="13.8" x14ac:dyDescent="0.25"/>
    <row r="802" s="1" customFormat="1" ht="13.8" x14ac:dyDescent="0.25"/>
    <row r="803" s="1" customFormat="1" ht="13.8" x14ac:dyDescent="0.25"/>
    <row r="804" s="1" customFormat="1" ht="13.8" x14ac:dyDescent="0.25"/>
    <row r="805" s="1" customFormat="1" ht="13.8" x14ac:dyDescent="0.25"/>
    <row r="806" s="1" customFormat="1" ht="13.8" x14ac:dyDescent="0.25"/>
    <row r="807" s="1" customFormat="1" ht="13.8" x14ac:dyDescent="0.25"/>
    <row r="808" s="1" customFormat="1" ht="13.8" x14ac:dyDescent="0.25"/>
    <row r="809" s="1" customFormat="1" ht="13.8" x14ac:dyDescent="0.25"/>
    <row r="810" s="1" customFormat="1" ht="13.8" x14ac:dyDescent="0.25"/>
    <row r="811" s="1" customFormat="1" ht="13.8" x14ac:dyDescent="0.25"/>
    <row r="812" s="1" customFormat="1" ht="13.8" x14ac:dyDescent="0.25"/>
    <row r="813" s="1" customFormat="1" ht="13.8" x14ac:dyDescent="0.25"/>
    <row r="814" s="1" customFormat="1" ht="13.8" x14ac:dyDescent="0.25"/>
    <row r="815" s="1" customFormat="1" ht="13.8" x14ac:dyDescent="0.25"/>
    <row r="816" s="1" customFormat="1" ht="13.8" x14ac:dyDescent="0.25"/>
    <row r="817" s="1" customFormat="1" ht="13.8" x14ac:dyDescent="0.25"/>
    <row r="818" s="1" customFormat="1" ht="13.8" x14ac:dyDescent="0.25"/>
    <row r="819" s="1" customFormat="1" ht="13.8" x14ac:dyDescent="0.25"/>
    <row r="820" s="1" customFormat="1" ht="13.8" x14ac:dyDescent="0.25"/>
    <row r="821" s="1" customFormat="1" ht="13.8" x14ac:dyDescent="0.25"/>
    <row r="822" s="1" customFormat="1" ht="13.8" x14ac:dyDescent="0.25"/>
    <row r="823" s="1" customFormat="1" ht="13.8" x14ac:dyDescent="0.25"/>
    <row r="824" s="1" customFormat="1" ht="13.8" x14ac:dyDescent="0.25"/>
    <row r="825" s="1" customFormat="1" ht="13.8" x14ac:dyDescent="0.25"/>
    <row r="826" s="1" customFormat="1" ht="13.8" x14ac:dyDescent="0.25"/>
    <row r="827" s="1" customFormat="1" ht="13.8" x14ac:dyDescent="0.25"/>
    <row r="828" s="1" customFormat="1" ht="13.8" x14ac:dyDescent="0.25"/>
    <row r="829" s="1" customFormat="1" ht="13.8" x14ac:dyDescent="0.25"/>
    <row r="830" s="1" customFormat="1" ht="13.8" x14ac:dyDescent="0.25"/>
    <row r="831" s="1" customFormat="1" ht="13.8" x14ac:dyDescent="0.25"/>
    <row r="832" s="1" customFormat="1" ht="13.8" x14ac:dyDescent="0.25"/>
    <row r="833" s="1" customFormat="1" ht="13.8" x14ac:dyDescent="0.25"/>
    <row r="834" s="1" customFormat="1" ht="13.8" x14ac:dyDescent="0.25"/>
    <row r="835" s="1" customFormat="1" ht="13.8" x14ac:dyDescent="0.25"/>
    <row r="836" s="1" customFormat="1" ht="13.8" x14ac:dyDescent="0.25"/>
    <row r="837" s="1" customFormat="1" ht="13.8" x14ac:dyDescent="0.25"/>
    <row r="838" s="1" customFormat="1" ht="13.8" x14ac:dyDescent="0.25"/>
    <row r="839" s="1" customFormat="1" ht="13.8" x14ac:dyDescent="0.25"/>
    <row r="840" s="1" customFormat="1" ht="13.8" x14ac:dyDescent="0.25"/>
    <row r="841" s="1" customFormat="1" ht="13.8" x14ac:dyDescent="0.25"/>
    <row r="842" s="1" customFormat="1" ht="13.8" x14ac:dyDescent="0.25"/>
    <row r="843" s="1" customFormat="1" ht="13.8" x14ac:dyDescent="0.25"/>
    <row r="844" s="1" customFormat="1" ht="13.8" x14ac:dyDescent="0.25"/>
    <row r="845" s="1" customFormat="1" ht="13.8" x14ac:dyDescent="0.25"/>
    <row r="846" s="1" customFormat="1" ht="13.8" x14ac:dyDescent="0.25"/>
    <row r="847" s="1" customFormat="1" ht="13.8" x14ac:dyDescent="0.25"/>
    <row r="848" s="1" customFormat="1" ht="13.8" x14ac:dyDescent="0.25"/>
    <row r="849" s="1" customFormat="1" ht="13.8" x14ac:dyDescent="0.25"/>
    <row r="850" s="1" customFormat="1" ht="13.8" x14ac:dyDescent="0.25"/>
    <row r="851" s="1" customFormat="1" ht="13.8" x14ac:dyDescent="0.25"/>
    <row r="852" s="1" customFormat="1" ht="13.8" x14ac:dyDescent="0.25"/>
    <row r="853" s="1" customFormat="1" ht="13.8" x14ac:dyDescent="0.25"/>
    <row r="854" s="1" customFormat="1" ht="13.8" x14ac:dyDescent="0.25"/>
    <row r="855" s="1" customFormat="1" ht="13.8" x14ac:dyDescent="0.25"/>
    <row r="856" s="1" customFormat="1" ht="13.8" x14ac:dyDescent="0.25"/>
    <row r="857" s="1" customFormat="1" ht="13.8" x14ac:dyDescent="0.25"/>
    <row r="858" s="1" customFormat="1" ht="13.8" x14ac:dyDescent="0.25"/>
    <row r="859" s="1" customFormat="1" ht="13.8" x14ac:dyDescent="0.25"/>
    <row r="860" s="1" customFormat="1" ht="13.8" x14ac:dyDescent="0.25"/>
    <row r="861" s="1" customFormat="1" ht="13.8" x14ac:dyDescent="0.25"/>
    <row r="862" s="1" customFormat="1" ht="13.8" x14ac:dyDescent="0.25"/>
    <row r="863" s="1" customFormat="1" ht="13.8" x14ac:dyDescent="0.25"/>
    <row r="864" s="1" customFormat="1" ht="13.8" x14ac:dyDescent="0.25"/>
    <row r="865" s="1" customFormat="1" ht="13.8" x14ac:dyDescent="0.25"/>
    <row r="866" s="1" customFormat="1" ht="13.8" x14ac:dyDescent="0.25"/>
    <row r="867" s="1" customFormat="1" ht="13.8" x14ac:dyDescent="0.25"/>
    <row r="868" s="1" customFormat="1" ht="13.8" x14ac:dyDescent="0.25"/>
    <row r="869" s="1" customFormat="1" ht="13.8" x14ac:dyDescent="0.25"/>
    <row r="870" s="1" customFormat="1" ht="13.8" x14ac:dyDescent="0.25"/>
    <row r="871" s="1" customFormat="1" ht="13.8" x14ac:dyDescent="0.25"/>
    <row r="872" s="1" customFormat="1" ht="13.8" x14ac:dyDescent="0.25"/>
    <row r="873" s="1" customFormat="1" ht="13.8" x14ac:dyDescent="0.25"/>
    <row r="874" s="1" customFormat="1" ht="13.8" x14ac:dyDescent="0.25"/>
    <row r="875" s="1" customFormat="1" ht="13.8" x14ac:dyDescent="0.25"/>
    <row r="876" s="1" customFormat="1" ht="13.8" x14ac:dyDescent="0.25"/>
    <row r="877" s="1" customFormat="1" ht="13.8" x14ac:dyDescent="0.25"/>
    <row r="878" s="1" customFormat="1" ht="13.8" x14ac:dyDescent="0.25"/>
    <row r="879" s="1" customFormat="1" ht="13.8" x14ac:dyDescent="0.25"/>
    <row r="880" s="1" customFormat="1" ht="13.8" x14ac:dyDescent="0.25"/>
    <row r="881" s="1" customFormat="1" ht="13.8" x14ac:dyDescent="0.25"/>
    <row r="882" s="1" customFormat="1" ht="13.8" x14ac:dyDescent="0.25"/>
    <row r="883" s="1" customFormat="1" ht="13.8" x14ac:dyDescent="0.25"/>
    <row r="884" s="1" customFormat="1" ht="13.8" x14ac:dyDescent="0.25"/>
    <row r="885" s="1" customFormat="1" ht="13.8" x14ac:dyDescent="0.25"/>
    <row r="886" s="1" customFormat="1" ht="13.8" x14ac:dyDescent="0.25"/>
    <row r="887" s="1" customFormat="1" ht="13.8" x14ac:dyDescent="0.25"/>
    <row r="888" s="1" customFormat="1" ht="13.8" x14ac:dyDescent="0.25"/>
    <row r="889" s="1" customFormat="1" ht="13.8" x14ac:dyDescent="0.25"/>
    <row r="890" s="1" customFormat="1" ht="13.8" x14ac:dyDescent="0.25"/>
    <row r="891" s="1" customFormat="1" ht="13.8" x14ac:dyDescent="0.25"/>
    <row r="892" s="1" customFormat="1" ht="13.8" x14ac:dyDescent="0.25"/>
    <row r="893" s="1" customFormat="1" ht="13.8" x14ac:dyDescent="0.25"/>
    <row r="894" s="1" customFormat="1" ht="13.8" x14ac:dyDescent="0.25"/>
    <row r="895" s="1" customFormat="1" ht="13.8" x14ac:dyDescent="0.25"/>
    <row r="896" s="1" customFormat="1" ht="13.8" x14ac:dyDescent="0.25"/>
    <row r="897" s="1" customFormat="1" ht="13.8" x14ac:dyDescent="0.25"/>
    <row r="898" s="1" customFormat="1" ht="13.8" x14ac:dyDescent="0.25"/>
    <row r="899" s="1" customFormat="1" ht="13.8" x14ac:dyDescent="0.25"/>
    <row r="900" s="1" customFormat="1" ht="13.8" x14ac:dyDescent="0.25"/>
    <row r="901" s="1" customFormat="1" ht="13.8" x14ac:dyDescent="0.25"/>
    <row r="902" s="1" customFormat="1" ht="13.8" x14ac:dyDescent="0.25"/>
    <row r="903" s="1" customFormat="1" ht="13.8" x14ac:dyDescent="0.25"/>
    <row r="904" s="1" customFormat="1" ht="13.8" x14ac:dyDescent="0.25"/>
    <row r="905" s="1" customFormat="1" ht="13.8" x14ac:dyDescent="0.25"/>
    <row r="906" s="1" customFormat="1" ht="13.8" x14ac:dyDescent="0.25"/>
    <row r="907" s="1" customFormat="1" ht="13.8" x14ac:dyDescent="0.25"/>
  </sheetData>
  <mergeCells count="20">
    <mergeCell ref="A1:CA1"/>
    <mergeCell ref="AO6:AV6"/>
    <mergeCell ref="AO64:AV64"/>
    <mergeCell ref="D6:L6"/>
    <mergeCell ref="A2:CA2"/>
    <mergeCell ref="BG64:BN64"/>
    <mergeCell ref="AF6:AM6"/>
    <mergeCell ref="A4:CA4"/>
    <mergeCell ref="N64:U64"/>
    <mergeCell ref="AF64:AM64"/>
    <mergeCell ref="BP64:BW64"/>
    <mergeCell ref="BG6:BN6"/>
    <mergeCell ref="N6:U6"/>
    <mergeCell ref="AX64:BE64"/>
    <mergeCell ref="BP6:BW6"/>
    <mergeCell ref="W6:AD6"/>
    <mergeCell ref="AX6:BE6"/>
    <mergeCell ref="A3:CA3"/>
    <mergeCell ref="E64:L64"/>
    <mergeCell ref="W64:AD64"/>
  </mergeCells>
  <conditionalFormatting sqref="E8:F63">
    <cfRule type="cellIs" dxfId="81" priority="1" operator="equal">
      <formula>"AB"</formula>
    </cfRule>
    <cfRule type="cellIs" dxfId="80" priority="2" operator="equal">
      <formula>95</formula>
    </cfRule>
    <cfRule type="cellIs" dxfId="79" priority="3" operator="equal">
      <formula>"f"</formula>
    </cfRule>
  </conditionalFormatting>
  <conditionalFormatting sqref="G8:BX8 G9:AM9 AO9:BX9 J9:K10 G10:BX63">
    <cfRule type="cellIs" dxfId="78" priority="28" operator="equal">
      <formula>"AB"</formula>
    </cfRule>
  </conditionalFormatting>
  <conditionalFormatting sqref="G8:BX8 BY8:CB63 G9:AM9 AO9:BJ9 BL9:BT34 I9:K63 R9:T63 AB9:AC63 AK9:AL63 AT9:AU63 BB9:BD63 BK9:BM63 BT9:BX63 G10:BJ29 G30:BI31 G32:BJ63 BL35:BP44 BR35:BT44 BL45:BT63">
    <cfRule type="cellIs" dxfId="77" priority="30" operator="equal">
      <formula>"f"</formula>
    </cfRule>
  </conditionalFormatting>
  <conditionalFormatting sqref="AF9">
    <cfRule type="expression" dxfId="76" priority="35">
      <formula>NOT(ISERROR(SEARCH("A",BF64)))</formula>
    </cfRule>
  </conditionalFormatting>
  <conditionalFormatting sqref="AF10:AF13">
    <cfRule type="expression" dxfId="75" priority="37">
      <formula>NOT(ISERROR(SEARCH("A",#REF!)))</formula>
    </cfRule>
  </conditionalFormatting>
  <conditionalFormatting sqref="AF14:AF17">
    <cfRule type="expression" dxfId="74" priority="117">
      <formula>NOT(ISERROR(SEARCH("A",BF74)))</formula>
    </cfRule>
  </conditionalFormatting>
  <conditionalFormatting sqref="AF18:AF21">
    <cfRule type="expression" dxfId="73" priority="43">
      <formula>NOT(ISERROR(SEARCH("A",#REF!)))</formula>
    </cfRule>
  </conditionalFormatting>
  <conditionalFormatting sqref="AF22:AF29 AF57">
    <cfRule type="expression" dxfId="72" priority="108">
      <formula>NOT(ISERROR(SEARCH("A",BF78)))</formula>
    </cfRule>
  </conditionalFormatting>
  <conditionalFormatting sqref="AF30:AF56">
    <cfRule type="expression" dxfId="71" priority="113">
      <formula>NOT(ISERROR(SEARCH("A",BF87)))</formula>
    </cfRule>
  </conditionalFormatting>
  <conditionalFormatting sqref="AF58">
    <cfRule type="expression" dxfId="70" priority="103">
      <formula>NOT(ISERROR(SEARCH("A",BF113)))</formula>
    </cfRule>
  </conditionalFormatting>
  <conditionalFormatting sqref="AF59">
    <cfRule type="expression" dxfId="69" priority="97">
      <formula>NOT(ISERROR(SEARCH("A",BF113)))</formula>
    </cfRule>
  </conditionalFormatting>
  <conditionalFormatting sqref="AF60:AF62">
    <cfRule type="expression" dxfId="68" priority="135">
      <formula>NOT(ISERROR(SEARCH("A",BF112)))</formula>
    </cfRule>
  </conditionalFormatting>
  <conditionalFormatting sqref="AF63">
    <cfRule type="expression" dxfId="67" priority="130">
      <formula>NOT(ISERROR(SEARCH("A",BF114)))</formula>
    </cfRule>
  </conditionalFormatting>
  <conditionalFormatting sqref="AI8:AN8 BJ8:BO8 H8:M63 Q8:V63 Y8:AE63 AR8:AW63 BA8:BF63 BS8:BX63 AI9:AM9 AO9 BJ9:BJ29 BK9:BO63 AI10:AN63 BJ32:BJ63">
    <cfRule type="containsText" dxfId="66" priority="38" operator="containsText" text="N">
      <formula>NOT(ISERROR(SEARCH("N",H8)))</formula>
    </cfRule>
    <cfRule type="containsText" dxfId="65" priority="39" operator="containsText" text="F">
      <formula>NOT(ISERROR(SEARCH("F",H8)))</formula>
    </cfRule>
    <cfRule type="containsText" dxfId="64" priority="40" operator="containsText" text="N">
      <formula>NOT(ISERROR(SEARCH("N",H8)))</formula>
    </cfRule>
  </conditionalFormatting>
  <conditionalFormatting sqref="AO10:AO13">
    <cfRule type="expression" dxfId="63" priority="34">
      <formula>NOT(ISERROR(SEARCH("A",#REF!)))</formula>
    </cfRule>
  </conditionalFormatting>
  <conditionalFormatting sqref="AO14:AO17">
    <cfRule type="expression" dxfId="62" priority="119">
      <formula>NOT(ISERROR(SEARCH("A",BP74)))</formula>
    </cfRule>
  </conditionalFormatting>
  <conditionalFormatting sqref="AO18:AO21">
    <cfRule type="expression" dxfId="61" priority="46">
      <formula>NOT(ISERROR(SEARCH("A",#REF!)))</formula>
    </cfRule>
  </conditionalFormatting>
  <conditionalFormatting sqref="AO22:AO29 AO57">
    <cfRule type="expression" dxfId="60" priority="110">
      <formula>NOT(ISERROR(SEARCH("A",BP78)))</formula>
    </cfRule>
  </conditionalFormatting>
  <conditionalFormatting sqref="AO30:AO56">
    <cfRule type="expression" dxfId="59" priority="115">
      <formula>NOT(ISERROR(SEARCH("A",BP87)))</formula>
    </cfRule>
  </conditionalFormatting>
  <conditionalFormatting sqref="AO58">
    <cfRule type="expression" dxfId="58" priority="105">
      <formula>NOT(ISERROR(SEARCH("A",BP113)))</formula>
    </cfRule>
  </conditionalFormatting>
  <conditionalFormatting sqref="AO59">
    <cfRule type="expression" dxfId="57" priority="99">
      <formula>NOT(ISERROR(SEARCH("A",BP113)))</formula>
    </cfRule>
  </conditionalFormatting>
  <conditionalFormatting sqref="AO60:AO62">
    <cfRule type="expression" dxfId="56" priority="137">
      <formula>NOT(ISERROR(SEARCH("A",BP112)))</formula>
    </cfRule>
  </conditionalFormatting>
  <conditionalFormatting sqref="AO63">
    <cfRule type="expression" dxfId="55" priority="132">
      <formula>NOT(ISERROR(SEARCH("A",BP114)))</formula>
    </cfRule>
  </conditionalFormatting>
  <conditionalFormatting sqref="BQ9:BR34 BR35:BR44 BQ45:BR63">
    <cfRule type="cellIs" dxfId="54" priority="31" operator="lessThan">
      <formula>20</formula>
    </cfRule>
  </conditionalFormatting>
  <conditionalFormatting sqref="BY8:CB63 G8:BX8 G9:AM9 AO9:BJ9 BL9:BT34 I9:K63 R9:T63 AB9:AC63 AK9:AL63 AT9:AU63 BB9:BD63 BK9:BM63 BT9:BX63 G10:BJ29 G30:BI31 G32:BJ63 BL35:BP44 BR35:BT44 BL45:BT63">
    <cfRule type="cellIs" dxfId="53" priority="29" operator="equal">
      <formula>95</formula>
    </cfRule>
  </conditionalFormatting>
  <conditionalFormatting sqref="CA8:CA63">
    <cfRule type="cellIs" dxfId="52" priority="27" operator="greaterThan">
      <formula>9.5</formula>
    </cfRule>
    <cfRule type="cellIs" dxfId="51" priority="26" operator="greaterThan">
      <formula>9</formula>
    </cfRule>
  </conditionalFormatting>
  <pageMargins left="0.25" right="0.25" top="0.75" bottom="0.75" header="0.3" footer="0.3"/>
  <pageSetup fitToWidth="0" orientation="landscape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B41"/>
  <sheetViews>
    <sheetView tabSelected="1" zoomScaleNormal="100" workbookViewId="0">
      <selection activeCell="P8" sqref="P8"/>
    </sheetView>
  </sheetViews>
  <sheetFormatPr defaultRowHeight="13.8" x14ac:dyDescent="0.25"/>
  <cols>
    <col min="1" max="1" width="5.5" customWidth="1"/>
    <col min="2" max="2" width="12" customWidth="1"/>
    <col min="3" max="3" width="36.19921875" customWidth="1"/>
    <col min="16" max="16" width="12" customWidth="1"/>
  </cols>
  <sheetData>
    <row r="1" spans="1:80" ht="19.5" customHeight="1" x14ac:dyDescent="0.3">
      <c r="A1" s="112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ht="26.25" customHeight="1" x14ac:dyDescent="0.25">
      <c r="A2" s="111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</row>
    <row r="3" spans="1:80" ht="18" customHeight="1" x14ac:dyDescent="0.3">
      <c r="A3" s="109" t="s">
        <v>3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ht="15.75" customHeight="1" x14ac:dyDescent="0.3"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</row>
    <row r="5" spans="1:80" ht="15.75" customHeight="1" x14ac:dyDescent="0.3">
      <c r="A5" s="100" t="s">
        <v>165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3"/>
      <c r="Q5" s="3"/>
    </row>
    <row r="7" spans="1:80" ht="31.5" customHeight="1" x14ac:dyDescent="0.3">
      <c r="A7" s="31" t="s">
        <v>166</v>
      </c>
      <c r="B7" s="31" t="s">
        <v>167</v>
      </c>
      <c r="C7" s="10" t="s">
        <v>168</v>
      </c>
      <c r="D7" s="7" t="s">
        <v>169</v>
      </c>
      <c r="E7" s="8" t="s">
        <v>170</v>
      </c>
      <c r="F7" s="8" t="s">
        <v>171</v>
      </c>
      <c r="G7" s="8" t="s">
        <v>172</v>
      </c>
      <c r="H7" s="8" t="s">
        <v>173</v>
      </c>
      <c r="I7" s="8" t="s">
        <v>174</v>
      </c>
      <c r="J7" s="8" t="s">
        <v>175</v>
      </c>
      <c r="K7" s="8" t="s">
        <v>176</v>
      </c>
      <c r="L7" s="8" t="s">
        <v>177</v>
      </c>
      <c r="M7" s="8" t="s">
        <v>178</v>
      </c>
      <c r="N7" s="8" t="s">
        <v>179</v>
      </c>
      <c r="O7" s="8" t="s">
        <v>180</v>
      </c>
      <c r="P7" s="38" t="s">
        <v>181</v>
      </c>
    </row>
    <row r="8" spans="1:80" ht="15.75" customHeight="1" x14ac:dyDescent="0.25">
      <c r="A8" s="26">
        <v>1</v>
      </c>
      <c r="B8" s="40" t="s">
        <v>182</v>
      </c>
      <c r="C8" s="29" t="s">
        <v>183</v>
      </c>
      <c r="D8" s="26">
        <v>56</v>
      </c>
      <c r="E8" s="26">
        <v>56</v>
      </c>
      <c r="F8" s="26">
        <f>OverallResult!K65</f>
        <v>8</v>
      </c>
      <c r="G8" s="26">
        <f>OverallResult!K66</f>
        <v>6</v>
      </c>
      <c r="H8" s="26">
        <f>OverallResult!K67</f>
        <v>21</v>
      </c>
      <c r="I8" s="26">
        <f>OverallResult!K68</f>
        <v>12</v>
      </c>
      <c r="J8" s="26">
        <f>OverallResult!K69</f>
        <v>2</v>
      </c>
      <c r="K8" s="26">
        <f>OverallResult!K70</f>
        <v>3</v>
      </c>
      <c r="L8" s="26">
        <f>OverallResult!K71</f>
        <v>2</v>
      </c>
      <c r="M8" s="26">
        <f>OverallResult!K72</f>
        <v>2</v>
      </c>
      <c r="N8" s="26">
        <f>OverallResult!K73</f>
        <v>0</v>
      </c>
      <c r="O8" s="26">
        <f>OverallResult!K76</f>
        <v>54</v>
      </c>
      <c r="P8" s="39">
        <f t="shared" ref="P8:P13" si="0">(O8/63)*100</f>
        <v>85.714285714285708</v>
      </c>
    </row>
    <row r="9" spans="1:80" ht="15.75" customHeight="1" x14ac:dyDescent="0.25">
      <c r="A9" s="26">
        <v>2</v>
      </c>
      <c r="B9" s="40" t="s">
        <v>184</v>
      </c>
      <c r="C9" s="30" t="s">
        <v>142</v>
      </c>
      <c r="D9" s="26">
        <v>63</v>
      </c>
      <c r="E9" s="26">
        <v>63</v>
      </c>
      <c r="F9" s="26">
        <f>OverallResult!T65</f>
        <v>14</v>
      </c>
      <c r="G9" s="26">
        <f>OverallResult!T66</f>
        <v>26</v>
      </c>
      <c r="H9" s="26">
        <f>OverallResult!T67</f>
        <v>7</v>
      </c>
      <c r="I9" s="26">
        <f>OverallResult!T68</f>
        <v>5</v>
      </c>
      <c r="J9" s="26">
        <f>OverallResult!T69</f>
        <v>1</v>
      </c>
      <c r="K9" s="26">
        <f>OverallResult!T70</f>
        <v>1</v>
      </c>
      <c r="L9" s="26">
        <f>OverallResult!T71</f>
        <v>0</v>
      </c>
      <c r="M9" s="26">
        <f>OverallResult!T72</f>
        <v>2</v>
      </c>
      <c r="N9" s="26">
        <f>OverallResult!T73</f>
        <v>0</v>
      </c>
      <c r="O9" s="26">
        <f>OverallResult!T76</f>
        <v>54</v>
      </c>
      <c r="P9" s="39">
        <f t="shared" si="0"/>
        <v>85.714285714285708</v>
      </c>
    </row>
    <row r="10" spans="1:80" ht="15.75" customHeight="1" x14ac:dyDescent="0.25">
      <c r="A10" s="26">
        <v>3</v>
      </c>
      <c r="B10" s="40" t="s">
        <v>185</v>
      </c>
      <c r="C10" s="42" t="s">
        <v>143</v>
      </c>
      <c r="D10" s="26">
        <v>63</v>
      </c>
      <c r="E10" s="26">
        <v>63</v>
      </c>
      <c r="F10" s="26">
        <f>OverallResult!AC65</f>
        <v>6</v>
      </c>
      <c r="G10" s="26">
        <f>OverallResult!AC66</f>
        <v>9</v>
      </c>
      <c r="H10" s="26">
        <f>OverallResult!AC67</f>
        <v>23</v>
      </c>
      <c r="I10" s="26">
        <f>OverallResult!AC68</f>
        <v>13</v>
      </c>
      <c r="J10" s="26">
        <f>OverallResult!AC69</f>
        <v>1</v>
      </c>
      <c r="K10" s="26">
        <f>OverallResult!AC70</f>
        <v>1</v>
      </c>
      <c r="L10" s="26">
        <f>OverallResult!AC71</f>
        <v>1</v>
      </c>
      <c r="M10" s="26">
        <f>OverallResult!AC72</f>
        <v>2</v>
      </c>
      <c r="N10" s="26">
        <f>OverallResult!AC73</f>
        <v>0</v>
      </c>
      <c r="O10" s="26">
        <f>OverallResult!AC76</f>
        <v>54</v>
      </c>
      <c r="P10" s="39">
        <f t="shared" si="0"/>
        <v>85.714285714285708</v>
      </c>
    </row>
    <row r="11" spans="1:80" ht="15.75" customHeight="1" x14ac:dyDescent="0.25">
      <c r="A11" s="26">
        <v>4</v>
      </c>
      <c r="B11" s="40" t="s">
        <v>186</v>
      </c>
      <c r="C11" s="42" t="s">
        <v>144</v>
      </c>
      <c r="D11" s="26">
        <v>63</v>
      </c>
      <c r="E11" s="26">
        <v>63</v>
      </c>
      <c r="F11" s="26">
        <f>OverallResult!AL65</f>
        <v>2</v>
      </c>
      <c r="G11" s="26">
        <f>OverallResult!AL66</f>
        <v>25</v>
      </c>
      <c r="H11" s="26">
        <f>OverallResult!AL67</f>
        <v>25</v>
      </c>
      <c r="I11" s="26">
        <f>OverallResult!AL68</f>
        <v>2</v>
      </c>
      <c r="J11" s="26">
        <f>OverallResult!AL69</f>
        <v>0</v>
      </c>
      <c r="K11" s="26">
        <f>OverallResult!AL70</f>
        <v>0</v>
      </c>
      <c r="L11" s="26">
        <f>OverallResult!AL71</f>
        <v>0</v>
      </c>
      <c r="M11" s="26">
        <f>OverallResult!AL72</f>
        <v>2</v>
      </c>
      <c r="N11" s="26">
        <f>OverallResult!AL73</f>
        <v>0</v>
      </c>
      <c r="O11" s="26">
        <f>OverallResult!AL76</f>
        <v>54</v>
      </c>
      <c r="P11" s="39">
        <f t="shared" si="0"/>
        <v>85.714285714285708</v>
      </c>
    </row>
    <row r="12" spans="1:80" ht="15.75" customHeight="1" x14ac:dyDescent="0.25">
      <c r="A12" s="26">
        <v>5</v>
      </c>
      <c r="B12" s="40" t="s">
        <v>187</v>
      </c>
      <c r="C12" s="42" t="s">
        <v>145</v>
      </c>
      <c r="D12" s="26">
        <v>63</v>
      </c>
      <c r="E12" s="26">
        <v>63</v>
      </c>
      <c r="F12" s="26">
        <f>OverallResult!AU65</f>
        <v>5</v>
      </c>
      <c r="G12" s="26">
        <f>OverallResult!AU66</f>
        <v>32</v>
      </c>
      <c r="H12" s="26">
        <f>OverallResult!AU67</f>
        <v>13</v>
      </c>
      <c r="I12" s="26">
        <f>OverallResult!AU68</f>
        <v>3</v>
      </c>
      <c r="J12" s="26">
        <f>OverallResult!AU69</f>
        <v>1</v>
      </c>
      <c r="K12" s="26">
        <f>OverallResult!AU70</f>
        <v>0</v>
      </c>
      <c r="L12" s="26">
        <f>OverallResult!AU71</f>
        <v>0</v>
      </c>
      <c r="M12" s="26">
        <f>OverallResult!AU72</f>
        <v>2</v>
      </c>
      <c r="N12" s="26">
        <f>OverallResult!AU73</f>
        <v>0</v>
      </c>
      <c r="O12" s="26">
        <f>OverallResult!AU76</f>
        <v>54</v>
      </c>
      <c r="P12" s="39">
        <f t="shared" si="0"/>
        <v>85.714285714285708</v>
      </c>
    </row>
    <row r="13" spans="1:80" ht="15.75" customHeight="1" x14ac:dyDescent="0.25">
      <c r="A13" s="26">
        <v>6</v>
      </c>
      <c r="B13" s="40" t="s">
        <v>188</v>
      </c>
      <c r="C13" s="42" t="s">
        <v>189</v>
      </c>
      <c r="D13" s="26">
        <v>63</v>
      </c>
      <c r="E13" s="26">
        <v>63</v>
      </c>
      <c r="F13" s="26">
        <f>OverallResult!BD65</f>
        <v>1</v>
      </c>
      <c r="G13" s="26">
        <f>OverallResult!BD66</f>
        <v>12</v>
      </c>
      <c r="H13" s="26">
        <f>OverallResult!BD67</f>
        <v>24</v>
      </c>
      <c r="I13" s="26">
        <f>OverallResult!BD68</f>
        <v>15</v>
      </c>
      <c r="J13" s="26">
        <f>OverallResult!BD69</f>
        <v>2</v>
      </c>
      <c r="K13" s="26">
        <f>OverallResult!BD70</f>
        <v>0</v>
      </c>
      <c r="L13" s="26">
        <f>OverallResult!BD71</f>
        <v>0</v>
      </c>
      <c r="M13" s="26">
        <f>OverallResult!BD72</f>
        <v>2</v>
      </c>
      <c r="N13" s="26">
        <f>OverallResult!BD73</f>
        <v>0</v>
      </c>
      <c r="O13" s="26">
        <f>OverallResult!BD76</f>
        <v>54</v>
      </c>
      <c r="P13" s="39">
        <f t="shared" si="0"/>
        <v>85.714285714285708</v>
      </c>
    </row>
    <row r="14" spans="1:80" ht="15.75" customHeight="1" x14ac:dyDescent="0.25">
      <c r="A14" s="113">
        <v>7</v>
      </c>
      <c r="B14" s="40" t="s">
        <v>190</v>
      </c>
      <c r="C14" s="42" t="s">
        <v>35</v>
      </c>
      <c r="D14" s="26">
        <v>39</v>
      </c>
      <c r="E14" s="26">
        <v>39</v>
      </c>
      <c r="F14" s="26">
        <v>2</v>
      </c>
      <c r="G14" s="26">
        <v>17</v>
      </c>
      <c r="H14" s="26">
        <v>16</v>
      </c>
      <c r="I14" s="26">
        <v>4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39</v>
      </c>
      <c r="P14" s="39">
        <f>(O14/39)*100</f>
        <v>100</v>
      </c>
    </row>
    <row r="15" spans="1:80" ht="15.75" customHeight="1" x14ac:dyDescent="0.25">
      <c r="A15" s="114"/>
      <c r="B15" s="41" t="s">
        <v>191</v>
      </c>
      <c r="C15" s="42" t="s">
        <v>192</v>
      </c>
      <c r="D15" s="26">
        <v>24</v>
      </c>
      <c r="E15" s="26">
        <v>24</v>
      </c>
      <c r="F15" s="26">
        <v>19</v>
      </c>
      <c r="G15" s="26">
        <v>4</v>
      </c>
      <c r="H15" s="26">
        <v>1</v>
      </c>
      <c r="I15" s="26">
        <v>0</v>
      </c>
      <c r="J15" s="26">
        <f>OverallResult!BM69</f>
        <v>2</v>
      </c>
      <c r="K15" s="26">
        <f>OverallResult!BM70</f>
        <v>3</v>
      </c>
      <c r="L15" s="26">
        <f>OverallResult!BM71</f>
        <v>4</v>
      </c>
      <c r="M15" s="26">
        <f>OverallResult!BM72</f>
        <v>2</v>
      </c>
      <c r="N15" s="26">
        <f>OverallResult!BM73</f>
        <v>0</v>
      </c>
      <c r="O15" s="26">
        <v>24</v>
      </c>
      <c r="P15" s="39">
        <f>(O15/24)*100</f>
        <v>100</v>
      </c>
    </row>
    <row r="16" spans="1:80" ht="15.75" customHeight="1" x14ac:dyDescent="0.25">
      <c r="A16" s="26">
        <v>8</v>
      </c>
      <c r="B16" s="40" t="s">
        <v>193</v>
      </c>
      <c r="C16" s="42" t="s">
        <v>148</v>
      </c>
      <c r="D16" s="26">
        <v>63</v>
      </c>
      <c r="E16" s="26">
        <v>63</v>
      </c>
      <c r="F16" s="26">
        <f>OverallResult!BV65</f>
        <v>54</v>
      </c>
      <c r="G16" s="26">
        <f>OverallResult!BV66</f>
        <v>0</v>
      </c>
      <c r="H16" s="26">
        <f>OverallResult!BV67</f>
        <v>0</v>
      </c>
      <c r="I16" s="26">
        <f>OverallResult!BV68</f>
        <v>0</v>
      </c>
      <c r="J16" s="26">
        <f>OverallResult!BV69</f>
        <v>0</v>
      </c>
      <c r="K16" s="26">
        <f>OverallResult!BV70</f>
        <v>0</v>
      </c>
      <c r="L16" s="26">
        <f>OverallResult!BV71</f>
        <v>0</v>
      </c>
      <c r="M16" s="26">
        <f>OverallResult!BV72</f>
        <v>2</v>
      </c>
      <c r="N16" s="26">
        <f>OverallResult!BV73</f>
        <v>0</v>
      </c>
      <c r="O16" s="26">
        <f>OverallResult!BV76</f>
        <v>54</v>
      </c>
      <c r="P16" s="39">
        <f>(O16/63)*100</f>
        <v>85.714285714285708</v>
      </c>
    </row>
    <row r="39" spans="14:14" ht="41.4" customHeight="1" x14ac:dyDescent="0.25"/>
    <row r="41" spans="14:14" ht="15.75" customHeight="1" x14ac:dyDescent="0.3">
      <c r="N41" s="2" t="s">
        <v>194</v>
      </c>
    </row>
  </sheetData>
  <mergeCells count="5">
    <mergeCell ref="A3:O3"/>
    <mergeCell ref="A2:O2"/>
    <mergeCell ref="A1:O1"/>
    <mergeCell ref="A5:O5"/>
    <mergeCell ref="A14:A15"/>
  </mergeCells>
  <pageMargins left="0.7" right="0.7" top="0.75" bottom="0.75" header="0.3" footer="0.3"/>
  <pageSetup scale="6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36"/>
  <sheetViews>
    <sheetView zoomScaleNormal="100" workbookViewId="0">
      <selection activeCell="O10" sqref="O10"/>
    </sheetView>
  </sheetViews>
  <sheetFormatPr defaultRowHeight="13.8" x14ac:dyDescent="0.25"/>
  <cols>
    <col min="1" max="1" width="1.5" customWidth="1"/>
    <col min="2" max="2" width="2" customWidth="1"/>
    <col min="3" max="3" width="11.8984375" customWidth="1"/>
    <col min="4" max="4" width="17.69921875" customWidth="1"/>
    <col min="12" max="12" width="12.3984375" customWidth="1"/>
    <col min="13" max="13" width="10.8984375" customWidth="1"/>
  </cols>
  <sheetData>
    <row r="1" spans="2:16" ht="19.5" customHeight="1" x14ac:dyDescent="0.3">
      <c r="B1" s="112" t="s">
        <v>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2"/>
      <c r="O1" s="2"/>
      <c r="P1" s="2"/>
    </row>
    <row r="2" spans="2:16" ht="30.75" customHeight="1" x14ac:dyDescent="0.25">
      <c r="B2" s="111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5"/>
      <c r="O2" s="5"/>
      <c r="P2" s="5"/>
    </row>
    <row r="3" spans="2:16" ht="18" customHeight="1" x14ac:dyDescent="0.3">
      <c r="B3" s="109" t="s">
        <v>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3"/>
      <c r="O3" s="3"/>
      <c r="P3" s="3"/>
    </row>
    <row r="4" spans="2:16" ht="15.75" customHeight="1" x14ac:dyDescent="0.3">
      <c r="N4" s="2"/>
      <c r="O4" s="2"/>
      <c r="P4" s="2"/>
    </row>
    <row r="5" spans="2:16" ht="15.75" customHeight="1" x14ac:dyDescent="0.3">
      <c r="B5" s="100" t="s">
        <v>195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2"/>
      <c r="O5" s="2"/>
      <c r="P5" s="2"/>
    </row>
    <row r="6" spans="2:16" ht="15" customHeight="1" x14ac:dyDescent="0.25"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</row>
    <row r="7" spans="2:16" ht="63" customHeight="1" x14ac:dyDescent="0.25">
      <c r="B7" s="60"/>
      <c r="C7" s="67" t="s">
        <v>196</v>
      </c>
      <c r="D7" s="67" t="s">
        <v>197</v>
      </c>
      <c r="E7" s="67" t="s">
        <v>198</v>
      </c>
      <c r="F7" s="67" t="s">
        <v>199</v>
      </c>
      <c r="G7" s="67" t="s">
        <v>200</v>
      </c>
      <c r="H7" s="67" t="s">
        <v>201</v>
      </c>
      <c r="I7" s="67" t="s">
        <v>202</v>
      </c>
      <c r="J7" s="67" t="s">
        <v>203</v>
      </c>
      <c r="K7" s="67" t="s">
        <v>204</v>
      </c>
      <c r="L7" s="67" t="s">
        <v>205</v>
      </c>
      <c r="M7" s="67" t="s">
        <v>180</v>
      </c>
    </row>
    <row r="8" spans="2:16" ht="15.75" customHeight="1" x14ac:dyDescent="0.3">
      <c r="B8" s="60"/>
      <c r="C8" s="61">
        <f>OverallResult!CB75</f>
        <v>56</v>
      </c>
      <c r="D8" s="62">
        <v>56</v>
      </c>
      <c r="E8" s="63">
        <f>OverallResult!CB65</f>
        <v>12</v>
      </c>
      <c r="F8" s="62">
        <f>OverallResult!CB66</f>
        <v>30</v>
      </c>
      <c r="G8" s="62">
        <f>OverallResult!CB67</f>
        <v>8</v>
      </c>
      <c r="H8" s="62">
        <f>OverallResult!CB68</f>
        <v>4</v>
      </c>
      <c r="I8" s="62">
        <f>OverallResult!CB69</f>
        <v>0</v>
      </c>
      <c r="J8" s="62">
        <f>OverallResult!CB70</f>
        <v>0</v>
      </c>
      <c r="K8" s="62">
        <f>OverallResult!CB71</f>
        <v>0</v>
      </c>
      <c r="L8" s="62">
        <f>OverallResult!CB72</f>
        <v>2</v>
      </c>
      <c r="M8" s="63">
        <f>OverallResult!CB76</f>
        <v>54</v>
      </c>
    </row>
    <row r="9" spans="2:16" ht="11.25" customHeight="1" x14ac:dyDescent="0.3">
      <c r="B9" s="60"/>
      <c r="C9" s="64"/>
      <c r="D9" s="64"/>
      <c r="E9" s="65"/>
      <c r="F9" s="65"/>
      <c r="G9" s="68"/>
      <c r="H9" s="68"/>
      <c r="I9" s="68"/>
      <c r="J9" s="68"/>
      <c r="K9" s="68"/>
      <c r="L9" s="68"/>
      <c r="M9" s="68"/>
    </row>
    <row r="10" spans="2:16" ht="63" customHeight="1" x14ac:dyDescent="0.25">
      <c r="B10" s="60"/>
      <c r="C10" s="67" t="s">
        <v>196</v>
      </c>
      <c r="D10" s="67" t="s">
        <v>197</v>
      </c>
      <c r="E10" s="67" t="s">
        <v>206</v>
      </c>
      <c r="F10" s="67" t="s">
        <v>207</v>
      </c>
      <c r="G10" s="67" t="s">
        <v>208</v>
      </c>
      <c r="H10" s="67" t="s">
        <v>209</v>
      </c>
      <c r="I10" s="67" t="s">
        <v>210</v>
      </c>
      <c r="J10" s="67" t="s">
        <v>211</v>
      </c>
      <c r="K10" s="67" t="s">
        <v>212</v>
      </c>
      <c r="L10" s="67" t="s">
        <v>213</v>
      </c>
      <c r="M10" s="67" t="s">
        <v>214</v>
      </c>
    </row>
    <row r="11" spans="2:16" ht="15.75" customHeight="1" x14ac:dyDescent="0.3">
      <c r="B11" s="60"/>
      <c r="C11" s="61">
        <f>C8</f>
        <v>56</v>
      </c>
      <c r="D11" s="62">
        <v>56</v>
      </c>
      <c r="E11" s="66">
        <f>E8/C8</f>
        <v>0.21428571428571427</v>
      </c>
      <c r="F11" s="66">
        <f>F8/C8</f>
        <v>0.5357142857142857</v>
      </c>
      <c r="G11" s="66">
        <f>G8/C8</f>
        <v>0.14285714285714285</v>
      </c>
      <c r="H11" s="66">
        <f>H8/C8</f>
        <v>7.1428571428571425E-2</v>
      </c>
      <c r="I11" s="63">
        <f>I8/D8*100</f>
        <v>0</v>
      </c>
      <c r="J11" s="63">
        <f>J8/D8*100</f>
        <v>0</v>
      </c>
      <c r="K11" s="63">
        <f>K8/D11</f>
        <v>0</v>
      </c>
      <c r="L11" s="66">
        <f>L8/C8</f>
        <v>3.5714285714285712E-2</v>
      </c>
      <c r="M11" s="66">
        <f>M8/C8</f>
        <v>0.9642857142857143</v>
      </c>
    </row>
    <row r="12" spans="2:16" ht="8.25" customHeight="1" x14ac:dyDescent="0.25"/>
    <row r="35" spans="12:13" ht="15.75" customHeight="1" x14ac:dyDescent="0.3">
      <c r="L35" s="2" t="s">
        <v>194</v>
      </c>
    </row>
    <row r="36" spans="12:13" ht="15.75" customHeight="1" x14ac:dyDescent="0.3">
      <c r="M36" s="2"/>
    </row>
  </sheetData>
  <mergeCells count="4">
    <mergeCell ref="B3:M3"/>
    <mergeCell ref="B5:M5"/>
    <mergeCell ref="B2:M2"/>
    <mergeCell ref="B1:M1"/>
  </mergeCells>
  <printOptions horizontalCentered="1"/>
  <pageMargins left="1" right="1" top="0.5" bottom="0.25" header="0.3" footer="0.3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3"/>
  <sheetViews>
    <sheetView workbookViewId="0">
      <selection activeCell="H17" sqref="H17"/>
    </sheetView>
  </sheetViews>
  <sheetFormatPr defaultRowHeight="13.8" x14ac:dyDescent="0.25"/>
  <sheetData>
    <row r="1" spans="1:19" ht="19.5" customHeight="1" x14ac:dyDescent="0.3">
      <c r="A1" s="112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34"/>
      <c r="N1" s="34"/>
      <c r="O1" s="34"/>
      <c r="P1" s="34"/>
      <c r="Q1" s="34"/>
      <c r="R1" s="34"/>
      <c r="S1" s="34"/>
    </row>
    <row r="2" spans="1:19" ht="28.2" customHeight="1" x14ac:dyDescent="0.25">
      <c r="A2" s="111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32"/>
      <c r="N2" s="32"/>
      <c r="O2" s="32"/>
      <c r="P2" s="32"/>
      <c r="Q2" s="32"/>
      <c r="R2" s="32"/>
      <c r="S2" s="32"/>
    </row>
    <row r="3" spans="1:19" ht="18" customHeight="1" x14ac:dyDescent="0.3">
      <c r="A3" s="109" t="s">
        <v>3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33"/>
      <c r="N3" s="33"/>
      <c r="O3" s="33"/>
      <c r="P3" s="33"/>
      <c r="Q3" s="33"/>
      <c r="R3" s="33"/>
      <c r="S3" s="33"/>
    </row>
    <row r="6" spans="1:19" ht="15.75" customHeight="1" x14ac:dyDescent="0.3">
      <c r="A6" s="100" t="s">
        <v>215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3"/>
      <c r="N6" s="3"/>
      <c r="O6" s="3"/>
      <c r="P6" s="3"/>
      <c r="Q6" s="3"/>
      <c r="R6" s="3"/>
      <c r="S6" s="3"/>
    </row>
    <row r="9" spans="1:19" ht="20.25" customHeight="1" x14ac:dyDescent="0.35">
      <c r="A9" s="115" t="s">
        <v>216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</row>
    <row r="13" spans="1:19" ht="15.75" customHeight="1" x14ac:dyDescent="0.3">
      <c r="J13" s="2" t="s">
        <v>217</v>
      </c>
    </row>
  </sheetData>
  <mergeCells count="5">
    <mergeCell ref="A2:L2"/>
    <mergeCell ref="A1:L1"/>
    <mergeCell ref="A6:L6"/>
    <mergeCell ref="A9:L9"/>
    <mergeCell ref="A3:L3"/>
  </mergeCells>
  <pageMargins left="0.7" right="0.7" top="0.75" bottom="0.75" header="0.3" footer="0.3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15"/>
  <sheetViews>
    <sheetView workbookViewId="0">
      <selection activeCell="CS25" sqref="CS25"/>
    </sheetView>
  </sheetViews>
  <sheetFormatPr defaultColWidth="12.59765625" defaultRowHeight="15" customHeight="1" x14ac:dyDescent="0.25"/>
  <cols>
    <col min="1" max="1" width="8.8984375" style="1" bestFit="1" customWidth="1"/>
    <col min="2" max="2" width="12.19921875" style="1" customWidth="1"/>
    <col min="3" max="3" width="32.3984375" style="1" customWidth="1"/>
    <col min="4" max="4" width="3.8984375" style="17" hidden="1" customWidth="1"/>
    <col min="5" max="5" width="4" style="20" hidden="1" customWidth="1"/>
    <col min="6" max="10" width="4.09765625" style="20" hidden="1" customWidth="1"/>
    <col min="11" max="13" width="4.09765625" style="1" hidden="1" customWidth="1"/>
    <col min="14" max="18" width="4.09765625" style="20" hidden="1" customWidth="1"/>
    <col min="19" max="20" width="4.09765625" style="1" hidden="1" customWidth="1"/>
    <col min="21" max="21" width="4.8984375" style="1" hidden="1" customWidth="1"/>
    <col min="22" max="23" width="4.09765625" style="1" hidden="1" customWidth="1"/>
    <col min="24" max="24" width="4.3984375" style="1" hidden="1" customWidth="1"/>
    <col min="25" max="33" width="4.09765625" style="1" hidden="1" customWidth="1"/>
    <col min="34" max="34" width="3.59765625" style="1" hidden="1" customWidth="1"/>
    <col min="35" max="38" width="4.09765625" style="1" hidden="1" customWidth="1"/>
    <col min="39" max="39" width="4.69921875" style="1" hidden="1" customWidth="1"/>
    <col min="40" max="78" width="4.09765625" style="1" hidden="1" customWidth="1"/>
    <col min="79" max="79" width="6.69921875" style="1" customWidth="1"/>
    <col min="80" max="80" width="5.59765625" style="20" customWidth="1"/>
    <col min="81" max="82" width="5.59765625" style="1" customWidth="1"/>
    <col min="83" max="84" width="5.59765625" style="20" customWidth="1"/>
    <col min="85" max="86" width="5.59765625" style="1" customWidth="1"/>
    <col min="87" max="87" width="10.19921875" style="1" customWidth="1"/>
    <col min="88" max="109" width="5.59765625" style="1" customWidth="1"/>
    <col min="110" max="110" width="12.59765625" style="1" customWidth="1"/>
    <col min="111" max="16384" width="12.59765625" style="1"/>
  </cols>
  <sheetData>
    <row r="1" spans="1:89" ht="15.75" customHeight="1" x14ac:dyDescent="0.3">
      <c r="A1" s="107" t="s">
        <v>0</v>
      </c>
      <c r="B1" s="101"/>
      <c r="C1" s="101"/>
      <c r="D1" s="102"/>
      <c r="E1" s="103"/>
      <c r="F1" s="103"/>
      <c r="G1" s="103"/>
      <c r="H1" s="103"/>
      <c r="I1" s="103"/>
      <c r="J1" s="103"/>
      <c r="K1" s="101"/>
      <c r="L1" s="101"/>
      <c r="M1" s="101"/>
      <c r="N1" s="103"/>
      <c r="O1" s="103"/>
      <c r="P1" s="103"/>
      <c r="Q1" s="103"/>
      <c r="R1" s="103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</row>
    <row r="2" spans="1:89" ht="13.8" x14ac:dyDescent="0.25">
      <c r="A2" s="106" t="s">
        <v>1</v>
      </c>
      <c r="B2" s="101"/>
      <c r="C2" s="101"/>
      <c r="D2" s="102"/>
      <c r="E2" s="103"/>
      <c r="F2" s="103"/>
      <c r="G2" s="103"/>
      <c r="H2" s="103"/>
      <c r="I2" s="103"/>
      <c r="J2" s="103"/>
      <c r="K2" s="101"/>
      <c r="L2" s="101"/>
      <c r="M2" s="101"/>
      <c r="N2" s="103"/>
      <c r="O2" s="103"/>
      <c r="P2" s="103"/>
      <c r="Q2" s="103"/>
      <c r="R2" s="103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</row>
    <row r="3" spans="1:89" ht="15.75" customHeight="1" x14ac:dyDescent="0.3">
      <c r="A3" s="100" t="s">
        <v>218</v>
      </c>
      <c r="B3" s="101"/>
      <c r="C3" s="101"/>
      <c r="D3" s="102"/>
      <c r="E3" s="103"/>
      <c r="F3" s="103"/>
      <c r="G3" s="103"/>
      <c r="H3" s="103"/>
      <c r="I3" s="103"/>
      <c r="J3" s="103"/>
      <c r="K3" s="101"/>
      <c r="L3" s="101"/>
      <c r="M3" s="101"/>
      <c r="N3" s="103"/>
      <c r="O3" s="103"/>
      <c r="P3" s="103"/>
      <c r="Q3" s="103"/>
      <c r="R3" s="103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</row>
    <row r="4" spans="1:89" ht="15.75" customHeight="1" x14ac:dyDescent="0.3">
      <c r="A4" s="107" t="s">
        <v>3</v>
      </c>
      <c r="B4" s="101"/>
      <c r="C4" s="101"/>
      <c r="D4" s="102"/>
      <c r="E4" s="103"/>
      <c r="F4" s="103"/>
      <c r="G4" s="103"/>
      <c r="H4" s="103"/>
      <c r="I4" s="103"/>
      <c r="J4" s="103"/>
      <c r="K4" s="101"/>
      <c r="L4" s="101"/>
      <c r="M4" s="101"/>
      <c r="N4" s="103"/>
      <c r="O4" s="103"/>
      <c r="P4" s="103"/>
      <c r="Q4" s="103"/>
      <c r="R4" s="103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</row>
    <row r="5" spans="1:89" ht="15.7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</row>
    <row r="6" spans="1:89" ht="15.75" customHeight="1" x14ac:dyDescent="0.3">
      <c r="A6" s="12"/>
      <c r="B6" s="12"/>
      <c r="C6" s="13"/>
      <c r="D6" s="108" t="s">
        <v>4</v>
      </c>
      <c r="E6" s="98"/>
      <c r="F6" s="98"/>
      <c r="G6" s="98"/>
      <c r="H6" s="98"/>
      <c r="I6" s="98"/>
      <c r="J6" s="98"/>
      <c r="K6" s="98"/>
      <c r="L6" s="98"/>
      <c r="M6" s="14"/>
      <c r="N6" s="99" t="s">
        <v>5</v>
      </c>
      <c r="O6" s="98"/>
      <c r="P6" s="98"/>
      <c r="Q6" s="98"/>
      <c r="R6" s="98"/>
      <c r="S6" s="98"/>
      <c r="T6" s="98"/>
      <c r="U6" s="98"/>
      <c r="W6" s="97" t="s">
        <v>6</v>
      </c>
      <c r="X6" s="98"/>
      <c r="Y6" s="98"/>
      <c r="Z6" s="98"/>
      <c r="AA6" s="98"/>
      <c r="AB6" s="98"/>
      <c r="AC6" s="98"/>
      <c r="AD6" s="98"/>
      <c r="AF6" s="99" t="s">
        <v>7</v>
      </c>
      <c r="AG6" s="98"/>
      <c r="AH6" s="98"/>
      <c r="AI6" s="98"/>
      <c r="AJ6" s="98"/>
      <c r="AK6" s="98"/>
      <c r="AL6" s="98"/>
      <c r="AM6" s="98"/>
      <c r="AO6" s="99" t="s">
        <v>8</v>
      </c>
      <c r="AP6" s="98"/>
      <c r="AQ6" s="98"/>
      <c r="AR6" s="98"/>
      <c r="AS6" s="98"/>
      <c r="AT6" s="98"/>
      <c r="AU6" s="98"/>
      <c r="AV6" s="98"/>
      <c r="AX6" s="99" t="s">
        <v>9</v>
      </c>
      <c r="AY6" s="98"/>
      <c r="AZ6" s="98"/>
      <c r="BA6" s="98"/>
      <c r="BB6" s="98"/>
      <c r="BC6" s="98"/>
      <c r="BD6" s="98"/>
      <c r="BE6" s="98"/>
      <c r="BG6" s="99" t="s">
        <v>10</v>
      </c>
      <c r="BH6" s="98"/>
      <c r="BI6" s="98"/>
      <c r="BJ6" s="98"/>
      <c r="BK6" s="98"/>
      <c r="BL6" s="98"/>
      <c r="BM6" s="98"/>
      <c r="BN6" s="98"/>
      <c r="BP6" s="99" t="s">
        <v>11</v>
      </c>
      <c r="BQ6" s="98"/>
      <c r="BR6" s="98"/>
      <c r="BS6" s="98"/>
      <c r="BT6" s="98"/>
      <c r="BU6" s="98"/>
      <c r="BV6" s="98"/>
      <c r="BW6" s="98"/>
      <c r="BX6" s="20"/>
    </row>
    <row r="7" spans="1:89" ht="30" customHeight="1" x14ac:dyDescent="0.25">
      <c r="A7" s="4" t="s">
        <v>12</v>
      </c>
      <c r="B7" s="36" t="s">
        <v>13</v>
      </c>
      <c r="C7" s="36" t="s">
        <v>14</v>
      </c>
      <c r="D7" s="4" t="s">
        <v>15</v>
      </c>
      <c r="E7" s="15" t="s">
        <v>16</v>
      </c>
      <c r="F7" s="4" t="s">
        <v>17</v>
      </c>
      <c r="G7" s="4" t="s">
        <v>18</v>
      </c>
      <c r="H7" s="4" t="s">
        <v>19</v>
      </c>
      <c r="I7" s="4" t="s">
        <v>20</v>
      </c>
      <c r="J7" s="4" t="s">
        <v>21</v>
      </c>
      <c r="K7" s="4" t="s">
        <v>22</v>
      </c>
      <c r="L7" s="16" t="s">
        <v>23</v>
      </c>
      <c r="M7" s="17"/>
      <c r="N7" s="15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16" t="s">
        <v>23</v>
      </c>
      <c r="V7" s="17"/>
      <c r="W7" s="15" t="s">
        <v>24</v>
      </c>
      <c r="X7" s="4" t="s">
        <v>17</v>
      </c>
      <c r="Y7" s="4" t="s">
        <v>18</v>
      </c>
      <c r="Z7" s="4" t="s">
        <v>19</v>
      </c>
      <c r="AA7" s="4" t="s">
        <v>20</v>
      </c>
      <c r="AB7" s="4" t="s">
        <v>21</v>
      </c>
      <c r="AC7" s="4" t="s">
        <v>22</v>
      </c>
      <c r="AD7" s="16" t="s">
        <v>23</v>
      </c>
      <c r="AE7" s="17"/>
      <c r="AF7" s="15" t="s">
        <v>24</v>
      </c>
      <c r="AG7" s="4" t="s">
        <v>17</v>
      </c>
      <c r="AH7" s="4" t="s">
        <v>18</v>
      </c>
      <c r="AI7" s="4" t="s">
        <v>19</v>
      </c>
      <c r="AJ7" s="4" t="s">
        <v>20</v>
      </c>
      <c r="AK7" s="4" t="s">
        <v>21</v>
      </c>
      <c r="AL7" s="4" t="s">
        <v>22</v>
      </c>
      <c r="AM7" s="16" t="s">
        <v>23</v>
      </c>
      <c r="AN7" s="17"/>
      <c r="AO7" s="15" t="s">
        <v>24</v>
      </c>
      <c r="AP7" s="4" t="s">
        <v>17</v>
      </c>
      <c r="AQ7" s="4" t="s">
        <v>18</v>
      </c>
      <c r="AR7" s="4" t="s">
        <v>19</v>
      </c>
      <c r="AS7" s="4" t="s">
        <v>20</v>
      </c>
      <c r="AT7" s="4" t="s">
        <v>21</v>
      </c>
      <c r="AU7" s="4" t="s">
        <v>22</v>
      </c>
      <c r="AV7" s="16" t="s">
        <v>23</v>
      </c>
      <c r="AW7" s="17"/>
      <c r="AX7" s="15" t="s">
        <v>24</v>
      </c>
      <c r="AY7" s="4" t="s">
        <v>17</v>
      </c>
      <c r="AZ7" s="4" t="s">
        <v>18</v>
      </c>
      <c r="BA7" s="4" t="s">
        <v>19</v>
      </c>
      <c r="BB7" s="4" t="s">
        <v>20</v>
      </c>
      <c r="BC7" s="4" t="s">
        <v>21</v>
      </c>
      <c r="BD7" s="4" t="s">
        <v>22</v>
      </c>
      <c r="BE7" s="16" t="s">
        <v>23</v>
      </c>
      <c r="BF7" s="17"/>
      <c r="BG7" s="15" t="s">
        <v>24</v>
      </c>
      <c r="BH7" s="4" t="s">
        <v>17</v>
      </c>
      <c r="BI7" s="4" t="s">
        <v>18</v>
      </c>
      <c r="BJ7" s="4" t="s">
        <v>19</v>
      </c>
      <c r="BK7" s="4" t="s">
        <v>20</v>
      </c>
      <c r="BL7" s="4" t="s">
        <v>21</v>
      </c>
      <c r="BM7" s="4" t="s">
        <v>22</v>
      </c>
      <c r="BN7" s="16" t="s">
        <v>23</v>
      </c>
      <c r="BO7" s="17"/>
      <c r="BP7" s="15" t="s">
        <v>24</v>
      </c>
      <c r="BQ7" s="4" t="s">
        <v>17</v>
      </c>
      <c r="BR7" s="4" t="s">
        <v>18</v>
      </c>
      <c r="BS7" s="4" t="s">
        <v>19</v>
      </c>
      <c r="BT7" s="4" t="s">
        <v>20</v>
      </c>
      <c r="BU7" s="4" t="s">
        <v>21</v>
      </c>
      <c r="BV7" s="4" t="s">
        <v>22</v>
      </c>
      <c r="BW7" s="16" t="s">
        <v>23</v>
      </c>
      <c r="BX7" s="16"/>
      <c r="BY7" s="17"/>
      <c r="BZ7" s="17"/>
      <c r="CA7" s="17" t="s">
        <v>25</v>
      </c>
      <c r="CB7" s="48" t="s">
        <v>26</v>
      </c>
      <c r="CC7" s="23" t="s">
        <v>27</v>
      </c>
      <c r="CE7" s="48" t="s">
        <v>28</v>
      </c>
      <c r="CF7" s="48" t="s">
        <v>27</v>
      </c>
    </row>
    <row r="8" spans="1:89" ht="15.75" customHeight="1" x14ac:dyDescent="0.3">
      <c r="A8" s="35" t="e">
        <f>A7+1</f>
        <v>#VALUE!</v>
      </c>
      <c r="B8" s="75" t="s">
        <v>219</v>
      </c>
      <c r="C8" s="74" t="s">
        <v>220</v>
      </c>
      <c r="D8" s="47" t="s">
        <v>31</v>
      </c>
      <c r="E8" s="9">
        <v>50</v>
      </c>
      <c r="F8" s="9">
        <v>47</v>
      </c>
      <c r="G8" s="9"/>
      <c r="H8" s="18">
        <f t="shared" ref="H8:H39" si="0">SUM(E8:F8)</f>
        <v>97</v>
      </c>
      <c r="I8" s="18">
        <v>4</v>
      </c>
      <c r="J8" s="18" t="str">
        <f t="shared" ref="J8:J39" si="1">IF(F8&lt;=17,"0",IF(H8&lt;=39,"0",IF(H8&lt;=49,"4",IF(H8&lt;=54,"5",IF(H8&lt;=59,"6",IF(H8&lt;=69,"7",IF(H8&lt;=79,"8",IF(H8&lt;=89,"9","10"))))))))</f>
        <v>10</v>
      </c>
      <c r="K8" s="18" t="str">
        <f t="shared" ref="K8:K39" si="2">IF(F8&lt;=17,"F",IF(H8&lt;=39,"F",IF(H8&lt;=49,"P",IF(H8&lt;=54,"C",IF(H8&lt;=59,"B",IF(H8&lt;=69,"B+",IF(H8&lt;=79,"A",IF(H8&lt;=89,"A+","O"))))))))</f>
        <v>O</v>
      </c>
      <c r="L8" s="18">
        <f t="shared" ref="L8:L39" si="3">I8*J8</f>
        <v>40</v>
      </c>
      <c r="M8" s="18"/>
      <c r="N8" s="9">
        <v>50</v>
      </c>
      <c r="O8" s="9">
        <v>44</v>
      </c>
      <c r="P8" s="9"/>
      <c r="Q8" s="18">
        <f t="shared" ref="Q8:Q39" si="4">SUM(N8:O8)</f>
        <v>94</v>
      </c>
      <c r="R8" s="18">
        <v>4</v>
      </c>
      <c r="S8" s="18" t="str">
        <f t="shared" ref="S8:S39" si="5">IF(O8&lt;=17,"0",IF(Q8&lt;=39,"4",IF(Q8&lt;=49,"4",IF(Q8&lt;=54,"5",IF(Q8&lt;=59,"6",IF(Q8&lt;=69,"7",IF(Q8&lt;=79,"8",IF(Q8&lt;=89,"9","10"))))))))</f>
        <v>10</v>
      </c>
      <c r="T8" s="18" t="str">
        <f t="shared" ref="T8:T39" si="6">IF(O8&lt;=17,"F",IF(Q8&lt;=39,"F",IF(Q8&lt;=49,"P",IF(Q8&lt;=54,"C",IF(Q8&lt;=59,"B",IF(Q8&lt;=69,"B+",IF(Q8&lt;=79,"A",IF(Q8&lt;=89,"A+","O"))))))))</f>
        <v>O</v>
      </c>
      <c r="U8" s="18">
        <f t="shared" ref="U8:U39" si="7">R8*S8</f>
        <v>40</v>
      </c>
      <c r="V8" s="18"/>
      <c r="W8" s="9">
        <v>50</v>
      </c>
      <c r="X8" s="9">
        <v>48</v>
      </c>
      <c r="Y8" s="18"/>
      <c r="Z8" s="18">
        <f t="shared" ref="Z8:Z39" si="8">SUM(W8:X8)</f>
        <v>98</v>
      </c>
      <c r="AA8" s="18">
        <v>3</v>
      </c>
      <c r="AB8" s="18" t="str">
        <f t="shared" ref="AB8:AB39" si="9">IF(X8&lt;=17,"0",IF(Z8&lt;=39,"0",IF(Z8&lt;=49,"4",IF(Z8&lt;=54,"5",IF(Z8&lt;=59,"6",IF(Z8&lt;=69,"7",IF(Z8&lt;=79,"8",IF(Z8&lt;=89,"9","10"))))))))</f>
        <v>10</v>
      </c>
      <c r="AC8" s="18" t="str">
        <f t="shared" ref="AC8:AC39" si="10">IF(X8&lt;=17,"F",IF(Z8&lt;=39,"F",IF(Z8&lt;=49,"P",IF(Z8&lt;=54,"C",IF(Z8&lt;=59,"B",IF(Z8&lt;=69,"B+",IF(Z8&lt;=79,"A",IF(Z8&lt;=89,"A+","O"))))))))</f>
        <v>O</v>
      </c>
      <c r="AD8" s="18">
        <f t="shared" ref="AD8:AD39" si="11">AA8*AB8</f>
        <v>30</v>
      </c>
      <c r="AE8" s="18"/>
      <c r="AF8" s="27">
        <v>50</v>
      </c>
      <c r="AG8" s="27">
        <v>42</v>
      </c>
      <c r="AH8" s="9"/>
      <c r="AI8" s="18">
        <f t="shared" ref="AI8:AI39" si="12">SUM(AF8:AG8)</f>
        <v>92</v>
      </c>
      <c r="AJ8" s="18">
        <v>3</v>
      </c>
      <c r="AK8" s="18" t="str">
        <f t="shared" ref="AK8:AK39" si="13">IF(AG8&lt;=17,"0",IF(AI8&lt;=39,"0",IF(AI8&lt;=49,"4",IF(AI8&lt;=54,"5",IF(AI8&lt;=59,"6",IF(AI8&lt;=69,"7",IF(AI8&lt;=79,"8",IF(AI8&lt;=89,"9","10"))))))))</f>
        <v>10</v>
      </c>
      <c r="AL8" s="18" t="str">
        <f t="shared" ref="AL8:AL39" si="14">IF(AG8&lt;=17,"F",IF(AI8&lt;=39,"F",IF(AI8&lt;=49,"P",IF(AI8&lt;=54,"C",IF(AI8&lt;=59,"B",IF(AI8&lt;=69,"B+",IF(AI8&lt;=79,"A",IF(AI8&lt;=89,"A+","O"))))))))</f>
        <v>O</v>
      </c>
      <c r="AM8" s="18">
        <f t="shared" ref="AM8:AM39" si="15">AJ8*AK8</f>
        <v>30</v>
      </c>
      <c r="AN8" s="18"/>
      <c r="AO8" s="27">
        <v>50</v>
      </c>
      <c r="AP8" s="27">
        <v>41</v>
      </c>
      <c r="AQ8" s="9"/>
      <c r="AR8" s="18">
        <f t="shared" ref="AR8:AR39" si="16">(AO8+AP8)</f>
        <v>91</v>
      </c>
      <c r="AS8" s="18">
        <v>3</v>
      </c>
      <c r="AT8" s="18" t="str">
        <f t="shared" ref="AT8:AT39" si="17">IF(AP8&lt;=17,"0",IF(AR8&lt;=39,"0",IF(AR8&lt;=49,"4",IF(AR8&lt;=54,"5",IF(AR8&lt;=59,"6",IF(AR8&lt;=69,"7",IF(AR8&lt;=79,"8",IF(AR8&lt;=89,"9","10"))))))))</f>
        <v>10</v>
      </c>
      <c r="AU8" s="18" t="str">
        <f t="shared" ref="AU8:AU39" si="18">IF(AP8&lt;=17,"F",IF(AR8&lt;=39,"F",IF(AR8&lt;=49,"P",IF(AR8&lt;=54,"C",IF(AR8&lt;=59,"B",IF(AR8&lt;=69,"B+",IF(AR8&lt;=79,"A",IF(AR8&lt;=89,"A+","O"))))))))</f>
        <v>O</v>
      </c>
      <c r="AV8" s="18">
        <f t="shared" ref="AV8:AV39" si="19">AS8*AT8</f>
        <v>30</v>
      </c>
      <c r="AW8" s="18"/>
      <c r="AX8" s="9">
        <v>50</v>
      </c>
      <c r="AY8" s="9">
        <v>36</v>
      </c>
      <c r="AZ8" s="9"/>
      <c r="BA8" s="18">
        <f t="shared" ref="BA8:BA39" si="20">(AX8+AY8)</f>
        <v>86</v>
      </c>
      <c r="BB8" s="18">
        <v>1</v>
      </c>
      <c r="BC8" s="18" t="str">
        <f t="shared" ref="BC8:BC39" si="21">IF(AY8&lt;=17,"0",IF(BA8&lt;=39,"0",IF(BA8&lt;=49,"4",IF(BA8&lt;=54,"5",IF(BA8&lt;=59,"6",IF(BA8&lt;=69,"7",IF(BA8&lt;=79,"8",IF(BA8&lt;=89,"9","10"))))))))</f>
        <v>9</v>
      </c>
      <c r="BD8" s="18" t="str">
        <f t="shared" ref="BD8:BD39" si="22">IF(AY8&lt;=17,"F",IF(BA8&lt;=39,"F",IF(BA8&lt;=49,"P",IF(BA8&lt;=54,"C",IF(BA8&lt;=59,"B",IF(BA8&lt;=69,"B+",IF(BA8&lt;=79,"A",IF(BA8&lt;=89,"A+","O"))))))))</f>
        <v>A+</v>
      </c>
      <c r="BE8" s="18">
        <f t="shared" ref="BE8:BE39" si="23">BB8*BC8</f>
        <v>9</v>
      </c>
      <c r="BF8" s="43" t="s">
        <v>35</v>
      </c>
      <c r="BG8" s="9">
        <v>50</v>
      </c>
      <c r="BH8" s="9">
        <v>37</v>
      </c>
      <c r="BI8" s="9"/>
      <c r="BJ8" s="18">
        <f t="shared" ref="BJ8:BJ39" si="24">(BG8+BH8)</f>
        <v>87</v>
      </c>
      <c r="BK8" s="18">
        <v>1</v>
      </c>
      <c r="BL8" s="18" t="str">
        <f t="shared" ref="BL8:BL39" si="25">IF(BH8&lt;=17,"0",IF(BJ8&lt;=39,"0",IF(BJ8&lt;=49,"4",IF(BJ8&lt;=54,"5",IF(BJ8&lt;=59,"6",IF(BJ8&lt;=69,"7",IF(BJ8&lt;=79,"8",IF(BJ8&lt;=89,"9","10"))))))))</f>
        <v>9</v>
      </c>
      <c r="BM8" s="18" t="str">
        <f t="shared" ref="BM8:BM39" si="26">IF(BH8&lt;=17,"F",IF(BJ8&lt;=39,"F",IF(BJ8&lt;=49,"P",IF(BJ8&lt;=54,"C",IF(BJ8&lt;=59,"B",IF(BJ8&lt;=69,"B+",IF(BJ8&lt;=79,"A",IF(BJ8&lt;=89,"A+","O"))))))))</f>
        <v>A+</v>
      </c>
      <c r="BN8" s="18">
        <f t="shared" ref="BN8:BN39" si="27">BK8*BL8</f>
        <v>9</v>
      </c>
      <c r="BO8" s="18"/>
      <c r="BP8" s="9">
        <v>50</v>
      </c>
      <c r="BQ8" s="9">
        <v>43</v>
      </c>
      <c r="BR8" s="9"/>
      <c r="BS8" s="18">
        <f t="shared" ref="BS8:BS39" si="28">(BP8+BQ8)</f>
        <v>93</v>
      </c>
      <c r="BT8" s="18">
        <v>1</v>
      </c>
      <c r="BU8" s="18" t="str">
        <f t="shared" ref="BU8:BU39" si="29">IF(BQ8&lt;=17,"0",IF(BS8&lt;=39,"0",IF(BS8&lt;=49,"4",IF(BS8&lt;=54,"5",IF(BS8&lt;=59,"6",IF(BS8&lt;=69,"7",IF(BS8&lt;=79,"8",IF(BS8&lt;=89,"9","10"))))))))</f>
        <v>10</v>
      </c>
      <c r="BV8" s="18" t="str">
        <f t="shared" ref="BV8:BV39" si="30">IF(BQ8&lt;=17,"F",IF(BS8&lt;=39,"F",IF(BS8&lt;=49,"P",IF(BS8&lt;=54,"C",IF(BS8&lt;=59,"B",IF(BS8&lt;=69,"B+",IF(BS8&lt;=79,"A",IF(BS8&lt;=89,"A+","O"))))))))</f>
        <v>O</v>
      </c>
      <c r="BW8" s="18">
        <f t="shared" ref="BW8:BW39" si="31">BT8*BU8</f>
        <v>10</v>
      </c>
      <c r="BX8" s="18"/>
      <c r="BY8" s="18"/>
      <c r="BZ8" s="18">
        <f t="shared" ref="BZ8:BZ39" si="32">L8+U8+AD8+AM8+AV8+BE8+BN8+BW8</f>
        <v>198</v>
      </c>
      <c r="CA8" s="19">
        <f t="shared" ref="CA8:CA39" si="33">BZ8/20</f>
        <v>9.9</v>
      </c>
      <c r="CB8" s="28" t="str">
        <f t="shared" ref="CB8:CB39" si="34">IF(CA8&lt;4,"F",IF(BV8="F","F",IF(BM8="F","F",IF(BD8="F","F",IF(AU8="F","F",IF(AL8="F","F",IF(AC8="F","F",IF(T8="F","F",IF(K8="F","F",IF(CA8&lt;=5,"C",IF(CA8&lt;6,"B",IF(CA8&lt;7,"B+",IF(CA8&lt;8,"A",IF(CA8&lt;=9,"A+","O"))))))))))))))</f>
        <v>O</v>
      </c>
      <c r="CC8" s="27">
        <f t="shared" ref="CC8:CC39" si="35">CA8*9.5</f>
        <v>94.05</v>
      </c>
      <c r="CD8" s="27"/>
      <c r="CE8" s="28">
        <f t="shared" ref="CE8:CE39" si="36">SUM(BS8,BJ8,BA8,AR8,AI8,Z8,Q8,H8)</f>
        <v>738</v>
      </c>
      <c r="CF8" s="28">
        <f t="shared" ref="CF8:CF39" si="37">(CE8/800)*100</f>
        <v>92.25</v>
      </c>
      <c r="CG8" s="27"/>
      <c r="CH8" s="27"/>
      <c r="CI8" s="27" t="str">
        <f t="shared" ref="CI8:CI39" si="38">IF(CA8&lt;=4,"F",IF(CA8&lt;=6,"PASS",IF(CA8&lt;=6.5,"SC",IF(CA8&lt;=7.5,"FC",IF(CA8&lt;="10","FCD")))))</f>
        <v>FCD</v>
      </c>
      <c r="CJ8" s="1">
        <v>9.9</v>
      </c>
      <c r="CK8" s="1">
        <v>9.5</v>
      </c>
    </row>
    <row r="9" spans="1:89" ht="15.75" customHeight="1" x14ac:dyDescent="0.3">
      <c r="A9" s="35" t="e">
        <f>A8+1</f>
        <v>#VALUE!</v>
      </c>
      <c r="B9" s="37" t="s">
        <v>221</v>
      </c>
      <c r="C9" s="44" t="s">
        <v>222</v>
      </c>
      <c r="D9" s="47" t="s">
        <v>31</v>
      </c>
      <c r="E9" s="9">
        <v>50</v>
      </c>
      <c r="F9" s="9">
        <v>44</v>
      </c>
      <c r="G9" s="9"/>
      <c r="H9" s="18">
        <f t="shared" si="0"/>
        <v>94</v>
      </c>
      <c r="I9" s="18">
        <v>4</v>
      </c>
      <c r="J9" s="18" t="str">
        <f t="shared" si="1"/>
        <v>10</v>
      </c>
      <c r="K9" s="18" t="str">
        <f t="shared" si="2"/>
        <v>O</v>
      </c>
      <c r="L9" s="18">
        <f t="shared" si="3"/>
        <v>40</v>
      </c>
      <c r="M9" s="18"/>
      <c r="N9" s="9">
        <v>50</v>
      </c>
      <c r="O9" s="9">
        <v>39</v>
      </c>
      <c r="P9" s="9"/>
      <c r="Q9" s="18">
        <f t="shared" si="4"/>
        <v>89</v>
      </c>
      <c r="R9" s="18">
        <v>4</v>
      </c>
      <c r="S9" s="18" t="str">
        <f t="shared" si="5"/>
        <v>9</v>
      </c>
      <c r="T9" s="18" t="str">
        <f t="shared" si="6"/>
        <v>A+</v>
      </c>
      <c r="U9" s="18">
        <f t="shared" si="7"/>
        <v>36</v>
      </c>
      <c r="V9" s="18"/>
      <c r="W9" s="9">
        <v>50</v>
      </c>
      <c r="X9" s="9">
        <v>44</v>
      </c>
      <c r="Y9" s="18"/>
      <c r="Z9" s="18">
        <f t="shared" si="8"/>
        <v>94</v>
      </c>
      <c r="AA9" s="18">
        <v>3</v>
      </c>
      <c r="AB9" s="18" t="str">
        <f t="shared" si="9"/>
        <v>10</v>
      </c>
      <c r="AC9" s="18" t="str">
        <f t="shared" si="10"/>
        <v>O</v>
      </c>
      <c r="AD9" s="18">
        <f t="shared" si="11"/>
        <v>30</v>
      </c>
      <c r="AE9" s="18"/>
      <c r="AF9" s="46">
        <v>50</v>
      </c>
      <c r="AG9" s="46">
        <v>42</v>
      </c>
      <c r="AH9" s="9"/>
      <c r="AI9" s="18">
        <f t="shared" si="12"/>
        <v>92</v>
      </c>
      <c r="AJ9" s="18">
        <v>3</v>
      </c>
      <c r="AK9" s="18" t="str">
        <f t="shared" si="13"/>
        <v>10</v>
      </c>
      <c r="AL9" s="18" t="str">
        <f t="shared" si="14"/>
        <v>O</v>
      </c>
      <c r="AM9" s="18">
        <f t="shared" si="15"/>
        <v>30</v>
      </c>
      <c r="AN9" s="18"/>
      <c r="AO9" s="46">
        <v>50</v>
      </c>
      <c r="AP9" s="46">
        <v>41</v>
      </c>
      <c r="AQ9" s="9"/>
      <c r="AR9" s="18">
        <f t="shared" si="16"/>
        <v>91</v>
      </c>
      <c r="AS9" s="18">
        <v>3</v>
      </c>
      <c r="AT9" s="18" t="str">
        <f t="shared" si="17"/>
        <v>10</v>
      </c>
      <c r="AU9" s="18" t="str">
        <f t="shared" si="18"/>
        <v>O</v>
      </c>
      <c r="AV9" s="18">
        <f t="shared" si="19"/>
        <v>30</v>
      </c>
      <c r="AW9" s="18"/>
      <c r="AX9" s="9">
        <v>50</v>
      </c>
      <c r="AY9" s="9">
        <v>31</v>
      </c>
      <c r="AZ9" s="9"/>
      <c r="BA9" s="18">
        <f t="shared" si="20"/>
        <v>81</v>
      </c>
      <c r="BB9" s="18">
        <v>1</v>
      </c>
      <c r="BC9" s="18" t="str">
        <f t="shared" si="21"/>
        <v>9</v>
      </c>
      <c r="BD9" s="18" t="str">
        <f t="shared" si="22"/>
        <v>A+</v>
      </c>
      <c r="BE9" s="18">
        <f t="shared" si="23"/>
        <v>9</v>
      </c>
      <c r="BF9" s="43" t="s">
        <v>32</v>
      </c>
      <c r="BG9" s="9">
        <v>50</v>
      </c>
      <c r="BH9" s="9">
        <v>47</v>
      </c>
      <c r="BI9" s="9"/>
      <c r="BJ9" s="18">
        <f t="shared" si="24"/>
        <v>97</v>
      </c>
      <c r="BK9" s="18">
        <v>1</v>
      </c>
      <c r="BL9" s="18" t="str">
        <f t="shared" si="25"/>
        <v>10</v>
      </c>
      <c r="BM9" s="18" t="str">
        <f t="shared" si="26"/>
        <v>O</v>
      </c>
      <c r="BN9" s="18">
        <f t="shared" si="27"/>
        <v>10</v>
      </c>
      <c r="BO9" s="18"/>
      <c r="BP9" s="9">
        <v>50</v>
      </c>
      <c r="BQ9" s="9">
        <v>42</v>
      </c>
      <c r="BR9" s="9"/>
      <c r="BS9" s="18">
        <f t="shared" si="28"/>
        <v>92</v>
      </c>
      <c r="BT9" s="18">
        <v>1</v>
      </c>
      <c r="BU9" s="18" t="str">
        <f t="shared" si="29"/>
        <v>10</v>
      </c>
      <c r="BV9" s="18" t="str">
        <f t="shared" si="30"/>
        <v>O</v>
      </c>
      <c r="BW9" s="18">
        <f t="shared" si="31"/>
        <v>10</v>
      </c>
      <c r="BX9" s="18"/>
      <c r="BY9" s="18"/>
      <c r="BZ9" s="18">
        <f t="shared" si="32"/>
        <v>195</v>
      </c>
      <c r="CA9" s="19">
        <f t="shared" si="33"/>
        <v>9.75</v>
      </c>
      <c r="CB9" s="28" t="str">
        <f t="shared" si="34"/>
        <v>O</v>
      </c>
      <c r="CC9" s="27">
        <f t="shared" si="35"/>
        <v>92.625</v>
      </c>
      <c r="CD9" s="27"/>
      <c r="CE9" s="28">
        <f t="shared" si="36"/>
        <v>730</v>
      </c>
      <c r="CF9" s="28">
        <f t="shared" si="37"/>
        <v>91.25</v>
      </c>
      <c r="CG9" s="27"/>
      <c r="CH9" s="27"/>
      <c r="CI9" s="27" t="str">
        <f t="shared" si="38"/>
        <v>FCD</v>
      </c>
      <c r="CJ9" s="59">
        <v>9.75</v>
      </c>
      <c r="CK9" s="59">
        <v>9.3000000000000007</v>
      </c>
    </row>
    <row r="10" spans="1:89" ht="15.75" customHeight="1" x14ac:dyDescent="0.3">
      <c r="A10" s="35">
        <v>63</v>
      </c>
      <c r="B10" s="37" t="s">
        <v>223</v>
      </c>
      <c r="C10" s="44" t="s">
        <v>224</v>
      </c>
      <c r="D10" s="47" t="s">
        <v>31</v>
      </c>
      <c r="E10" s="9">
        <v>50</v>
      </c>
      <c r="F10" s="9">
        <v>50</v>
      </c>
      <c r="G10" s="9"/>
      <c r="H10" s="18">
        <f t="shared" si="0"/>
        <v>100</v>
      </c>
      <c r="I10" s="18">
        <v>4</v>
      </c>
      <c r="J10" s="18" t="str">
        <f t="shared" si="1"/>
        <v>10</v>
      </c>
      <c r="K10" s="18" t="str">
        <f t="shared" si="2"/>
        <v>O</v>
      </c>
      <c r="L10" s="18">
        <f t="shared" si="3"/>
        <v>40</v>
      </c>
      <c r="M10" s="18"/>
      <c r="N10" s="9">
        <v>50</v>
      </c>
      <c r="O10" s="9">
        <v>41</v>
      </c>
      <c r="P10" s="9"/>
      <c r="Q10" s="18">
        <f t="shared" si="4"/>
        <v>91</v>
      </c>
      <c r="R10" s="18">
        <v>4</v>
      </c>
      <c r="S10" s="18" t="str">
        <f t="shared" si="5"/>
        <v>10</v>
      </c>
      <c r="T10" s="18" t="str">
        <f t="shared" si="6"/>
        <v>O</v>
      </c>
      <c r="U10" s="18">
        <f t="shared" si="7"/>
        <v>40</v>
      </c>
      <c r="V10" s="18"/>
      <c r="W10" s="9">
        <v>50</v>
      </c>
      <c r="X10" s="9">
        <v>49</v>
      </c>
      <c r="Y10" s="18"/>
      <c r="Z10" s="18">
        <f t="shared" si="8"/>
        <v>99</v>
      </c>
      <c r="AA10" s="18">
        <v>3</v>
      </c>
      <c r="AB10" s="18" t="str">
        <f t="shared" si="9"/>
        <v>10</v>
      </c>
      <c r="AC10" s="18" t="str">
        <f t="shared" si="10"/>
        <v>O</v>
      </c>
      <c r="AD10" s="18">
        <f t="shared" si="11"/>
        <v>30</v>
      </c>
      <c r="AE10" s="18"/>
      <c r="AF10" s="46">
        <v>50</v>
      </c>
      <c r="AG10" s="46">
        <v>33</v>
      </c>
      <c r="AH10" s="9"/>
      <c r="AI10" s="18">
        <f t="shared" si="12"/>
        <v>83</v>
      </c>
      <c r="AJ10" s="18">
        <v>3</v>
      </c>
      <c r="AK10" s="18" t="str">
        <f t="shared" si="13"/>
        <v>9</v>
      </c>
      <c r="AL10" s="18" t="str">
        <f t="shared" si="14"/>
        <v>A+</v>
      </c>
      <c r="AM10" s="18">
        <f t="shared" si="15"/>
        <v>27</v>
      </c>
      <c r="AN10" s="28"/>
      <c r="AO10" s="9">
        <v>50</v>
      </c>
      <c r="AP10" s="46">
        <v>34</v>
      </c>
      <c r="AQ10" s="9"/>
      <c r="AR10" s="18">
        <f t="shared" si="16"/>
        <v>84</v>
      </c>
      <c r="AS10" s="18">
        <v>3</v>
      </c>
      <c r="AT10" s="18" t="str">
        <f t="shared" si="17"/>
        <v>9</v>
      </c>
      <c r="AU10" s="18" t="str">
        <f t="shared" si="18"/>
        <v>A+</v>
      </c>
      <c r="AV10" s="18">
        <f t="shared" si="19"/>
        <v>27</v>
      </c>
      <c r="AW10" s="18"/>
      <c r="AX10" s="9">
        <v>50</v>
      </c>
      <c r="AY10" s="9">
        <v>41</v>
      </c>
      <c r="AZ10" s="9"/>
      <c r="BA10" s="18">
        <f t="shared" si="20"/>
        <v>91</v>
      </c>
      <c r="BB10" s="18">
        <v>1</v>
      </c>
      <c r="BC10" s="18" t="str">
        <f t="shared" si="21"/>
        <v>10</v>
      </c>
      <c r="BD10" s="18" t="str">
        <f t="shared" si="22"/>
        <v>O</v>
      </c>
      <c r="BE10" s="18">
        <f t="shared" si="23"/>
        <v>10</v>
      </c>
      <c r="BF10" s="43" t="s">
        <v>32</v>
      </c>
      <c r="BG10" s="9">
        <v>50</v>
      </c>
      <c r="BH10" s="9">
        <v>49</v>
      </c>
      <c r="BI10" s="9"/>
      <c r="BJ10" s="18">
        <f t="shared" si="24"/>
        <v>99</v>
      </c>
      <c r="BK10" s="18">
        <v>1</v>
      </c>
      <c r="BL10" s="18" t="str">
        <f t="shared" si="25"/>
        <v>10</v>
      </c>
      <c r="BM10" s="18" t="str">
        <f t="shared" si="26"/>
        <v>O</v>
      </c>
      <c r="BN10" s="18">
        <f t="shared" si="27"/>
        <v>10</v>
      </c>
      <c r="BO10" s="18"/>
      <c r="BP10" s="9">
        <v>50</v>
      </c>
      <c r="BQ10" s="9">
        <v>45</v>
      </c>
      <c r="BR10" s="9"/>
      <c r="BS10" s="18">
        <f t="shared" si="28"/>
        <v>95</v>
      </c>
      <c r="BT10" s="18">
        <v>1</v>
      </c>
      <c r="BU10" s="18" t="str">
        <f t="shared" si="29"/>
        <v>10</v>
      </c>
      <c r="BV10" s="18" t="str">
        <f t="shared" si="30"/>
        <v>O</v>
      </c>
      <c r="BW10" s="18">
        <f t="shared" si="31"/>
        <v>10</v>
      </c>
      <c r="BX10" s="18"/>
      <c r="BY10" s="18"/>
      <c r="BZ10" s="18">
        <f t="shared" si="32"/>
        <v>194</v>
      </c>
      <c r="CA10" s="19">
        <f t="shared" si="33"/>
        <v>9.6999999999999993</v>
      </c>
      <c r="CB10" s="28" t="str">
        <f t="shared" si="34"/>
        <v>O</v>
      </c>
      <c r="CC10" s="27">
        <f t="shared" si="35"/>
        <v>92.149999999999991</v>
      </c>
      <c r="CD10" s="27"/>
      <c r="CE10" s="28">
        <f t="shared" si="36"/>
        <v>742</v>
      </c>
      <c r="CF10" s="28">
        <f t="shared" si="37"/>
        <v>92.75</v>
      </c>
      <c r="CG10" s="27"/>
      <c r="CH10" s="27"/>
      <c r="CI10" s="27" t="str">
        <f t="shared" si="38"/>
        <v>FCD</v>
      </c>
      <c r="CJ10" s="1">
        <v>9.6999999999999993</v>
      </c>
      <c r="CK10" s="1">
        <v>8.9499999999999993</v>
      </c>
    </row>
    <row r="11" spans="1:89" ht="15.75" customHeight="1" x14ac:dyDescent="0.3">
      <c r="A11" s="35">
        <f>A10+1</f>
        <v>64</v>
      </c>
      <c r="B11" s="37" t="s">
        <v>225</v>
      </c>
      <c r="C11" s="44" t="s">
        <v>226</v>
      </c>
      <c r="D11" s="47" t="s">
        <v>31</v>
      </c>
      <c r="E11" s="9">
        <v>50</v>
      </c>
      <c r="F11" s="9">
        <v>45</v>
      </c>
      <c r="G11" s="9"/>
      <c r="H11" s="18">
        <f t="shared" si="0"/>
        <v>95</v>
      </c>
      <c r="I11" s="18">
        <v>4</v>
      </c>
      <c r="J11" s="18" t="str">
        <f t="shared" si="1"/>
        <v>10</v>
      </c>
      <c r="K11" s="18" t="str">
        <f t="shared" si="2"/>
        <v>O</v>
      </c>
      <c r="L11" s="18">
        <f t="shared" si="3"/>
        <v>40</v>
      </c>
      <c r="M11" s="18"/>
      <c r="N11" s="9">
        <v>50</v>
      </c>
      <c r="O11" s="9">
        <v>38</v>
      </c>
      <c r="P11" s="9"/>
      <c r="Q11" s="18">
        <f t="shared" si="4"/>
        <v>88</v>
      </c>
      <c r="R11" s="18">
        <v>4</v>
      </c>
      <c r="S11" s="18" t="str">
        <f t="shared" si="5"/>
        <v>9</v>
      </c>
      <c r="T11" s="18" t="str">
        <f t="shared" si="6"/>
        <v>A+</v>
      </c>
      <c r="U11" s="18">
        <f t="shared" si="7"/>
        <v>36</v>
      </c>
      <c r="V11" s="18"/>
      <c r="W11" s="9">
        <v>50</v>
      </c>
      <c r="X11" s="9">
        <v>47</v>
      </c>
      <c r="Y11" s="18"/>
      <c r="Z11" s="18">
        <f t="shared" si="8"/>
        <v>97</v>
      </c>
      <c r="AA11" s="18">
        <v>3</v>
      </c>
      <c r="AB11" s="18" t="str">
        <f t="shared" si="9"/>
        <v>10</v>
      </c>
      <c r="AC11" s="18" t="str">
        <f t="shared" si="10"/>
        <v>O</v>
      </c>
      <c r="AD11" s="18">
        <f t="shared" si="11"/>
        <v>30</v>
      </c>
      <c r="AE11" s="18"/>
      <c r="AF11" s="46">
        <v>50</v>
      </c>
      <c r="AG11" s="46">
        <v>46</v>
      </c>
      <c r="AH11" s="9"/>
      <c r="AI11" s="18">
        <f t="shared" si="12"/>
        <v>96</v>
      </c>
      <c r="AJ11" s="18">
        <v>3</v>
      </c>
      <c r="AK11" s="18" t="str">
        <f t="shared" si="13"/>
        <v>10</v>
      </c>
      <c r="AL11" s="18" t="str">
        <f t="shared" si="14"/>
        <v>O</v>
      </c>
      <c r="AM11" s="18">
        <f t="shared" si="15"/>
        <v>30</v>
      </c>
      <c r="AN11" s="18"/>
      <c r="AO11" s="46">
        <v>50</v>
      </c>
      <c r="AP11" s="46">
        <v>44</v>
      </c>
      <c r="AQ11" s="9"/>
      <c r="AR11" s="18">
        <f t="shared" si="16"/>
        <v>94</v>
      </c>
      <c r="AS11" s="18">
        <v>3</v>
      </c>
      <c r="AT11" s="18" t="str">
        <f t="shared" si="17"/>
        <v>10</v>
      </c>
      <c r="AU11" s="18" t="str">
        <f t="shared" si="18"/>
        <v>O</v>
      </c>
      <c r="AV11" s="18">
        <f t="shared" si="19"/>
        <v>30</v>
      </c>
      <c r="AW11" s="18"/>
      <c r="AX11" s="9">
        <v>50</v>
      </c>
      <c r="AY11" s="9">
        <v>36</v>
      </c>
      <c r="AZ11" s="9"/>
      <c r="BA11" s="18">
        <f t="shared" si="20"/>
        <v>86</v>
      </c>
      <c r="BB11" s="18">
        <v>1</v>
      </c>
      <c r="BC11" s="18" t="str">
        <f t="shared" si="21"/>
        <v>9</v>
      </c>
      <c r="BD11" s="18" t="str">
        <f t="shared" si="22"/>
        <v>A+</v>
      </c>
      <c r="BE11" s="18">
        <f t="shared" si="23"/>
        <v>9</v>
      </c>
      <c r="BF11" s="43" t="s">
        <v>35</v>
      </c>
      <c r="BG11" s="9">
        <v>50</v>
      </c>
      <c r="BH11" s="9">
        <v>42</v>
      </c>
      <c r="BI11" s="9"/>
      <c r="BJ11" s="18">
        <f t="shared" si="24"/>
        <v>92</v>
      </c>
      <c r="BK11" s="18">
        <v>1</v>
      </c>
      <c r="BL11" s="18" t="str">
        <f t="shared" si="25"/>
        <v>10</v>
      </c>
      <c r="BM11" s="18" t="str">
        <f t="shared" si="26"/>
        <v>O</v>
      </c>
      <c r="BN11" s="18">
        <f t="shared" si="27"/>
        <v>10</v>
      </c>
      <c r="BO11" s="18"/>
      <c r="BP11" s="9">
        <v>50</v>
      </c>
      <c r="BQ11" s="9">
        <v>39</v>
      </c>
      <c r="BR11" s="9"/>
      <c r="BS11" s="18">
        <f t="shared" si="28"/>
        <v>89</v>
      </c>
      <c r="BT11" s="18">
        <v>1</v>
      </c>
      <c r="BU11" s="18" t="str">
        <f t="shared" si="29"/>
        <v>9</v>
      </c>
      <c r="BV11" s="18" t="str">
        <f t="shared" si="30"/>
        <v>A+</v>
      </c>
      <c r="BW11" s="18">
        <f t="shared" si="31"/>
        <v>9</v>
      </c>
      <c r="BX11" s="18"/>
      <c r="BY11" s="18"/>
      <c r="BZ11" s="18">
        <f t="shared" si="32"/>
        <v>194</v>
      </c>
      <c r="CA11" s="19">
        <f t="shared" si="33"/>
        <v>9.6999999999999993</v>
      </c>
      <c r="CB11" s="28" t="str">
        <f t="shared" si="34"/>
        <v>O</v>
      </c>
      <c r="CC11" s="27">
        <f t="shared" si="35"/>
        <v>92.149999999999991</v>
      </c>
      <c r="CD11" s="27"/>
      <c r="CE11" s="28">
        <f t="shared" si="36"/>
        <v>737</v>
      </c>
      <c r="CF11" s="28">
        <f t="shared" si="37"/>
        <v>92.125</v>
      </c>
      <c r="CG11" s="27"/>
      <c r="CH11" s="27"/>
      <c r="CI11" s="27" t="str">
        <f t="shared" si="38"/>
        <v>FCD</v>
      </c>
      <c r="CJ11" s="1">
        <v>9.6999999999999993</v>
      </c>
      <c r="CK11" s="1">
        <v>9.15</v>
      </c>
    </row>
    <row r="12" spans="1:89" s="59" customFormat="1" ht="15.75" customHeight="1" x14ac:dyDescent="0.3">
      <c r="A12" s="35">
        <f>A11+1</f>
        <v>65</v>
      </c>
      <c r="B12" s="37" t="s">
        <v>227</v>
      </c>
      <c r="C12" s="44" t="s">
        <v>228</v>
      </c>
      <c r="D12" s="47" t="s">
        <v>31</v>
      </c>
      <c r="E12" s="9">
        <v>50</v>
      </c>
      <c r="F12" s="9">
        <v>49</v>
      </c>
      <c r="G12" s="9"/>
      <c r="H12" s="18">
        <f t="shared" si="0"/>
        <v>99</v>
      </c>
      <c r="I12" s="18">
        <v>4</v>
      </c>
      <c r="J12" s="18" t="str">
        <f t="shared" si="1"/>
        <v>10</v>
      </c>
      <c r="K12" s="18" t="str">
        <f t="shared" si="2"/>
        <v>O</v>
      </c>
      <c r="L12" s="18">
        <f t="shared" si="3"/>
        <v>40</v>
      </c>
      <c r="M12" s="18"/>
      <c r="N12" s="9">
        <v>50</v>
      </c>
      <c r="O12" s="9">
        <v>37</v>
      </c>
      <c r="P12" s="18"/>
      <c r="Q12" s="18">
        <f t="shared" si="4"/>
        <v>87</v>
      </c>
      <c r="R12" s="18">
        <v>4</v>
      </c>
      <c r="S12" s="18" t="str">
        <f t="shared" si="5"/>
        <v>9</v>
      </c>
      <c r="T12" s="18" t="str">
        <f t="shared" si="6"/>
        <v>A+</v>
      </c>
      <c r="U12" s="18">
        <f t="shared" si="7"/>
        <v>36</v>
      </c>
      <c r="V12" s="18"/>
      <c r="W12" s="9">
        <v>50</v>
      </c>
      <c r="X12" s="9">
        <v>47</v>
      </c>
      <c r="Y12" s="18"/>
      <c r="Z12" s="18">
        <f t="shared" si="8"/>
        <v>97</v>
      </c>
      <c r="AA12" s="18">
        <v>3</v>
      </c>
      <c r="AB12" s="18" t="str">
        <f t="shared" si="9"/>
        <v>10</v>
      </c>
      <c r="AC12" s="18" t="str">
        <f t="shared" si="10"/>
        <v>O</v>
      </c>
      <c r="AD12" s="18">
        <f t="shared" si="11"/>
        <v>30</v>
      </c>
      <c r="AE12" s="18"/>
      <c r="AF12" s="46">
        <v>50</v>
      </c>
      <c r="AG12" s="46">
        <v>47</v>
      </c>
      <c r="AH12" s="9"/>
      <c r="AI12" s="18">
        <f t="shared" si="12"/>
        <v>97</v>
      </c>
      <c r="AJ12" s="18">
        <v>3</v>
      </c>
      <c r="AK12" s="18" t="str">
        <f t="shared" si="13"/>
        <v>10</v>
      </c>
      <c r="AL12" s="18" t="str">
        <f t="shared" si="14"/>
        <v>O</v>
      </c>
      <c r="AM12" s="18">
        <f t="shared" si="15"/>
        <v>30</v>
      </c>
      <c r="AN12" s="18"/>
      <c r="AO12" s="46">
        <v>50</v>
      </c>
      <c r="AP12" s="46">
        <v>44</v>
      </c>
      <c r="AQ12" s="9"/>
      <c r="AR12" s="18">
        <f t="shared" si="16"/>
        <v>94</v>
      </c>
      <c r="AS12" s="18">
        <v>3</v>
      </c>
      <c r="AT12" s="18" t="str">
        <f t="shared" si="17"/>
        <v>10</v>
      </c>
      <c r="AU12" s="18" t="str">
        <f t="shared" si="18"/>
        <v>O</v>
      </c>
      <c r="AV12" s="18">
        <f t="shared" si="19"/>
        <v>30</v>
      </c>
      <c r="AW12" s="18"/>
      <c r="AX12" s="9">
        <v>50</v>
      </c>
      <c r="AY12" s="9">
        <v>37</v>
      </c>
      <c r="AZ12" s="9"/>
      <c r="BA12" s="18">
        <f t="shared" si="20"/>
        <v>87</v>
      </c>
      <c r="BB12" s="18">
        <v>1</v>
      </c>
      <c r="BC12" s="18" t="str">
        <f t="shared" si="21"/>
        <v>9</v>
      </c>
      <c r="BD12" s="18" t="str">
        <f t="shared" si="22"/>
        <v>A+</v>
      </c>
      <c r="BE12" s="18">
        <f t="shared" si="23"/>
        <v>9</v>
      </c>
      <c r="BF12" s="43" t="s">
        <v>35</v>
      </c>
      <c r="BG12" s="9">
        <v>50</v>
      </c>
      <c r="BH12" s="9">
        <v>36</v>
      </c>
      <c r="BI12" s="9"/>
      <c r="BJ12" s="18">
        <f t="shared" si="24"/>
        <v>86</v>
      </c>
      <c r="BK12" s="18">
        <v>1</v>
      </c>
      <c r="BL12" s="18" t="str">
        <f t="shared" si="25"/>
        <v>9</v>
      </c>
      <c r="BM12" s="18" t="str">
        <f t="shared" si="26"/>
        <v>A+</v>
      </c>
      <c r="BN12" s="18">
        <f t="shared" si="27"/>
        <v>9</v>
      </c>
      <c r="BO12" s="18"/>
      <c r="BP12" s="9">
        <v>50</v>
      </c>
      <c r="BQ12" s="9">
        <v>40</v>
      </c>
      <c r="BR12" s="9"/>
      <c r="BS12" s="18">
        <f t="shared" si="28"/>
        <v>90</v>
      </c>
      <c r="BT12" s="18">
        <v>1</v>
      </c>
      <c r="BU12" s="18" t="str">
        <f t="shared" si="29"/>
        <v>10</v>
      </c>
      <c r="BV12" s="18" t="str">
        <f t="shared" si="30"/>
        <v>O</v>
      </c>
      <c r="BW12" s="18">
        <f t="shared" si="31"/>
        <v>10</v>
      </c>
      <c r="BX12" s="18"/>
      <c r="BY12" s="18"/>
      <c r="BZ12" s="18">
        <f t="shared" si="32"/>
        <v>194</v>
      </c>
      <c r="CA12" s="19">
        <f t="shared" si="33"/>
        <v>9.6999999999999993</v>
      </c>
      <c r="CB12" s="28" t="str">
        <f t="shared" si="34"/>
        <v>O</v>
      </c>
      <c r="CC12" s="27">
        <f t="shared" si="35"/>
        <v>92.149999999999991</v>
      </c>
      <c r="CD12" s="27"/>
      <c r="CE12" s="28">
        <f t="shared" si="36"/>
        <v>737</v>
      </c>
      <c r="CF12" s="28">
        <f t="shared" si="37"/>
        <v>92.125</v>
      </c>
      <c r="CG12" s="27"/>
      <c r="CH12" s="27"/>
      <c r="CI12" s="27" t="str">
        <f t="shared" si="38"/>
        <v>FCD</v>
      </c>
      <c r="CJ12" s="1">
        <v>9.6999999999999993</v>
      </c>
      <c r="CK12" s="1">
        <v>9.3000000000000007</v>
      </c>
    </row>
    <row r="13" spans="1:89" ht="15.75" customHeight="1" x14ac:dyDescent="0.3">
      <c r="A13" s="35">
        <f>A12+1</f>
        <v>66</v>
      </c>
      <c r="B13" s="37" t="s">
        <v>229</v>
      </c>
      <c r="C13" s="44" t="s">
        <v>230</v>
      </c>
      <c r="D13" s="47" t="s">
        <v>31</v>
      </c>
      <c r="E13" s="9">
        <v>47</v>
      </c>
      <c r="F13" s="9">
        <v>50</v>
      </c>
      <c r="G13" s="9"/>
      <c r="H13" s="18">
        <f t="shared" si="0"/>
        <v>97</v>
      </c>
      <c r="I13" s="18">
        <v>4</v>
      </c>
      <c r="J13" s="18" t="str">
        <f t="shared" si="1"/>
        <v>10</v>
      </c>
      <c r="K13" s="18" t="str">
        <f t="shared" si="2"/>
        <v>O</v>
      </c>
      <c r="L13" s="18">
        <f t="shared" si="3"/>
        <v>40</v>
      </c>
      <c r="M13" s="18"/>
      <c r="N13" s="9">
        <v>45</v>
      </c>
      <c r="O13" s="9">
        <v>47</v>
      </c>
      <c r="P13" s="9"/>
      <c r="Q13" s="18">
        <f t="shared" si="4"/>
        <v>92</v>
      </c>
      <c r="R13" s="18">
        <v>4</v>
      </c>
      <c r="S13" s="18" t="str">
        <f t="shared" si="5"/>
        <v>10</v>
      </c>
      <c r="T13" s="18" t="str">
        <f t="shared" si="6"/>
        <v>O</v>
      </c>
      <c r="U13" s="18">
        <f t="shared" si="7"/>
        <v>40</v>
      </c>
      <c r="V13" s="18"/>
      <c r="W13" s="9">
        <v>50</v>
      </c>
      <c r="X13" s="9">
        <v>50</v>
      </c>
      <c r="Y13" s="18"/>
      <c r="Z13" s="18">
        <f t="shared" si="8"/>
        <v>100</v>
      </c>
      <c r="AA13" s="18">
        <v>3</v>
      </c>
      <c r="AB13" s="18" t="str">
        <f t="shared" si="9"/>
        <v>10</v>
      </c>
      <c r="AC13" s="18" t="str">
        <f t="shared" si="10"/>
        <v>O</v>
      </c>
      <c r="AD13" s="18">
        <f t="shared" si="11"/>
        <v>30</v>
      </c>
      <c r="AE13" s="18"/>
      <c r="AF13" s="46">
        <v>50</v>
      </c>
      <c r="AG13" s="46">
        <v>46</v>
      </c>
      <c r="AH13" s="9"/>
      <c r="AI13" s="18">
        <f t="shared" si="12"/>
        <v>96</v>
      </c>
      <c r="AJ13" s="18">
        <v>3</v>
      </c>
      <c r="AK13" s="18" t="str">
        <f t="shared" si="13"/>
        <v>10</v>
      </c>
      <c r="AL13" s="18" t="str">
        <f t="shared" si="14"/>
        <v>O</v>
      </c>
      <c r="AM13" s="18">
        <f t="shared" si="15"/>
        <v>30</v>
      </c>
      <c r="AN13" s="18"/>
      <c r="AO13" s="46">
        <v>50</v>
      </c>
      <c r="AP13" s="46">
        <v>38</v>
      </c>
      <c r="AQ13" s="9"/>
      <c r="AR13" s="18">
        <f t="shared" si="16"/>
        <v>88</v>
      </c>
      <c r="AS13" s="18">
        <v>3</v>
      </c>
      <c r="AT13" s="18" t="str">
        <f t="shared" si="17"/>
        <v>9</v>
      </c>
      <c r="AU13" s="18" t="str">
        <f t="shared" si="18"/>
        <v>A+</v>
      </c>
      <c r="AV13" s="18">
        <f t="shared" si="19"/>
        <v>27</v>
      </c>
      <c r="AW13" s="18"/>
      <c r="AX13" s="9">
        <v>45</v>
      </c>
      <c r="AY13" s="9">
        <v>41</v>
      </c>
      <c r="AZ13" s="9"/>
      <c r="BA13" s="18">
        <f t="shared" si="20"/>
        <v>86</v>
      </c>
      <c r="BB13" s="18">
        <v>1</v>
      </c>
      <c r="BC13" s="18" t="str">
        <f t="shared" si="21"/>
        <v>9</v>
      </c>
      <c r="BD13" s="18" t="str">
        <f t="shared" si="22"/>
        <v>A+</v>
      </c>
      <c r="BE13" s="18">
        <f t="shared" si="23"/>
        <v>9</v>
      </c>
      <c r="BF13" s="43" t="s">
        <v>32</v>
      </c>
      <c r="BG13" s="9">
        <v>49</v>
      </c>
      <c r="BH13" s="9">
        <v>36</v>
      </c>
      <c r="BI13" s="9"/>
      <c r="BJ13" s="18">
        <f t="shared" si="24"/>
        <v>85</v>
      </c>
      <c r="BK13" s="18">
        <v>1</v>
      </c>
      <c r="BL13" s="18" t="str">
        <f t="shared" si="25"/>
        <v>9</v>
      </c>
      <c r="BM13" s="18" t="str">
        <f t="shared" si="26"/>
        <v>A+</v>
      </c>
      <c r="BN13" s="18">
        <f t="shared" si="27"/>
        <v>9</v>
      </c>
      <c r="BO13" s="18"/>
      <c r="BP13" s="9">
        <v>46</v>
      </c>
      <c r="BQ13" s="9">
        <v>38</v>
      </c>
      <c r="BR13" s="9"/>
      <c r="BS13" s="18">
        <f t="shared" si="28"/>
        <v>84</v>
      </c>
      <c r="BT13" s="18">
        <v>1</v>
      </c>
      <c r="BU13" s="18" t="str">
        <f t="shared" si="29"/>
        <v>9</v>
      </c>
      <c r="BV13" s="18" t="str">
        <f t="shared" si="30"/>
        <v>A+</v>
      </c>
      <c r="BW13" s="18">
        <f t="shared" si="31"/>
        <v>9</v>
      </c>
      <c r="BX13" s="18"/>
      <c r="BY13" s="18"/>
      <c r="BZ13" s="18">
        <f t="shared" si="32"/>
        <v>194</v>
      </c>
      <c r="CA13" s="19">
        <f t="shared" si="33"/>
        <v>9.6999999999999993</v>
      </c>
      <c r="CB13" s="28" t="str">
        <f t="shared" si="34"/>
        <v>O</v>
      </c>
      <c r="CC13" s="27">
        <f t="shared" si="35"/>
        <v>92.149999999999991</v>
      </c>
      <c r="CD13" s="27"/>
      <c r="CE13" s="28">
        <f t="shared" si="36"/>
        <v>728</v>
      </c>
      <c r="CF13" s="28">
        <f t="shared" si="37"/>
        <v>91</v>
      </c>
      <c r="CG13" s="27"/>
      <c r="CH13" s="27"/>
      <c r="CI13" s="27" t="str">
        <f t="shared" si="38"/>
        <v>FCD</v>
      </c>
      <c r="CJ13" s="1">
        <v>9.6999999999999993</v>
      </c>
    </row>
    <row r="14" spans="1:89" ht="15.75" customHeight="1" x14ac:dyDescent="0.3">
      <c r="A14" s="35">
        <f>A13+1</f>
        <v>67</v>
      </c>
      <c r="B14" s="37" t="s">
        <v>231</v>
      </c>
      <c r="C14" s="44" t="s">
        <v>232</v>
      </c>
      <c r="D14" s="47" t="s">
        <v>31</v>
      </c>
      <c r="E14" s="9">
        <v>50</v>
      </c>
      <c r="F14" s="9">
        <v>49</v>
      </c>
      <c r="G14" s="9"/>
      <c r="H14" s="18">
        <f t="shared" si="0"/>
        <v>99</v>
      </c>
      <c r="I14" s="18">
        <v>4</v>
      </c>
      <c r="J14" s="18" t="str">
        <f t="shared" si="1"/>
        <v>10</v>
      </c>
      <c r="K14" s="18" t="str">
        <f t="shared" si="2"/>
        <v>O</v>
      </c>
      <c r="L14" s="18">
        <f t="shared" si="3"/>
        <v>40</v>
      </c>
      <c r="M14" s="18"/>
      <c r="N14" s="9">
        <v>50</v>
      </c>
      <c r="O14" s="9">
        <v>41</v>
      </c>
      <c r="P14" s="9"/>
      <c r="Q14" s="18">
        <f t="shared" si="4"/>
        <v>91</v>
      </c>
      <c r="R14" s="18">
        <v>4</v>
      </c>
      <c r="S14" s="18" t="str">
        <f t="shared" si="5"/>
        <v>10</v>
      </c>
      <c r="T14" s="18" t="str">
        <f t="shared" si="6"/>
        <v>O</v>
      </c>
      <c r="U14" s="18">
        <f t="shared" si="7"/>
        <v>40</v>
      </c>
      <c r="V14" s="18"/>
      <c r="W14" s="9">
        <v>50</v>
      </c>
      <c r="X14" s="9">
        <v>44</v>
      </c>
      <c r="Y14" s="18"/>
      <c r="Z14" s="18">
        <f t="shared" si="8"/>
        <v>94</v>
      </c>
      <c r="AA14" s="18">
        <v>3</v>
      </c>
      <c r="AB14" s="18" t="str">
        <f t="shared" si="9"/>
        <v>10</v>
      </c>
      <c r="AC14" s="18" t="str">
        <f t="shared" si="10"/>
        <v>O</v>
      </c>
      <c r="AD14" s="18">
        <f t="shared" si="11"/>
        <v>30</v>
      </c>
      <c r="AE14" s="18"/>
      <c r="AF14" s="46">
        <v>50</v>
      </c>
      <c r="AG14" s="46">
        <v>39</v>
      </c>
      <c r="AH14" s="9"/>
      <c r="AI14" s="18">
        <f t="shared" si="12"/>
        <v>89</v>
      </c>
      <c r="AJ14" s="18">
        <v>3</v>
      </c>
      <c r="AK14" s="18" t="str">
        <f t="shared" si="13"/>
        <v>9</v>
      </c>
      <c r="AL14" s="18" t="str">
        <f t="shared" si="14"/>
        <v>A+</v>
      </c>
      <c r="AM14" s="18">
        <f t="shared" si="15"/>
        <v>27</v>
      </c>
      <c r="AN14" s="18"/>
      <c r="AO14" s="46">
        <v>50</v>
      </c>
      <c r="AP14" s="46">
        <v>23</v>
      </c>
      <c r="AQ14" s="9"/>
      <c r="AR14" s="18">
        <f t="shared" si="16"/>
        <v>73</v>
      </c>
      <c r="AS14" s="18">
        <v>3</v>
      </c>
      <c r="AT14" s="18" t="str">
        <f t="shared" si="17"/>
        <v>8</v>
      </c>
      <c r="AU14" s="18" t="str">
        <f t="shared" si="18"/>
        <v>A</v>
      </c>
      <c r="AV14" s="18">
        <f t="shared" si="19"/>
        <v>24</v>
      </c>
      <c r="AW14" s="18"/>
      <c r="AX14" s="9">
        <v>50</v>
      </c>
      <c r="AY14" s="9">
        <v>40</v>
      </c>
      <c r="AZ14" s="9"/>
      <c r="BA14" s="18">
        <f t="shared" si="20"/>
        <v>90</v>
      </c>
      <c r="BB14" s="18">
        <v>1</v>
      </c>
      <c r="BC14" s="18" t="str">
        <f t="shared" si="21"/>
        <v>10</v>
      </c>
      <c r="BD14" s="18" t="str">
        <f t="shared" si="22"/>
        <v>O</v>
      </c>
      <c r="BE14" s="18">
        <f t="shared" si="23"/>
        <v>10</v>
      </c>
      <c r="BF14" s="43" t="s">
        <v>32</v>
      </c>
      <c r="BG14" s="9">
        <v>50</v>
      </c>
      <c r="BH14" s="9">
        <v>49</v>
      </c>
      <c r="BI14" s="9"/>
      <c r="BJ14" s="18">
        <f t="shared" si="24"/>
        <v>99</v>
      </c>
      <c r="BK14" s="18">
        <v>1</v>
      </c>
      <c r="BL14" s="18" t="str">
        <f t="shared" si="25"/>
        <v>10</v>
      </c>
      <c r="BM14" s="18" t="str">
        <f t="shared" si="26"/>
        <v>O</v>
      </c>
      <c r="BN14" s="18">
        <f t="shared" si="27"/>
        <v>10</v>
      </c>
      <c r="BO14" s="18"/>
      <c r="BP14" s="9">
        <v>50</v>
      </c>
      <c r="BQ14" s="9">
        <v>43</v>
      </c>
      <c r="BR14" s="9"/>
      <c r="BS14" s="18">
        <f t="shared" si="28"/>
        <v>93</v>
      </c>
      <c r="BT14" s="18">
        <v>1</v>
      </c>
      <c r="BU14" s="18" t="str">
        <f t="shared" si="29"/>
        <v>10</v>
      </c>
      <c r="BV14" s="18" t="str">
        <f t="shared" si="30"/>
        <v>O</v>
      </c>
      <c r="BW14" s="18">
        <f t="shared" si="31"/>
        <v>10</v>
      </c>
      <c r="BX14" s="18"/>
      <c r="BY14" s="18"/>
      <c r="BZ14" s="18">
        <f t="shared" si="32"/>
        <v>191</v>
      </c>
      <c r="CA14" s="19">
        <f t="shared" si="33"/>
        <v>9.5500000000000007</v>
      </c>
      <c r="CB14" s="28" t="str">
        <f t="shared" si="34"/>
        <v>O</v>
      </c>
      <c r="CC14" s="27">
        <f t="shared" si="35"/>
        <v>90.725000000000009</v>
      </c>
      <c r="CD14" s="27"/>
      <c r="CE14" s="28">
        <f t="shared" si="36"/>
        <v>728</v>
      </c>
      <c r="CF14" s="28">
        <f t="shared" si="37"/>
        <v>91</v>
      </c>
      <c r="CG14" s="27"/>
      <c r="CH14" s="27"/>
      <c r="CI14" s="27" t="str">
        <f t="shared" si="38"/>
        <v>FCD</v>
      </c>
      <c r="CJ14" s="1">
        <v>9.5</v>
      </c>
      <c r="CK14" s="1">
        <v>9.15</v>
      </c>
    </row>
    <row r="15" spans="1:89" ht="15.75" customHeight="1" x14ac:dyDescent="0.3">
      <c r="A15" s="35">
        <f>A14+1</f>
        <v>68</v>
      </c>
      <c r="B15" s="37" t="s">
        <v>233</v>
      </c>
      <c r="C15" s="44" t="s">
        <v>234</v>
      </c>
      <c r="D15" s="47" t="s">
        <v>31</v>
      </c>
      <c r="E15" s="9">
        <v>49</v>
      </c>
      <c r="F15" s="9">
        <v>39</v>
      </c>
      <c r="G15" s="9"/>
      <c r="H15" s="18">
        <f t="shared" si="0"/>
        <v>88</v>
      </c>
      <c r="I15" s="18">
        <v>4</v>
      </c>
      <c r="J15" s="18" t="str">
        <f t="shared" si="1"/>
        <v>9</v>
      </c>
      <c r="K15" s="18" t="str">
        <f t="shared" si="2"/>
        <v>A+</v>
      </c>
      <c r="L15" s="18">
        <f t="shared" si="3"/>
        <v>36</v>
      </c>
      <c r="M15" s="18"/>
      <c r="N15" s="9">
        <v>48</v>
      </c>
      <c r="O15" s="9">
        <v>43</v>
      </c>
      <c r="P15" s="9"/>
      <c r="Q15" s="18">
        <f t="shared" si="4"/>
        <v>91</v>
      </c>
      <c r="R15" s="18">
        <v>4</v>
      </c>
      <c r="S15" s="18" t="str">
        <f t="shared" si="5"/>
        <v>10</v>
      </c>
      <c r="T15" s="18" t="str">
        <f t="shared" si="6"/>
        <v>O</v>
      </c>
      <c r="U15" s="18">
        <f t="shared" si="7"/>
        <v>40</v>
      </c>
      <c r="V15" s="18"/>
      <c r="W15" s="9">
        <v>48</v>
      </c>
      <c r="X15" s="9">
        <v>39</v>
      </c>
      <c r="Y15" s="18"/>
      <c r="Z15" s="18">
        <f t="shared" si="8"/>
        <v>87</v>
      </c>
      <c r="AA15" s="18">
        <v>3</v>
      </c>
      <c r="AB15" s="18" t="str">
        <f t="shared" si="9"/>
        <v>9</v>
      </c>
      <c r="AC15" s="18" t="str">
        <f t="shared" si="10"/>
        <v>A+</v>
      </c>
      <c r="AD15" s="18">
        <f t="shared" si="11"/>
        <v>27</v>
      </c>
      <c r="AE15" s="18"/>
      <c r="AF15" s="46">
        <v>44</v>
      </c>
      <c r="AG15" s="46">
        <v>48</v>
      </c>
      <c r="AH15" s="9"/>
      <c r="AI15" s="18">
        <f t="shared" si="12"/>
        <v>92</v>
      </c>
      <c r="AJ15" s="18">
        <v>3</v>
      </c>
      <c r="AK15" s="18" t="str">
        <f t="shared" si="13"/>
        <v>10</v>
      </c>
      <c r="AL15" s="18" t="str">
        <f t="shared" si="14"/>
        <v>O</v>
      </c>
      <c r="AM15" s="18">
        <f t="shared" si="15"/>
        <v>30</v>
      </c>
      <c r="AN15" s="18"/>
      <c r="AO15" s="46">
        <v>49</v>
      </c>
      <c r="AP15" s="46">
        <v>42</v>
      </c>
      <c r="AQ15" s="9"/>
      <c r="AR15" s="18">
        <f t="shared" si="16"/>
        <v>91</v>
      </c>
      <c r="AS15" s="18">
        <v>3</v>
      </c>
      <c r="AT15" s="18" t="str">
        <f t="shared" si="17"/>
        <v>10</v>
      </c>
      <c r="AU15" s="18" t="str">
        <f t="shared" si="18"/>
        <v>O</v>
      </c>
      <c r="AV15" s="18">
        <f t="shared" si="19"/>
        <v>30</v>
      </c>
      <c r="AW15" s="18"/>
      <c r="AX15" s="9">
        <v>46</v>
      </c>
      <c r="AY15" s="9">
        <v>33</v>
      </c>
      <c r="AZ15" s="9"/>
      <c r="BA15" s="18">
        <f t="shared" si="20"/>
        <v>79</v>
      </c>
      <c r="BB15" s="18">
        <v>1</v>
      </c>
      <c r="BC15" s="18" t="str">
        <f t="shared" si="21"/>
        <v>8</v>
      </c>
      <c r="BD15" s="18" t="str">
        <f t="shared" si="22"/>
        <v>A</v>
      </c>
      <c r="BE15" s="18">
        <f t="shared" si="23"/>
        <v>8</v>
      </c>
      <c r="BF15" s="43" t="s">
        <v>35</v>
      </c>
      <c r="BG15" s="9">
        <v>46</v>
      </c>
      <c r="BH15" s="9">
        <v>44</v>
      </c>
      <c r="BI15" s="9"/>
      <c r="BJ15" s="18">
        <f t="shared" si="24"/>
        <v>90</v>
      </c>
      <c r="BK15" s="18">
        <v>1</v>
      </c>
      <c r="BL15" s="18" t="str">
        <f t="shared" si="25"/>
        <v>10</v>
      </c>
      <c r="BM15" s="18" t="str">
        <f t="shared" si="26"/>
        <v>O</v>
      </c>
      <c r="BN15" s="18">
        <f t="shared" si="27"/>
        <v>10</v>
      </c>
      <c r="BO15" s="18"/>
      <c r="BP15" s="9">
        <v>45</v>
      </c>
      <c r="BQ15" s="9">
        <v>35</v>
      </c>
      <c r="BR15" s="9"/>
      <c r="BS15" s="18">
        <f t="shared" si="28"/>
        <v>80</v>
      </c>
      <c r="BT15" s="18">
        <v>1</v>
      </c>
      <c r="BU15" s="18" t="str">
        <f t="shared" si="29"/>
        <v>9</v>
      </c>
      <c r="BV15" s="18" t="str">
        <f t="shared" si="30"/>
        <v>A+</v>
      </c>
      <c r="BW15" s="18">
        <f t="shared" si="31"/>
        <v>9</v>
      </c>
      <c r="BX15" s="18"/>
      <c r="BY15" s="18"/>
      <c r="BZ15" s="18">
        <f t="shared" si="32"/>
        <v>190</v>
      </c>
      <c r="CA15" s="19">
        <f t="shared" si="33"/>
        <v>9.5</v>
      </c>
      <c r="CB15" s="28" t="str">
        <f t="shared" si="34"/>
        <v>O</v>
      </c>
      <c r="CC15" s="27">
        <f t="shared" si="35"/>
        <v>90.25</v>
      </c>
      <c r="CD15" s="27"/>
      <c r="CE15" s="28">
        <f t="shared" si="36"/>
        <v>698</v>
      </c>
      <c r="CF15" s="28">
        <f t="shared" si="37"/>
        <v>87.25</v>
      </c>
      <c r="CG15" s="27"/>
      <c r="CH15" s="27"/>
      <c r="CI15" s="27" t="str">
        <f t="shared" si="38"/>
        <v>FCD</v>
      </c>
    </row>
    <row r="16" spans="1:89" s="59" customFormat="1" ht="15.75" customHeight="1" x14ac:dyDescent="0.3">
      <c r="A16" s="35">
        <v>55</v>
      </c>
      <c r="B16" s="37" t="s">
        <v>235</v>
      </c>
      <c r="C16" s="44" t="s">
        <v>236</v>
      </c>
      <c r="D16" s="47" t="s">
        <v>31</v>
      </c>
      <c r="E16" s="9">
        <v>50</v>
      </c>
      <c r="F16" s="9">
        <v>49</v>
      </c>
      <c r="G16" s="9"/>
      <c r="H16" s="18">
        <f t="shared" si="0"/>
        <v>99</v>
      </c>
      <c r="I16" s="18">
        <v>4</v>
      </c>
      <c r="J16" s="18" t="str">
        <f t="shared" si="1"/>
        <v>10</v>
      </c>
      <c r="K16" s="18" t="str">
        <f t="shared" si="2"/>
        <v>O</v>
      </c>
      <c r="L16" s="18">
        <f t="shared" si="3"/>
        <v>40</v>
      </c>
      <c r="M16" s="18"/>
      <c r="N16" s="9">
        <v>48</v>
      </c>
      <c r="O16" s="9">
        <v>36</v>
      </c>
      <c r="P16" s="9"/>
      <c r="Q16" s="18">
        <f t="shared" si="4"/>
        <v>84</v>
      </c>
      <c r="R16" s="18">
        <v>4</v>
      </c>
      <c r="S16" s="18" t="str">
        <f t="shared" si="5"/>
        <v>9</v>
      </c>
      <c r="T16" s="18" t="str">
        <f t="shared" si="6"/>
        <v>A+</v>
      </c>
      <c r="U16" s="18">
        <f t="shared" si="7"/>
        <v>36</v>
      </c>
      <c r="V16" s="18"/>
      <c r="W16" s="9">
        <v>49</v>
      </c>
      <c r="X16" s="9">
        <v>49</v>
      </c>
      <c r="Y16" s="18"/>
      <c r="Z16" s="18">
        <f t="shared" si="8"/>
        <v>98</v>
      </c>
      <c r="AA16" s="18">
        <v>3</v>
      </c>
      <c r="AB16" s="18" t="str">
        <f t="shared" si="9"/>
        <v>10</v>
      </c>
      <c r="AC16" s="18" t="str">
        <f t="shared" si="10"/>
        <v>O</v>
      </c>
      <c r="AD16" s="18">
        <f t="shared" si="11"/>
        <v>30</v>
      </c>
      <c r="AE16" s="18"/>
      <c r="AF16" s="46">
        <v>50</v>
      </c>
      <c r="AG16" s="46">
        <v>48</v>
      </c>
      <c r="AH16" s="9"/>
      <c r="AI16" s="18">
        <f t="shared" si="12"/>
        <v>98</v>
      </c>
      <c r="AJ16" s="18">
        <v>3</v>
      </c>
      <c r="AK16" s="18" t="str">
        <f t="shared" si="13"/>
        <v>10</v>
      </c>
      <c r="AL16" s="18" t="str">
        <f t="shared" si="14"/>
        <v>O</v>
      </c>
      <c r="AM16" s="18">
        <f t="shared" si="15"/>
        <v>30</v>
      </c>
      <c r="AN16" s="18"/>
      <c r="AO16" s="46">
        <v>50</v>
      </c>
      <c r="AP16" s="46">
        <v>38</v>
      </c>
      <c r="AQ16" s="9"/>
      <c r="AR16" s="18">
        <f t="shared" si="16"/>
        <v>88</v>
      </c>
      <c r="AS16" s="18">
        <v>3</v>
      </c>
      <c r="AT16" s="18" t="str">
        <f t="shared" si="17"/>
        <v>9</v>
      </c>
      <c r="AU16" s="18" t="str">
        <f t="shared" si="18"/>
        <v>A+</v>
      </c>
      <c r="AV16" s="18">
        <f t="shared" si="19"/>
        <v>27</v>
      </c>
      <c r="AW16" s="18"/>
      <c r="AX16" s="9">
        <v>48</v>
      </c>
      <c r="AY16" s="9">
        <v>34</v>
      </c>
      <c r="AZ16" s="9"/>
      <c r="BA16" s="18">
        <f t="shared" si="20"/>
        <v>82</v>
      </c>
      <c r="BB16" s="18">
        <v>1</v>
      </c>
      <c r="BC16" s="18" t="str">
        <f t="shared" si="21"/>
        <v>9</v>
      </c>
      <c r="BD16" s="18" t="str">
        <f t="shared" si="22"/>
        <v>A+</v>
      </c>
      <c r="BE16" s="18">
        <f t="shared" si="23"/>
        <v>9</v>
      </c>
      <c r="BF16" s="43" t="s">
        <v>35</v>
      </c>
      <c r="BG16" s="9">
        <v>45</v>
      </c>
      <c r="BH16" s="9">
        <v>28</v>
      </c>
      <c r="BI16" s="9"/>
      <c r="BJ16" s="18">
        <f t="shared" si="24"/>
        <v>73</v>
      </c>
      <c r="BK16" s="18">
        <v>1</v>
      </c>
      <c r="BL16" s="18" t="str">
        <f t="shared" si="25"/>
        <v>8</v>
      </c>
      <c r="BM16" s="18" t="str">
        <f t="shared" si="26"/>
        <v>A</v>
      </c>
      <c r="BN16" s="18">
        <f t="shared" si="27"/>
        <v>8</v>
      </c>
      <c r="BO16" s="18"/>
      <c r="BP16" s="9">
        <v>42</v>
      </c>
      <c r="BQ16" s="9">
        <v>38</v>
      </c>
      <c r="BR16" s="9"/>
      <c r="BS16" s="18">
        <f t="shared" si="28"/>
        <v>80</v>
      </c>
      <c r="BT16" s="18">
        <v>1</v>
      </c>
      <c r="BU16" s="18" t="str">
        <f t="shared" si="29"/>
        <v>9</v>
      </c>
      <c r="BV16" s="18" t="str">
        <f t="shared" si="30"/>
        <v>A+</v>
      </c>
      <c r="BW16" s="18">
        <f t="shared" si="31"/>
        <v>9</v>
      </c>
      <c r="BX16" s="18"/>
      <c r="BY16" s="18"/>
      <c r="BZ16" s="18">
        <f t="shared" si="32"/>
        <v>189</v>
      </c>
      <c r="CA16" s="19">
        <f t="shared" si="33"/>
        <v>9.4499999999999993</v>
      </c>
      <c r="CB16" s="28" t="str">
        <f t="shared" si="34"/>
        <v>O</v>
      </c>
      <c r="CC16" s="27">
        <f t="shared" si="35"/>
        <v>89.774999999999991</v>
      </c>
      <c r="CD16" s="27"/>
      <c r="CE16" s="28">
        <f t="shared" si="36"/>
        <v>702</v>
      </c>
      <c r="CF16" s="28">
        <f t="shared" si="37"/>
        <v>87.75</v>
      </c>
      <c r="CG16" s="27"/>
      <c r="CH16" s="27"/>
      <c r="CI16" s="27" t="str">
        <f t="shared" si="38"/>
        <v>FCD</v>
      </c>
      <c r="CJ16" s="1"/>
      <c r="CK16" s="1"/>
    </row>
    <row r="17" spans="1:89" ht="15.75" customHeight="1" x14ac:dyDescent="0.3">
      <c r="A17" s="35">
        <f>A16+1</f>
        <v>56</v>
      </c>
      <c r="B17" s="37" t="s">
        <v>237</v>
      </c>
      <c r="C17" s="44" t="s">
        <v>238</v>
      </c>
      <c r="D17" s="47" t="s">
        <v>31</v>
      </c>
      <c r="E17" s="9">
        <v>50</v>
      </c>
      <c r="F17" s="9">
        <v>46</v>
      </c>
      <c r="G17" s="9"/>
      <c r="H17" s="18">
        <f t="shared" si="0"/>
        <v>96</v>
      </c>
      <c r="I17" s="18">
        <v>4</v>
      </c>
      <c r="J17" s="18" t="str">
        <f t="shared" si="1"/>
        <v>10</v>
      </c>
      <c r="K17" s="18" t="str">
        <f t="shared" si="2"/>
        <v>O</v>
      </c>
      <c r="L17" s="18">
        <f t="shared" si="3"/>
        <v>40</v>
      </c>
      <c r="M17" s="18"/>
      <c r="N17" s="9">
        <v>46</v>
      </c>
      <c r="O17" s="9">
        <v>34</v>
      </c>
      <c r="P17" s="9"/>
      <c r="Q17" s="18">
        <f t="shared" si="4"/>
        <v>80</v>
      </c>
      <c r="R17" s="18">
        <v>4</v>
      </c>
      <c r="S17" s="18" t="str">
        <f t="shared" si="5"/>
        <v>9</v>
      </c>
      <c r="T17" s="18" t="str">
        <f t="shared" si="6"/>
        <v>A+</v>
      </c>
      <c r="U17" s="18">
        <f t="shared" si="7"/>
        <v>36</v>
      </c>
      <c r="V17" s="18"/>
      <c r="W17" s="9">
        <v>44</v>
      </c>
      <c r="X17" s="9">
        <v>49</v>
      </c>
      <c r="Y17" s="18"/>
      <c r="Z17" s="18">
        <f t="shared" si="8"/>
        <v>93</v>
      </c>
      <c r="AA17" s="18">
        <v>3</v>
      </c>
      <c r="AB17" s="18" t="str">
        <f t="shared" si="9"/>
        <v>10</v>
      </c>
      <c r="AC17" s="18" t="str">
        <f t="shared" si="10"/>
        <v>O</v>
      </c>
      <c r="AD17" s="18">
        <f t="shared" si="11"/>
        <v>30</v>
      </c>
      <c r="AE17" s="18"/>
      <c r="AF17" s="46">
        <v>41</v>
      </c>
      <c r="AG17" s="46">
        <v>43</v>
      </c>
      <c r="AH17" s="9"/>
      <c r="AI17" s="18">
        <f t="shared" si="12"/>
        <v>84</v>
      </c>
      <c r="AJ17" s="18">
        <v>3</v>
      </c>
      <c r="AK17" s="18" t="str">
        <f t="shared" si="13"/>
        <v>9</v>
      </c>
      <c r="AL17" s="18" t="str">
        <f t="shared" si="14"/>
        <v>A+</v>
      </c>
      <c r="AM17" s="18">
        <f t="shared" si="15"/>
        <v>27</v>
      </c>
      <c r="AN17" s="18"/>
      <c r="AO17" s="46">
        <v>49</v>
      </c>
      <c r="AP17" s="46">
        <v>38</v>
      </c>
      <c r="AQ17" s="9"/>
      <c r="AR17" s="18">
        <f t="shared" si="16"/>
        <v>87</v>
      </c>
      <c r="AS17" s="18">
        <v>3</v>
      </c>
      <c r="AT17" s="18" t="str">
        <f t="shared" si="17"/>
        <v>9</v>
      </c>
      <c r="AU17" s="18" t="str">
        <f t="shared" si="18"/>
        <v>A+</v>
      </c>
      <c r="AV17" s="18">
        <f t="shared" si="19"/>
        <v>27</v>
      </c>
      <c r="AW17" s="18"/>
      <c r="AX17" s="9">
        <v>46</v>
      </c>
      <c r="AY17" s="9">
        <v>35</v>
      </c>
      <c r="AZ17" s="9"/>
      <c r="BA17" s="18">
        <f t="shared" si="20"/>
        <v>81</v>
      </c>
      <c r="BB17" s="18">
        <v>1</v>
      </c>
      <c r="BC17" s="18" t="str">
        <f t="shared" si="21"/>
        <v>9</v>
      </c>
      <c r="BD17" s="18" t="str">
        <f t="shared" si="22"/>
        <v>A+</v>
      </c>
      <c r="BE17" s="18">
        <f t="shared" si="23"/>
        <v>9</v>
      </c>
      <c r="BF17" s="43" t="s">
        <v>32</v>
      </c>
      <c r="BG17" s="9">
        <v>49</v>
      </c>
      <c r="BH17" s="9">
        <v>47</v>
      </c>
      <c r="BI17" s="9"/>
      <c r="BJ17" s="18">
        <f t="shared" si="24"/>
        <v>96</v>
      </c>
      <c r="BK17" s="18">
        <v>1</v>
      </c>
      <c r="BL17" s="18" t="str">
        <f t="shared" si="25"/>
        <v>10</v>
      </c>
      <c r="BM17" s="18" t="str">
        <f t="shared" si="26"/>
        <v>O</v>
      </c>
      <c r="BN17" s="18">
        <f t="shared" si="27"/>
        <v>10</v>
      </c>
      <c r="BO17" s="18"/>
      <c r="BP17" s="9">
        <v>46</v>
      </c>
      <c r="BQ17" s="9">
        <v>38</v>
      </c>
      <c r="BR17" s="9"/>
      <c r="BS17" s="18">
        <f t="shared" si="28"/>
        <v>84</v>
      </c>
      <c r="BT17" s="18">
        <v>1</v>
      </c>
      <c r="BU17" s="18" t="str">
        <f t="shared" si="29"/>
        <v>9</v>
      </c>
      <c r="BV17" s="18" t="str">
        <f t="shared" si="30"/>
        <v>A+</v>
      </c>
      <c r="BW17" s="18">
        <f t="shared" si="31"/>
        <v>9</v>
      </c>
      <c r="BX17" s="18"/>
      <c r="BY17" s="18"/>
      <c r="BZ17" s="18">
        <f t="shared" si="32"/>
        <v>188</v>
      </c>
      <c r="CA17" s="19">
        <f t="shared" si="33"/>
        <v>9.4</v>
      </c>
      <c r="CB17" s="28" t="str">
        <f t="shared" si="34"/>
        <v>O</v>
      </c>
      <c r="CC17" s="27">
        <f t="shared" si="35"/>
        <v>89.3</v>
      </c>
      <c r="CD17" s="27"/>
      <c r="CE17" s="28">
        <f t="shared" si="36"/>
        <v>701</v>
      </c>
      <c r="CF17" s="28">
        <f t="shared" si="37"/>
        <v>87.625</v>
      </c>
      <c r="CG17" s="27"/>
      <c r="CH17" s="27"/>
      <c r="CI17" s="27" t="str">
        <f t="shared" si="38"/>
        <v>FCD</v>
      </c>
    </row>
    <row r="18" spans="1:89" ht="15.75" customHeight="1" x14ac:dyDescent="0.3">
      <c r="A18" s="35">
        <f>A17+1</f>
        <v>57</v>
      </c>
      <c r="B18" s="37" t="s">
        <v>239</v>
      </c>
      <c r="C18" s="44" t="s">
        <v>240</v>
      </c>
      <c r="D18" s="47" t="s">
        <v>31</v>
      </c>
      <c r="E18" s="9">
        <v>50</v>
      </c>
      <c r="F18" s="9">
        <v>50</v>
      </c>
      <c r="G18" s="9"/>
      <c r="H18" s="18">
        <f t="shared" si="0"/>
        <v>100</v>
      </c>
      <c r="I18" s="18">
        <v>4</v>
      </c>
      <c r="J18" s="18" t="str">
        <f t="shared" si="1"/>
        <v>10</v>
      </c>
      <c r="K18" s="18" t="str">
        <f t="shared" si="2"/>
        <v>O</v>
      </c>
      <c r="L18" s="18">
        <f t="shared" si="3"/>
        <v>40</v>
      </c>
      <c r="M18" s="18"/>
      <c r="N18" s="9">
        <v>50</v>
      </c>
      <c r="O18" s="9">
        <v>37</v>
      </c>
      <c r="P18" s="9"/>
      <c r="Q18" s="18">
        <f t="shared" si="4"/>
        <v>87</v>
      </c>
      <c r="R18" s="18">
        <v>4</v>
      </c>
      <c r="S18" s="18" t="str">
        <f t="shared" si="5"/>
        <v>9</v>
      </c>
      <c r="T18" s="18" t="str">
        <f t="shared" si="6"/>
        <v>A+</v>
      </c>
      <c r="U18" s="18">
        <f t="shared" si="7"/>
        <v>36</v>
      </c>
      <c r="V18" s="18"/>
      <c r="W18" s="9">
        <v>50</v>
      </c>
      <c r="X18" s="9">
        <v>49</v>
      </c>
      <c r="Y18" s="18"/>
      <c r="Z18" s="18">
        <f t="shared" si="8"/>
        <v>99</v>
      </c>
      <c r="AA18" s="18">
        <v>3</v>
      </c>
      <c r="AB18" s="18" t="str">
        <f t="shared" si="9"/>
        <v>10</v>
      </c>
      <c r="AC18" s="18" t="str">
        <f t="shared" si="10"/>
        <v>O</v>
      </c>
      <c r="AD18" s="18">
        <f t="shared" si="11"/>
        <v>30</v>
      </c>
      <c r="AE18" s="18"/>
      <c r="AF18" s="46">
        <v>50</v>
      </c>
      <c r="AG18" s="46">
        <v>37</v>
      </c>
      <c r="AH18" s="9"/>
      <c r="AI18" s="18">
        <f t="shared" si="12"/>
        <v>87</v>
      </c>
      <c r="AJ18" s="18">
        <v>3</v>
      </c>
      <c r="AK18" s="18" t="str">
        <f t="shared" si="13"/>
        <v>9</v>
      </c>
      <c r="AL18" s="18" t="str">
        <f t="shared" si="14"/>
        <v>A+</v>
      </c>
      <c r="AM18" s="18">
        <f t="shared" si="15"/>
        <v>27</v>
      </c>
      <c r="AN18" s="18"/>
      <c r="AO18" s="46">
        <v>50</v>
      </c>
      <c r="AP18" s="46">
        <v>37</v>
      </c>
      <c r="AQ18" s="9"/>
      <c r="AR18" s="18">
        <f t="shared" si="16"/>
        <v>87</v>
      </c>
      <c r="AS18" s="18">
        <v>3</v>
      </c>
      <c r="AT18" s="18" t="str">
        <f t="shared" si="17"/>
        <v>9</v>
      </c>
      <c r="AU18" s="18" t="str">
        <f t="shared" si="18"/>
        <v>A+</v>
      </c>
      <c r="AV18" s="18">
        <f t="shared" si="19"/>
        <v>27</v>
      </c>
      <c r="AW18" s="18"/>
      <c r="AX18" s="9">
        <v>50</v>
      </c>
      <c r="AY18" s="9">
        <v>38</v>
      </c>
      <c r="AZ18" s="9"/>
      <c r="BA18" s="18">
        <f t="shared" si="20"/>
        <v>88</v>
      </c>
      <c r="BB18" s="18">
        <v>1</v>
      </c>
      <c r="BC18" s="18" t="str">
        <f t="shared" si="21"/>
        <v>9</v>
      </c>
      <c r="BD18" s="18" t="str">
        <f t="shared" si="22"/>
        <v>A+</v>
      </c>
      <c r="BE18" s="18">
        <f t="shared" si="23"/>
        <v>9</v>
      </c>
      <c r="BF18" s="43" t="s">
        <v>35</v>
      </c>
      <c r="BG18" s="9">
        <v>50</v>
      </c>
      <c r="BH18" s="9">
        <v>28</v>
      </c>
      <c r="BI18" s="9"/>
      <c r="BJ18" s="18">
        <f t="shared" si="24"/>
        <v>78</v>
      </c>
      <c r="BK18" s="18">
        <v>1</v>
      </c>
      <c r="BL18" s="18" t="str">
        <f t="shared" si="25"/>
        <v>8</v>
      </c>
      <c r="BM18" s="18" t="str">
        <f t="shared" si="26"/>
        <v>A</v>
      </c>
      <c r="BN18" s="18">
        <f t="shared" si="27"/>
        <v>8</v>
      </c>
      <c r="BO18" s="18"/>
      <c r="BP18" s="9">
        <v>50</v>
      </c>
      <c r="BQ18" s="9">
        <v>41</v>
      </c>
      <c r="BR18" s="9"/>
      <c r="BS18" s="18">
        <f t="shared" si="28"/>
        <v>91</v>
      </c>
      <c r="BT18" s="18">
        <v>1</v>
      </c>
      <c r="BU18" s="18" t="str">
        <f t="shared" si="29"/>
        <v>10</v>
      </c>
      <c r="BV18" s="18" t="str">
        <f t="shared" si="30"/>
        <v>O</v>
      </c>
      <c r="BW18" s="18">
        <f t="shared" si="31"/>
        <v>10</v>
      </c>
      <c r="BX18" s="18"/>
      <c r="BY18" s="18"/>
      <c r="BZ18" s="18">
        <f t="shared" si="32"/>
        <v>187</v>
      </c>
      <c r="CA18" s="19">
        <f t="shared" si="33"/>
        <v>9.35</v>
      </c>
      <c r="CB18" s="28" t="str">
        <f t="shared" si="34"/>
        <v>O</v>
      </c>
      <c r="CC18" s="27">
        <f t="shared" si="35"/>
        <v>88.825000000000003</v>
      </c>
      <c r="CD18" s="27"/>
      <c r="CE18" s="28">
        <f t="shared" si="36"/>
        <v>717</v>
      </c>
      <c r="CF18" s="28">
        <f t="shared" si="37"/>
        <v>89.625</v>
      </c>
      <c r="CG18" s="27"/>
      <c r="CH18" s="27"/>
      <c r="CI18" s="27" t="str">
        <f t="shared" si="38"/>
        <v>FCD</v>
      </c>
      <c r="CJ18" s="1">
        <v>9.3000000000000007</v>
      </c>
      <c r="CK18" s="1">
        <v>9.15</v>
      </c>
    </row>
    <row r="19" spans="1:89" ht="15.75" customHeight="1" x14ac:dyDescent="0.3">
      <c r="A19" s="35">
        <v>62</v>
      </c>
      <c r="B19" s="37" t="s">
        <v>241</v>
      </c>
      <c r="C19" s="44" t="s">
        <v>242</v>
      </c>
      <c r="D19" s="47" t="s">
        <v>31</v>
      </c>
      <c r="E19" s="9">
        <v>50</v>
      </c>
      <c r="F19" s="9">
        <v>43</v>
      </c>
      <c r="G19" s="9"/>
      <c r="H19" s="18">
        <f t="shared" si="0"/>
        <v>93</v>
      </c>
      <c r="I19" s="18">
        <v>4</v>
      </c>
      <c r="J19" s="18" t="str">
        <f t="shared" si="1"/>
        <v>10</v>
      </c>
      <c r="K19" s="18" t="str">
        <f t="shared" si="2"/>
        <v>O</v>
      </c>
      <c r="L19" s="18">
        <f t="shared" si="3"/>
        <v>40</v>
      </c>
      <c r="M19" s="18"/>
      <c r="N19" s="9">
        <v>50</v>
      </c>
      <c r="O19" s="9">
        <v>38</v>
      </c>
      <c r="P19" s="9"/>
      <c r="Q19" s="18">
        <f t="shared" si="4"/>
        <v>88</v>
      </c>
      <c r="R19" s="18">
        <v>4</v>
      </c>
      <c r="S19" s="18" t="str">
        <f t="shared" si="5"/>
        <v>9</v>
      </c>
      <c r="T19" s="18" t="str">
        <f t="shared" si="6"/>
        <v>A+</v>
      </c>
      <c r="U19" s="18">
        <f t="shared" si="7"/>
        <v>36</v>
      </c>
      <c r="V19" s="18"/>
      <c r="W19" s="9">
        <v>50</v>
      </c>
      <c r="X19" s="9">
        <v>48</v>
      </c>
      <c r="Y19" s="18"/>
      <c r="Z19" s="18">
        <f t="shared" si="8"/>
        <v>98</v>
      </c>
      <c r="AA19" s="18">
        <v>3</v>
      </c>
      <c r="AB19" s="18" t="str">
        <f t="shared" si="9"/>
        <v>10</v>
      </c>
      <c r="AC19" s="18" t="str">
        <f t="shared" si="10"/>
        <v>O</v>
      </c>
      <c r="AD19" s="18">
        <f t="shared" si="11"/>
        <v>30</v>
      </c>
      <c r="AE19" s="18"/>
      <c r="AF19" s="46">
        <v>50</v>
      </c>
      <c r="AG19" s="46">
        <v>36</v>
      </c>
      <c r="AH19" s="9"/>
      <c r="AI19" s="18">
        <f t="shared" si="12"/>
        <v>86</v>
      </c>
      <c r="AJ19" s="18">
        <v>3</v>
      </c>
      <c r="AK19" s="18" t="str">
        <f t="shared" si="13"/>
        <v>9</v>
      </c>
      <c r="AL19" s="18" t="str">
        <f t="shared" si="14"/>
        <v>A+</v>
      </c>
      <c r="AM19" s="18">
        <f t="shared" si="15"/>
        <v>27</v>
      </c>
      <c r="AN19" s="18"/>
      <c r="AO19" s="46">
        <v>50</v>
      </c>
      <c r="AP19" s="46">
        <v>27</v>
      </c>
      <c r="AQ19" s="9"/>
      <c r="AR19" s="18">
        <f t="shared" si="16"/>
        <v>77</v>
      </c>
      <c r="AS19" s="18">
        <v>3</v>
      </c>
      <c r="AT19" s="18" t="str">
        <f t="shared" si="17"/>
        <v>8</v>
      </c>
      <c r="AU19" s="18" t="str">
        <f t="shared" si="18"/>
        <v>A</v>
      </c>
      <c r="AV19" s="18">
        <f t="shared" si="19"/>
        <v>24</v>
      </c>
      <c r="AW19" s="18"/>
      <c r="AX19" s="9">
        <v>50</v>
      </c>
      <c r="AY19" s="9">
        <v>35</v>
      </c>
      <c r="AZ19" s="9"/>
      <c r="BA19" s="18">
        <f t="shared" si="20"/>
        <v>85</v>
      </c>
      <c r="BB19" s="18">
        <v>1</v>
      </c>
      <c r="BC19" s="18" t="str">
        <f t="shared" si="21"/>
        <v>9</v>
      </c>
      <c r="BD19" s="18" t="str">
        <f t="shared" si="22"/>
        <v>A+</v>
      </c>
      <c r="BE19" s="18">
        <f t="shared" si="23"/>
        <v>9</v>
      </c>
      <c r="BF19" s="43" t="s">
        <v>32</v>
      </c>
      <c r="BG19" s="9">
        <v>50</v>
      </c>
      <c r="BH19" s="9">
        <v>46</v>
      </c>
      <c r="BI19" s="9"/>
      <c r="BJ19" s="18">
        <f t="shared" si="24"/>
        <v>96</v>
      </c>
      <c r="BK19" s="18">
        <v>1</v>
      </c>
      <c r="BL19" s="18" t="str">
        <f t="shared" si="25"/>
        <v>10</v>
      </c>
      <c r="BM19" s="18" t="str">
        <f t="shared" si="26"/>
        <v>O</v>
      </c>
      <c r="BN19" s="18">
        <f t="shared" si="27"/>
        <v>10</v>
      </c>
      <c r="BO19" s="18"/>
      <c r="BP19" s="9">
        <v>50</v>
      </c>
      <c r="BQ19" s="9">
        <v>40</v>
      </c>
      <c r="BR19" s="9"/>
      <c r="BS19" s="18">
        <f t="shared" si="28"/>
        <v>90</v>
      </c>
      <c r="BT19" s="18">
        <v>1</v>
      </c>
      <c r="BU19" s="18" t="str">
        <f t="shared" si="29"/>
        <v>10</v>
      </c>
      <c r="BV19" s="18" t="str">
        <f t="shared" si="30"/>
        <v>O</v>
      </c>
      <c r="BW19" s="18">
        <f t="shared" si="31"/>
        <v>10</v>
      </c>
      <c r="BX19" s="18"/>
      <c r="BY19" s="18"/>
      <c r="BZ19" s="18">
        <f t="shared" si="32"/>
        <v>186</v>
      </c>
      <c r="CA19" s="19">
        <f t="shared" si="33"/>
        <v>9.3000000000000007</v>
      </c>
      <c r="CB19" s="28" t="str">
        <f t="shared" si="34"/>
        <v>O</v>
      </c>
      <c r="CC19" s="27">
        <f t="shared" si="35"/>
        <v>88.350000000000009</v>
      </c>
      <c r="CD19" s="27"/>
      <c r="CE19" s="28">
        <f t="shared" si="36"/>
        <v>713</v>
      </c>
      <c r="CF19" s="28">
        <f t="shared" si="37"/>
        <v>89.125</v>
      </c>
      <c r="CG19" s="27"/>
      <c r="CH19" s="27"/>
      <c r="CI19" s="27" t="str">
        <f t="shared" si="38"/>
        <v>FCD</v>
      </c>
      <c r="CJ19" s="59"/>
      <c r="CK19" s="59"/>
    </row>
    <row r="20" spans="1:89" ht="15.75" customHeight="1" x14ac:dyDescent="0.3">
      <c r="A20" s="35">
        <v>58</v>
      </c>
      <c r="B20" s="37" t="s">
        <v>243</v>
      </c>
      <c r="C20" s="44" t="s">
        <v>244</v>
      </c>
      <c r="D20" s="47" t="s">
        <v>31</v>
      </c>
      <c r="E20" s="9">
        <v>50</v>
      </c>
      <c r="F20" s="9">
        <v>43</v>
      </c>
      <c r="G20" s="9"/>
      <c r="H20" s="18">
        <f t="shared" si="0"/>
        <v>93</v>
      </c>
      <c r="I20" s="18">
        <v>4</v>
      </c>
      <c r="J20" s="18" t="str">
        <f t="shared" si="1"/>
        <v>10</v>
      </c>
      <c r="K20" s="18" t="str">
        <f t="shared" si="2"/>
        <v>O</v>
      </c>
      <c r="L20" s="18">
        <f t="shared" si="3"/>
        <v>40</v>
      </c>
      <c r="M20" s="18"/>
      <c r="N20" s="9">
        <v>50</v>
      </c>
      <c r="O20" s="9">
        <v>46</v>
      </c>
      <c r="P20" s="9"/>
      <c r="Q20" s="18">
        <f t="shared" si="4"/>
        <v>96</v>
      </c>
      <c r="R20" s="18">
        <v>4</v>
      </c>
      <c r="S20" s="18" t="str">
        <f t="shared" si="5"/>
        <v>10</v>
      </c>
      <c r="T20" s="18" t="str">
        <f t="shared" si="6"/>
        <v>O</v>
      </c>
      <c r="U20" s="18">
        <f t="shared" si="7"/>
        <v>40</v>
      </c>
      <c r="V20" s="18"/>
      <c r="W20" s="9">
        <v>49</v>
      </c>
      <c r="X20" s="9">
        <v>47</v>
      </c>
      <c r="Y20" s="18"/>
      <c r="Z20" s="18">
        <f t="shared" si="8"/>
        <v>96</v>
      </c>
      <c r="AA20" s="18">
        <v>3</v>
      </c>
      <c r="AB20" s="18" t="str">
        <f t="shared" si="9"/>
        <v>10</v>
      </c>
      <c r="AC20" s="18" t="str">
        <f t="shared" si="10"/>
        <v>O</v>
      </c>
      <c r="AD20" s="18">
        <f t="shared" si="11"/>
        <v>30</v>
      </c>
      <c r="AE20" s="18"/>
      <c r="AF20" s="46">
        <v>48</v>
      </c>
      <c r="AG20" s="46">
        <v>35</v>
      </c>
      <c r="AH20" s="9"/>
      <c r="AI20" s="18">
        <f t="shared" si="12"/>
        <v>83</v>
      </c>
      <c r="AJ20" s="18">
        <v>3</v>
      </c>
      <c r="AK20" s="18" t="str">
        <f t="shared" si="13"/>
        <v>9</v>
      </c>
      <c r="AL20" s="18" t="str">
        <f t="shared" si="14"/>
        <v>A+</v>
      </c>
      <c r="AM20" s="18">
        <f t="shared" si="15"/>
        <v>27</v>
      </c>
      <c r="AN20" s="18"/>
      <c r="AO20" s="46">
        <v>48</v>
      </c>
      <c r="AP20" s="46">
        <v>31</v>
      </c>
      <c r="AQ20" s="9"/>
      <c r="AR20" s="18">
        <f t="shared" si="16"/>
        <v>79</v>
      </c>
      <c r="AS20" s="18">
        <v>3</v>
      </c>
      <c r="AT20" s="18" t="str">
        <f t="shared" si="17"/>
        <v>8</v>
      </c>
      <c r="AU20" s="18" t="str">
        <f t="shared" si="18"/>
        <v>A</v>
      </c>
      <c r="AV20" s="18">
        <f t="shared" si="19"/>
        <v>24</v>
      </c>
      <c r="AW20" s="18"/>
      <c r="AX20" s="9">
        <v>45</v>
      </c>
      <c r="AY20" s="9">
        <v>29</v>
      </c>
      <c r="AZ20" s="9"/>
      <c r="BA20" s="18">
        <f t="shared" si="20"/>
        <v>74</v>
      </c>
      <c r="BB20" s="18">
        <v>1</v>
      </c>
      <c r="BC20" s="18" t="str">
        <f t="shared" si="21"/>
        <v>8</v>
      </c>
      <c r="BD20" s="18" t="str">
        <f t="shared" si="22"/>
        <v>A</v>
      </c>
      <c r="BE20" s="18">
        <f t="shared" si="23"/>
        <v>8</v>
      </c>
      <c r="BF20" s="43" t="s">
        <v>35</v>
      </c>
      <c r="BG20" s="9">
        <v>47</v>
      </c>
      <c r="BH20" s="9">
        <v>42</v>
      </c>
      <c r="BI20" s="9"/>
      <c r="BJ20" s="18">
        <f t="shared" si="24"/>
        <v>89</v>
      </c>
      <c r="BK20" s="18">
        <v>1</v>
      </c>
      <c r="BL20" s="18" t="str">
        <f t="shared" si="25"/>
        <v>9</v>
      </c>
      <c r="BM20" s="18" t="str">
        <f t="shared" si="26"/>
        <v>A+</v>
      </c>
      <c r="BN20" s="18">
        <f t="shared" si="27"/>
        <v>9</v>
      </c>
      <c r="BO20" s="18"/>
      <c r="BP20" s="9">
        <v>48</v>
      </c>
      <c r="BQ20" s="9">
        <v>31</v>
      </c>
      <c r="BR20" s="9"/>
      <c r="BS20" s="18">
        <f t="shared" si="28"/>
        <v>79</v>
      </c>
      <c r="BT20" s="18">
        <v>1</v>
      </c>
      <c r="BU20" s="18" t="str">
        <f t="shared" si="29"/>
        <v>8</v>
      </c>
      <c r="BV20" s="18" t="str">
        <f t="shared" si="30"/>
        <v>A</v>
      </c>
      <c r="BW20" s="18">
        <f t="shared" si="31"/>
        <v>8</v>
      </c>
      <c r="BX20" s="18"/>
      <c r="BY20" s="18"/>
      <c r="BZ20" s="18">
        <f t="shared" si="32"/>
        <v>186</v>
      </c>
      <c r="CA20" s="19">
        <f t="shared" si="33"/>
        <v>9.3000000000000007</v>
      </c>
      <c r="CB20" s="28" t="str">
        <f t="shared" si="34"/>
        <v>O</v>
      </c>
      <c r="CC20" s="27">
        <f t="shared" si="35"/>
        <v>88.350000000000009</v>
      </c>
      <c r="CD20" s="27"/>
      <c r="CE20" s="28">
        <f t="shared" si="36"/>
        <v>689</v>
      </c>
      <c r="CF20" s="28">
        <f t="shared" si="37"/>
        <v>86.125</v>
      </c>
      <c r="CG20" s="27"/>
      <c r="CH20" s="27"/>
      <c r="CI20" s="27" t="str">
        <f t="shared" si="38"/>
        <v>FCD</v>
      </c>
    </row>
    <row r="21" spans="1:89" ht="15.75" customHeight="1" x14ac:dyDescent="0.3">
      <c r="A21" s="35">
        <f t="shared" ref="A21:A27" si="39">A20+1</f>
        <v>59</v>
      </c>
      <c r="B21" s="37" t="s">
        <v>245</v>
      </c>
      <c r="C21" s="44" t="s">
        <v>246</v>
      </c>
      <c r="D21" s="47" t="s">
        <v>31</v>
      </c>
      <c r="E21" s="9">
        <v>50</v>
      </c>
      <c r="F21" s="9">
        <v>32</v>
      </c>
      <c r="G21" s="9"/>
      <c r="H21" s="18">
        <f t="shared" si="0"/>
        <v>82</v>
      </c>
      <c r="I21" s="18">
        <v>4</v>
      </c>
      <c r="J21" s="18" t="str">
        <f t="shared" si="1"/>
        <v>9</v>
      </c>
      <c r="K21" s="18" t="str">
        <f t="shared" si="2"/>
        <v>A+</v>
      </c>
      <c r="L21" s="18">
        <f t="shared" si="3"/>
        <v>36</v>
      </c>
      <c r="M21" s="18"/>
      <c r="N21" s="9">
        <v>47</v>
      </c>
      <c r="O21" s="9">
        <v>41</v>
      </c>
      <c r="P21" s="9"/>
      <c r="Q21" s="18">
        <f t="shared" si="4"/>
        <v>88</v>
      </c>
      <c r="R21" s="18">
        <v>4</v>
      </c>
      <c r="S21" s="18" t="str">
        <f t="shared" si="5"/>
        <v>9</v>
      </c>
      <c r="T21" s="18" t="str">
        <f t="shared" si="6"/>
        <v>A+</v>
      </c>
      <c r="U21" s="18">
        <f t="shared" si="7"/>
        <v>36</v>
      </c>
      <c r="V21" s="18"/>
      <c r="W21" s="9">
        <v>47</v>
      </c>
      <c r="X21" s="9">
        <v>37</v>
      </c>
      <c r="Y21" s="18"/>
      <c r="Z21" s="18">
        <f t="shared" si="8"/>
        <v>84</v>
      </c>
      <c r="AA21" s="18">
        <v>3</v>
      </c>
      <c r="AB21" s="18" t="str">
        <f t="shared" si="9"/>
        <v>9</v>
      </c>
      <c r="AC21" s="18" t="str">
        <f t="shared" si="10"/>
        <v>A+</v>
      </c>
      <c r="AD21" s="18">
        <f t="shared" si="11"/>
        <v>27</v>
      </c>
      <c r="AE21" s="18"/>
      <c r="AF21" s="46">
        <v>48</v>
      </c>
      <c r="AG21" s="46">
        <v>46</v>
      </c>
      <c r="AH21" s="9"/>
      <c r="AI21" s="18">
        <f t="shared" si="12"/>
        <v>94</v>
      </c>
      <c r="AJ21" s="18">
        <v>3</v>
      </c>
      <c r="AK21" s="18" t="str">
        <f t="shared" si="13"/>
        <v>10</v>
      </c>
      <c r="AL21" s="18" t="str">
        <f t="shared" si="14"/>
        <v>O</v>
      </c>
      <c r="AM21" s="18">
        <f t="shared" si="15"/>
        <v>30</v>
      </c>
      <c r="AN21" s="18"/>
      <c r="AO21" s="46">
        <v>50</v>
      </c>
      <c r="AP21" s="46">
        <v>36</v>
      </c>
      <c r="AQ21" s="9"/>
      <c r="AR21" s="18">
        <f t="shared" si="16"/>
        <v>86</v>
      </c>
      <c r="AS21" s="18">
        <v>3</v>
      </c>
      <c r="AT21" s="18" t="str">
        <f t="shared" si="17"/>
        <v>9</v>
      </c>
      <c r="AU21" s="18" t="str">
        <f t="shared" si="18"/>
        <v>A+</v>
      </c>
      <c r="AV21" s="18">
        <f t="shared" si="19"/>
        <v>27</v>
      </c>
      <c r="AW21" s="18"/>
      <c r="AX21" s="9">
        <v>47</v>
      </c>
      <c r="AY21" s="9">
        <v>39</v>
      </c>
      <c r="AZ21" s="9"/>
      <c r="BA21" s="18">
        <f t="shared" si="20"/>
        <v>86</v>
      </c>
      <c r="BB21" s="18">
        <v>1</v>
      </c>
      <c r="BC21" s="18" t="str">
        <f t="shared" si="21"/>
        <v>9</v>
      </c>
      <c r="BD21" s="18" t="str">
        <f t="shared" si="22"/>
        <v>A+</v>
      </c>
      <c r="BE21" s="18">
        <f t="shared" si="23"/>
        <v>9</v>
      </c>
      <c r="BF21" s="43" t="s">
        <v>32</v>
      </c>
      <c r="BG21" s="9">
        <v>49</v>
      </c>
      <c r="BH21" s="9">
        <v>48</v>
      </c>
      <c r="BI21" s="9"/>
      <c r="BJ21" s="18">
        <f t="shared" si="24"/>
        <v>97</v>
      </c>
      <c r="BK21" s="18">
        <v>1</v>
      </c>
      <c r="BL21" s="18" t="str">
        <f t="shared" si="25"/>
        <v>10</v>
      </c>
      <c r="BM21" s="18" t="str">
        <f t="shared" si="26"/>
        <v>O</v>
      </c>
      <c r="BN21" s="18">
        <f t="shared" si="27"/>
        <v>10</v>
      </c>
      <c r="BO21" s="18"/>
      <c r="BP21" s="9">
        <v>48</v>
      </c>
      <c r="BQ21" s="9">
        <v>43</v>
      </c>
      <c r="BR21" s="9"/>
      <c r="BS21" s="18">
        <f t="shared" si="28"/>
        <v>91</v>
      </c>
      <c r="BT21" s="18">
        <v>1</v>
      </c>
      <c r="BU21" s="18" t="str">
        <f t="shared" si="29"/>
        <v>10</v>
      </c>
      <c r="BV21" s="18" t="str">
        <f t="shared" si="30"/>
        <v>O</v>
      </c>
      <c r="BW21" s="18">
        <f t="shared" si="31"/>
        <v>10</v>
      </c>
      <c r="BX21" s="18"/>
      <c r="BY21" s="18"/>
      <c r="BZ21" s="18">
        <f t="shared" si="32"/>
        <v>185</v>
      </c>
      <c r="CA21" s="19">
        <f t="shared" si="33"/>
        <v>9.25</v>
      </c>
      <c r="CB21" s="28" t="str">
        <f t="shared" si="34"/>
        <v>O</v>
      </c>
      <c r="CC21" s="27">
        <f t="shared" si="35"/>
        <v>87.875</v>
      </c>
      <c r="CD21" s="27"/>
      <c r="CE21" s="28">
        <f t="shared" si="36"/>
        <v>708</v>
      </c>
      <c r="CF21" s="28">
        <f t="shared" si="37"/>
        <v>88.5</v>
      </c>
      <c r="CG21" s="27"/>
      <c r="CH21" s="27"/>
      <c r="CI21" s="27" t="str">
        <f t="shared" si="38"/>
        <v>FCD</v>
      </c>
    </row>
    <row r="22" spans="1:89" ht="15.75" customHeight="1" x14ac:dyDescent="0.3">
      <c r="A22" s="35">
        <f t="shared" si="39"/>
        <v>60</v>
      </c>
      <c r="B22" s="37" t="s">
        <v>247</v>
      </c>
      <c r="C22" s="44" t="s">
        <v>248</v>
      </c>
      <c r="D22" s="47" t="s">
        <v>31</v>
      </c>
      <c r="E22" s="9">
        <v>47</v>
      </c>
      <c r="F22" s="9">
        <v>38</v>
      </c>
      <c r="G22" s="9"/>
      <c r="H22" s="18">
        <f t="shared" si="0"/>
        <v>85</v>
      </c>
      <c r="I22" s="18">
        <v>4</v>
      </c>
      <c r="J22" s="18" t="str">
        <f t="shared" si="1"/>
        <v>9</v>
      </c>
      <c r="K22" s="18" t="str">
        <f t="shared" si="2"/>
        <v>A+</v>
      </c>
      <c r="L22" s="18">
        <f t="shared" si="3"/>
        <v>36</v>
      </c>
      <c r="M22" s="18"/>
      <c r="N22" s="9">
        <v>46</v>
      </c>
      <c r="O22" s="9">
        <v>44</v>
      </c>
      <c r="P22" s="9"/>
      <c r="Q22" s="18">
        <f t="shared" si="4"/>
        <v>90</v>
      </c>
      <c r="R22" s="18">
        <v>4</v>
      </c>
      <c r="S22" s="18" t="str">
        <f t="shared" si="5"/>
        <v>10</v>
      </c>
      <c r="T22" s="18" t="str">
        <f t="shared" si="6"/>
        <v>O</v>
      </c>
      <c r="U22" s="18">
        <f t="shared" si="7"/>
        <v>40</v>
      </c>
      <c r="V22" s="18"/>
      <c r="W22" s="9">
        <v>47</v>
      </c>
      <c r="X22" s="9">
        <v>43</v>
      </c>
      <c r="Y22" s="18"/>
      <c r="Z22" s="18">
        <f t="shared" si="8"/>
        <v>90</v>
      </c>
      <c r="AA22" s="18">
        <v>3</v>
      </c>
      <c r="AB22" s="18" t="str">
        <f t="shared" si="9"/>
        <v>10</v>
      </c>
      <c r="AC22" s="18" t="str">
        <f t="shared" si="10"/>
        <v>O</v>
      </c>
      <c r="AD22" s="18">
        <f t="shared" si="11"/>
        <v>30</v>
      </c>
      <c r="AE22" s="18"/>
      <c r="AF22" s="46">
        <v>48</v>
      </c>
      <c r="AG22" s="46">
        <v>40</v>
      </c>
      <c r="AH22" s="9"/>
      <c r="AI22" s="18">
        <f t="shared" si="12"/>
        <v>88</v>
      </c>
      <c r="AJ22" s="18">
        <v>3</v>
      </c>
      <c r="AK22" s="18" t="str">
        <f t="shared" si="13"/>
        <v>9</v>
      </c>
      <c r="AL22" s="18" t="str">
        <f t="shared" si="14"/>
        <v>A+</v>
      </c>
      <c r="AM22" s="18">
        <f t="shared" si="15"/>
        <v>27</v>
      </c>
      <c r="AN22" s="18"/>
      <c r="AO22" s="46">
        <v>50</v>
      </c>
      <c r="AP22" s="46">
        <v>35</v>
      </c>
      <c r="AQ22" s="9"/>
      <c r="AR22" s="18">
        <f t="shared" si="16"/>
        <v>85</v>
      </c>
      <c r="AS22" s="18">
        <v>3</v>
      </c>
      <c r="AT22" s="18" t="str">
        <f t="shared" si="17"/>
        <v>9</v>
      </c>
      <c r="AU22" s="18" t="str">
        <f t="shared" si="18"/>
        <v>A+</v>
      </c>
      <c r="AV22" s="18">
        <f t="shared" si="19"/>
        <v>27</v>
      </c>
      <c r="AW22" s="18"/>
      <c r="AX22" s="9">
        <v>46</v>
      </c>
      <c r="AY22" s="9">
        <v>22</v>
      </c>
      <c r="AZ22" s="9"/>
      <c r="BA22" s="18">
        <f t="shared" si="20"/>
        <v>68</v>
      </c>
      <c r="BB22" s="18">
        <v>1</v>
      </c>
      <c r="BC22" s="18" t="str">
        <f t="shared" si="21"/>
        <v>7</v>
      </c>
      <c r="BD22" s="18" t="str">
        <f t="shared" si="22"/>
        <v>B+</v>
      </c>
      <c r="BE22" s="18">
        <f t="shared" si="23"/>
        <v>7</v>
      </c>
      <c r="BF22" s="43" t="s">
        <v>35</v>
      </c>
      <c r="BG22" s="9">
        <v>40</v>
      </c>
      <c r="BH22" s="9">
        <v>32</v>
      </c>
      <c r="BI22" s="9"/>
      <c r="BJ22" s="18">
        <f t="shared" si="24"/>
        <v>72</v>
      </c>
      <c r="BK22" s="18">
        <v>1</v>
      </c>
      <c r="BL22" s="18" t="str">
        <f t="shared" si="25"/>
        <v>8</v>
      </c>
      <c r="BM22" s="18" t="str">
        <f t="shared" si="26"/>
        <v>A</v>
      </c>
      <c r="BN22" s="18">
        <f t="shared" si="27"/>
        <v>8</v>
      </c>
      <c r="BO22" s="18"/>
      <c r="BP22" s="9">
        <v>46</v>
      </c>
      <c r="BQ22" s="9">
        <v>39</v>
      </c>
      <c r="BR22" s="9"/>
      <c r="BS22" s="18">
        <f t="shared" si="28"/>
        <v>85</v>
      </c>
      <c r="BT22" s="18">
        <v>1</v>
      </c>
      <c r="BU22" s="18" t="str">
        <f t="shared" si="29"/>
        <v>9</v>
      </c>
      <c r="BV22" s="18" t="str">
        <f t="shared" si="30"/>
        <v>A+</v>
      </c>
      <c r="BW22" s="18">
        <f t="shared" si="31"/>
        <v>9</v>
      </c>
      <c r="BX22" s="18"/>
      <c r="BY22" s="18"/>
      <c r="BZ22" s="18">
        <f t="shared" si="32"/>
        <v>184</v>
      </c>
      <c r="CA22" s="19">
        <f t="shared" si="33"/>
        <v>9.1999999999999993</v>
      </c>
      <c r="CB22" s="28" t="str">
        <f t="shared" si="34"/>
        <v>O</v>
      </c>
      <c r="CC22" s="27">
        <f t="shared" si="35"/>
        <v>87.399999999999991</v>
      </c>
      <c r="CD22" s="27"/>
      <c r="CE22" s="28">
        <f t="shared" si="36"/>
        <v>663</v>
      </c>
      <c r="CF22" s="28">
        <f t="shared" si="37"/>
        <v>82.875</v>
      </c>
      <c r="CG22" s="27"/>
      <c r="CH22" s="27"/>
      <c r="CI22" s="27" t="str">
        <f t="shared" si="38"/>
        <v>FCD</v>
      </c>
    </row>
    <row r="23" spans="1:89" ht="15.75" customHeight="1" x14ac:dyDescent="0.3">
      <c r="A23" s="35">
        <f t="shared" si="39"/>
        <v>61</v>
      </c>
      <c r="B23" s="37" t="s">
        <v>249</v>
      </c>
      <c r="C23" s="44" t="s">
        <v>250</v>
      </c>
      <c r="D23" s="47" t="s">
        <v>31</v>
      </c>
      <c r="E23" s="9">
        <v>50</v>
      </c>
      <c r="F23" s="9">
        <v>36</v>
      </c>
      <c r="G23" s="9"/>
      <c r="H23" s="18">
        <f t="shared" si="0"/>
        <v>86</v>
      </c>
      <c r="I23" s="18">
        <v>4</v>
      </c>
      <c r="J23" s="18" t="str">
        <f t="shared" si="1"/>
        <v>9</v>
      </c>
      <c r="K23" s="18" t="str">
        <f t="shared" si="2"/>
        <v>A+</v>
      </c>
      <c r="L23" s="18">
        <f t="shared" si="3"/>
        <v>36</v>
      </c>
      <c r="M23" s="18"/>
      <c r="N23" s="9">
        <v>50</v>
      </c>
      <c r="O23" s="9">
        <v>33</v>
      </c>
      <c r="P23" s="9"/>
      <c r="Q23" s="18">
        <f t="shared" si="4"/>
        <v>83</v>
      </c>
      <c r="R23" s="18">
        <v>4</v>
      </c>
      <c r="S23" s="18" t="str">
        <f t="shared" si="5"/>
        <v>9</v>
      </c>
      <c r="T23" s="18" t="str">
        <f t="shared" si="6"/>
        <v>A+</v>
      </c>
      <c r="U23" s="18">
        <f t="shared" si="7"/>
        <v>36</v>
      </c>
      <c r="V23" s="18"/>
      <c r="W23" s="9">
        <v>50</v>
      </c>
      <c r="X23" s="9">
        <v>44</v>
      </c>
      <c r="Y23" s="18"/>
      <c r="Z23" s="18">
        <f t="shared" si="8"/>
        <v>94</v>
      </c>
      <c r="AA23" s="18">
        <v>3</v>
      </c>
      <c r="AB23" s="18" t="str">
        <f t="shared" si="9"/>
        <v>10</v>
      </c>
      <c r="AC23" s="18" t="str">
        <f t="shared" si="10"/>
        <v>O</v>
      </c>
      <c r="AD23" s="18">
        <f t="shared" si="11"/>
        <v>30</v>
      </c>
      <c r="AE23" s="18"/>
      <c r="AF23" s="46">
        <v>50</v>
      </c>
      <c r="AG23" s="46">
        <v>35</v>
      </c>
      <c r="AH23" s="9"/>
      <c r="AI23" s="18">
        <f t="shared" si="12"/>
        <v>85</v>
      </c>
      <c r="AJ23" s="18">
        <v>3</v>
      </c>
      <c r="AK23" s="18" t="str">
        <f t="shared" si="13"/>
        <v>9</v>
      </c>
      <c r="AL23" s="18" t="str">
        <f t="shared" si="14"/>
        <v>A+</v>
      </c>
      <c r="AM23" s="18">
        <f t="shared" si="15"/>
        <v>27</v>
      </c>
      <c r="AN23" s="18"/>
      <c r="AO23" s="46">
        <v>50</v>
      </c>
      <c r="AP23" s="46">
        <v>28</v>
      </c>
      <c r="AQ23" s="9"/>
      <c r="AR23" s="18">
        <f t="shared" si="16"/>
        <v>78</v>
      </c>
      <c r="AS23" s="18">
        <v>3</v>
      </c>
      <c r="AT23" s="18" t="str">
        <f t="shared" si="17"/>
        <v>8</v>
      </c>
      <c r="AU23" s="18" t="str">
        <f t="shared" si="18"/>
        <v>A</v>
      </c>
      <c r="AV23" s="18">
        <f t="shared" si="19"/>
        <v>24</v>
      </c>
      <c r="AW23" s="18"/>
      <c r="AX23" s="9">
        <v>50</v>
      </c>
      <c r="AY23" s="9">
        <v>41</v>
      </c>
      <c r="AZ23" s="9"/>
      <c r="BA23" s="18">
        <f t="shared" si="20"/>
        <v>91</v>
      </c>
      <c r="BB23" s="18">
        <v>1</v>
      </c>
      <c r="BC23" s="18" t="str">
        <f t="shared" si="21"/>
        <v>10</v>
      </c>
      <c r="BD23" s="18" t="str">
        <f t="shared" si="22"/>
        <v>O</v>
      </c>
      <c r="BE23" s="18">
        <f t="shared" si="23"/>
        <v>10</v>
      </c>
      <c r="BF23" s="43" t="s">
        <v>32</v>
      </c>
      <c r="BG23" s="9">
        <v>50</v>
      </c>
      <c r="BH23" s="9">
        <v>49</v>
      </c>
      <c r="BI23" s="9"/>
      <c r="BJ23" s="18">
        <f t="shared" si="24"/>
        <v>99</v>
      </c>
      <c r="BK23" s="18">
        <v>1</v>
      </c>
      <c r="BL23" s="18" t="str">
        <f t="shared" si="25"/>
        <v>10</v>
      </c>
      <c r="BM23" s="18" t="str">
        <f t="shared" si="26"/>
        <v>O</v>
      </c>
      <c r="BN23" s="18">
        <f t="shared" si="27"/>
        <v>10</v>
      </c>
      <c r="BO23" s="18"/>
      <c r="BP23" s="9">
        <v>50</v>
      </c>
      <c r="BQ23" s="9">
        <v>42</v>
      </c>
      <c r="BR23" s="9"/>
      <c r="BS23" s="18">
        <f t="shared" si="28"/>
        <v>92</v>
      </c>
      <c r="BT23" s="18">
        <v>1</v>
      </c>
      <c r="BU23" s="18" t="str">
        <f t="shared" si="29"/>
        <v>10</v>
      </c>
      <c r="BV23" s="18" t="str">
        <f t="shared" si="30"/>
        <v>O</v>
      </c>
      <c r="BW23" s="18">
        <f t="shared" si="31"/>
        <v>10</v>
      </c>
      <c r="BX23" s="18"/>
      <c r="BY23" s="18"/>
      <c r="BZ23" s="18">
        <f t="shared" si="32"/>
        <v>183</v>
      </c>
      <c r="CA23" s="19">
        <f t="shared" si="33"/>
        <v>9.15</v>
      </c>
      <c r="CB23" s="28" t="str">
        <f t="shared" si="34"/>
        <v>O</v>
      </c>
      <c r="CC23" s="27">
        <f t="shared" si="35"/>
        <v>86.924999999999997</v>
      </c>
      <c r="CD23" s="27"/>
      <c r="CE23" s="28">
        <f t="shared" si="36"/>
        <v>708</v>
      </c>
      <c r="CF23" s="28">
        <f t="shared" si="37"/>
        <v>88.5</v>
      </c>
      <c r="CG23" s="27"/>
      <c r="CH23" s="27"/>
      <c r="CI23" s="27" t="str">
        <f t="shared" si="38"/>
        <v>FCD</v>
      </c>
    </row>
    <row r="24" spans="1:89" ht="15.75" customHeight="1" x14ac:dyDescent="0.3">
      <c r="A24" s="35">
        <f t="shared" si="39"/>
        <v>62</v>
      </c>
      <c r="B24" s="37" t="s">
        <v>251</v>
      </c>
      <c r="C24" s="44" t="s">
        <v>252</v>
      </c>
      <c r="D24" s="47" t="s">
        <v>31</v>
      </c>
      <c r="E24" s="9">
        <v>46</v>
      </c>
      <c r="F24" s="9">
        <v>50</v>
      </c>
      <c r="G24" s="9"/>
      <c r="H24" s="18">
        <f t="shared" si="0"/>
        <v>96</v>
      </c>
      <c r="I24" s="18">
        <v>4</v>
      </c>
      <c r="J24" s="18" t="str">
        <f t="shared" si="1"/>
        <v>10</v>
      </c>
      <c r="K24" s="18" t="str">
        <f t="shared" si="2"/>
        <v>O</v>
      </c>
      <c r="L24" s="18">
        <f t="shared" si="3"/>
        <v>40</v>
      </c>
      <c r="M24" s="18"/>
      <c r="N24" s="9">
        <v>44</v>
      </c>
      <c r="O24" s="9">
        <v>41</v>
      </c>
      <c r="P24" s="9"/>
      <c r="Q24" s="18">
        <f t="shared" si="4"/>
        <v>85</v>
      </c>
      <c r="R24" s="18">
        <v>4</v>
      </c>
      <c r="S24" s="18" t="str">
        <f t="shared" si="5"/>
        <v>9</v>
      </c>
      <c r="T24" s="18" t="str">
        <f t="shared" si="6"/>
        <v>A+</v>
      </c>
      <c r="U24" s="18">
        <f t="shared" si="7"/>
        <v>36</v>
      </c>
      <c r="V24" s="18"/>
      <c r="W24" s="9">
        <v>47</v>
      </c>
      <c r="X24" s="9">
        <v>45</v>
      </c>
      <c r="Y24" s="18"/>
      <c r="Z24" s="18">
        <f t="shared" si="8"/>
        <v>92</v>
      </c>
      <c r="AA24" s="18">
        <v>3</v>
      </c>
      <c r="AB24" s="18" t="str">
        <f t="shared" si="9"/>
        <v>10</v>
      </c>
      <c r="AC24" s="18" t="str">
        <f t="shared" si="10"/>
        <v>O</v>
      </c>
      <c r="AD24" s="18">
        <f t="shared" si="11"/>
        <v>30</v>
      </c>
      <c r="AE24" s="18"/>
      <c r="AF24" s="46">
        <v>40</v>
      </c>
      <c r="AG24" s="46">
        <v>39</v>
      </c>
      <c r="AH24" s="9"/>
      <c r="AI24" s="18">
        <f t="shared" si="12"/>
        <v>79</v>
      </c>
      <c r="AJ24" s="18">
        <v>3</v>
      </c>
      <c r="AK24" s="18" t="str">
        <f t="shared" si="13"/>
        <v>8</v>
      </c>
      <c r="AL24" s="18" t="str">
        <f t="shared" si="14"/>
        <v>A</v>
      </c>
      <c r="AM24" s="18">
        <f t="shared" si="15"/>
        <v>24</v>
      </c>
      <c r="AN24" s="18"/>
      <c r="AO24" s="46">
        <v>49</v>
      </c>
      <c r="AP24" s="46">
        <v>32</v>
      </c>
      <c r="AQ24" s="9"/>
      <c r="AR24" s="18">
        <f t="shared" si="16"/>
        <v>81</v>
      </c>
      <c r="AS24" s="18">
        <v>3</v>
      </c>
      <c r="AT24" s="18" t="str">
        <f t="shared" si="17"/>
        <v>9</v>
      </c>
      <c r="AU24" s="18" t="str">
        <f t="shared" si="18"/>
        <v>A+</v>
      </c>
      <c r="AV24" s="18">
        <f t="shared" si="19"/>
        <v>27</v>
      </c>
      <c r="AW24" s="18"/>
      <c r="AX24" s="9">
        <v>46</v>
      </c>
      <c r="AY24" s="9">
        <v>35</v>
      </c>
      <c r="AZ24" s="9"/>
      <c r="BA24" s="18">
        <f t="shared" si="20"/>
        <v>81</v>
      </c>
      <c r="BB24" s="18">
        <v>1</v>
      </c>
      <c r="BC24" s="18" t="str">
        <f t="shared" si="21"/>
        <v>9</v>
      </c>
      <c r="BD24" s="18" t="str">
        <f t="shared" si="22"/>
        <v>A+</v>
      </c>
      <c r="BE24" s="18">
        <f t="shared" si="23"/>
        <v>9</v>
      </c>
      <c r="BF24" s="43" t="s">
        <v>35</v>
      </c>
      <c r="BG24" s="9">
        <v>45</v>
      </c>
      <c r="BH24" s="9">
        <v>32</v>
      </c>
      <c r="BI24" s="9"/>
      <c r="BJ24" s="18">
        <f t="shared" si="24"/>
        <v>77</v>
      </c>
      <c r="BK24" s="18">
        <v>1</v>
      </c>
      <c r="BL24" s="18" t="str">
        <f t="shared" si="25"/>
        <v>8</v>
      </c>
      <c r="BM24" s="18" t="str">
        <f t="shared" si="26"/>
        <v>A</v>
      </c>
      <c r="BN24" s="18">
        <f t="shared" si="27"/>
        <v>8</v>
      </c>
      <c r="BO24" s="18"/>
      <c r="BP24" s="9">
        <v>48</v>
      </c>
      <c r="BQ24" s="9">
        <v>38</v>
      </c>
      <c r="BR24" s="9"/>
      <c r="BS24" s="18">
        <f t="shared" si="28"/>
        <v>86</v>
      </c>
      <c r="BT24" s="18">
        <v>1</v>
      </c>
      <c r="BU24" s="18" t="str">
        <f t="shared" si="29"/>
        <v>9</v>
      </c>
      <c r="BV24" s="18" t="str">
        <f t="shared" si="30"/>
        <v>A+</v>
      </c>
      <c r="BW24" s="18">
        <f t="shared" si="31"/>
        <v>9</v>
      </c>
      <c r="BX24" s="18"/>
      <c r="BY24" s="18"/>
      <c r="BZ24" s="18">
        <f t="shared" si="32"/>
        <v>183</v>
      </c>
      <c r="CA24" s="19">
        <f t="shared" si="33"/>
        <v>9.15</v>
      </c>
      <c r="CB24" s="28" t="str">
        <f t="shared" si="34"/>
        <v>O</v>
      </c>
      <c r="CC24" s="27">
        <f t="shared" si="35"/>
        <v>86.924999999999997</v>
      </c>
      <c r="CD24" s="27"/>
      <c r="CE24" s="28">
        <f t="shared" si="36"/>
        <v>677</v>
      </c>
      <c r="CF24" s="28">
        <f t="shared" si="37"/>
        <v>84.625</v>
      </c>
      <c r="CG24" s="27"/>
      <c r="CH24" s="27"/>
      <c r="CI24" s="27" t="str">
        <f t="shared" si="38"/>
        <v>FCD</v>
      </c>
    </row>
    <row r="25" spans="1:89" ht="15.75" customHeight="1" x14ac:dyDescent="0.3">
      <c r="A25" s="35">
        <f t="shared" si="39"/>
        <v>63</v>
      </c>
      <c r="B25" s="37" t="s">
        <v>253</v>
      </c>
      <c r="C25" s="44" t="s">
        <v>254</v>
      </c>
      <c r="D25" s="47" t="s">
        <v>31</v>
      </c>
      <c r="E25" s="9">
        <v>49</v>
      </c>
      <c r="F25" s="9">
        <v>42</v>
      </c>
      <c r="G25" s="9"/>
      <c r="H25" s="18">
        <f t="shared" si="0"/>
        <v>91</v>
      </c>
      <c r="I25" s="18">
        <v>4</v>
      </c>
      <c r="J25" s="18" t="str">
        <f t="shared" si="1"/>
        <v>10</v>
      </c>
      <c r="K25" s="18" t="str">
        <f t="shared" si="2"/>
        <v>O</v>
      </c>
      <c r="L25" s="18">
        <f t="shared" si="3"/>
        <v>40</v>
      </c>
      <c r="M25" s="18"/>
      <c r="N25" s="9">
        <v>50</v>
      </c>
      <c r="O25" s="9">
        <v>33</v>
      </c>
      <c r="P25" s="9"/>
      <c r="Q25" s="18">
        <f t="shared" si="4"/>
        <v>83</v>
      </c>
      <c r="R25" s="18">
        <v>4</v>
      </c>
      <c r="S25" s="18" t="str">
        <f t="shared" si="5"/>
        <v>9</v>
      </c>
      <c r="T25" s="18" t="str">
        <f t="shared" si="6"/>
        <v>A+</v>
      </c>
      <c r="U25" s="18">
        <f t="shared" si="7"/>
        <v>36</v>
      </c>
      <c r="V25" s="18"/>
      <c r="W25" s="9">
        <v>48</v>
      </c>
      <c r="X25" s="9">
        <v>48</v>
      </c>
      <c r="Y25" s="18"/>
      <c r="Z25" s="18">
        <f t="shared" si="8"/>
        <v>96</v>
      </c>
      <c r="AA25" s="18">
        <v>3</v>
      </c>
      <c r="AB25" s="18" t="str">
        <f t="shared" si="9"/>
        <v>10</v>
      </c>
      <c r="AC25" s="18" t="str">
        <f t="shared" si="10"/>
        <v>O</v>
      </c>
      <c r="AD25" s="18">
        <f t="shared" si="11"/>
        <v>30</v>
      </c>
      <c r="AE25" s="18"/>
      <c r="AF25" s="46">
        <v>44</v>
      </c>
      <c r="AG25" s="46">
        <v>33</v>
      </c>
      <c r="AH25" s="9"/>
      <c r="AI25" s="18">
        <f t="shared" si="12"/>
        <v>77</v>
      </c>
      <c r="AJ25" s="18">
        <v>3</v>
      </c>
      <c r="AK25" s="18" t="str">
        <f t="shared" si="13"/>
        <v>8</v>
      </c>
      <c r="AL25" s="18" t="str">
        <f t="shared" si="14"/>
        <v>A</v>
      </c>
      <c r="AM25" s="18">
        <f t="shared" si="15"/>
        <v>24</v>
      </c>
      <c r="AN25" s="18"/>
      <c r="AO25" s="46">
        <v>50</v>
      </c>
      <c r="AP25" s="46">
        <v>30</v>
      </c>
      <c r="AQ25" s="9"/>
      <c r="AR25" s="18">
        <f t="shared" si="16"/>
        <v>80</v>
      </c>
      <c r="AS25" s="18">
        <v>3</v>
      </c>
      <c r="AT25" s="18" t="str">
        <f t="shared" si="17"/>
        <v>9</v>
      </c>
      <c r="AU25" s="18" t="str">
        <f t="shared" si="18"/>
        <v>A+</v>
      </c>
      <c r="AV25" s="18">
        <f t="shared" si="19"/>
        <v>27</v>
      </c>
      <c r="AW25" s="18"/>
      <c r="AX25" s="9">
        <v>48</v>
      </c>
      <c r="AY25" s="9">
        <v>36</v>
      </c>
      <c r="AZ25" s="9"/>
      <c r="BA25" s="18">
        <f t="shared" si="20"/>
        <v>84</v>
      </c>
      <c r="BB25" s="18">
        <v>1</v>
      </c>
      <c r="BC25" s="18" t="str">
        <f t="shared" si="21"/>
        <v>9</v>
      </c>
      <c r="BD25" s="18" t="str">
        <f t="shared" si="22"/>
        <v>A+</v>
      </c>
      <c r="BE25" s="18">
        <f t="shared" si="23"/>
        <v>9</v>
      </c>
      <c r="BF25" s="43" t="s">
        <v>35</v>
      </c>
      <c r="BG25" s="9">
        <v>43</v>
      </c>
      <c r="BH25" s="9">
        <v>36</v>
      </c>
      <c r="BI25" s="9"/>
      <c r="BJ25" s="18">
        <f t="shared" si="24"/>
        <v>79</v>
      </c>
      <c r="BK25" s="18">
        <v>1</v>
      </c>
      <c r="BL25" s="18" t="str">
        <f t="shared" si="25"/>
        <v>8</v>
      </c>
      <c r="BM25" s="18" t="str">
        <f t="shared" si="26"/>
        <v>A</v>
      </c>
      <c r="BN25" s="18">
        <f t="shared" si="27"/>
        <v>8</v>
      </c>
      <c r="BO25" s="18"/>
      <c r="BP25" s="9">
        <v>44</v>
      </c>
      <c r="BQ25" s="9">
        <v>42</v>
      </c>
      <c r="BR25" s="9"/>
      <c r="BS25" s="18">
        <f t="shared" si="28"/>
        <v>86</v>
      </c>
      <c r="BT25" s="18">
        <v>1</v>
      </c>
      <c r="BU25" s="18" t="str">
        <f t="shared" si="29"/>
        <v>9</v>
      </c>
      <c r="BV25" s="18" t="str">
        <f t="shared" si="30"/>
        <v>A+</v>
      </c>
      <c r="BW25" s="18">
        <f t="shared" si="31"/>
        <v>9</v>
      </c>
      <c r="BX25" s="18"/>
      <c r="BY25" s="18"/>
      <c r="BZ25" s="18">
        <f t="shared" si="32"/>
        <v>183</v>
      </c>
      <c r="CA25" s="19">
        <f t="shared" si="33"/>
        <v>9.15</v>
      </c>
      <c r="CB25" s="28" t="str">
        <f t="shared" si="34"/>
        <v>O</v>
      </c>
      <c r="CC25" s="27">
        <f t="shared" si="35"/>
        <v>86.924999999999997</v>
      </c>
      <c r="CD25" s="27"/>
      <c r="CE25" s="28">
        <f t="shared" si="36"/>
        <v>676</v>
      </c>
      <c r="CF25" s="28">
        <f t="shared" si="37"/>
        <v>84.5</v>
      </c>
      <c r="CG25" s="27"/>
      <c r="CH25" s="27"/>
      <c r="CI25" s="27" t="str">
        <f t="shared" si="38"/>
        <v>FCD</v>
      </c>
    </row>
    <row r="26" spans="1:89" ht="15.75" customHeight="1" x14ac:dyDescent="0.3">
      <c r="A26" s="35">
        <f t="shared" si="39"/>
        <v>64</v>
      </c>
      <c r="B26" s="37" t="s">
        <v>255</v>
      </c>
      <c r="C26" s="44" t="s">
        <v>256</v>
      </c>
      <c r="D26" s="47" t="s">
        <v>31</v>
      </c>
      <c r="E26" s="9">
        <v>50</v>
      </c>
      <c r="F26" s="9">
        <v>36</v>
      </c>
      <c r="G26" s="9"/>
      <c r="H26" s="18">
        <f t="shared" si="0"/>
        <v>86</v>
      </c>
      <c r="I26" s="18">
        <v>4</v>
      </c>
      <c r="J26" s="18" t="str">
        <f t="shared" si="1"/>
        <v>9</v>
      </c>
      <c r="K26" s="18" t="str">
        <f t="shared" si="2"/>
        <v>A+</v>
      </c>
      <c r="L26" s="18">
        <f t="shared" si="3"/>
        <v>36</v>
      </c>
      <c r="M26" s="18"/>
      <c r="N26" s="9">
        <v>50</v>
      </c>
      <c r="O26" s="9">
        <v>35</v>
      </c>
      <c r="P26" s="9"/>
      <c r="Q26" s="18">
        <f t="shared" si="4"/>
        <v>85</v>
      </c>
      <c r="R26" s="18">
        <v>4</v>
      </c>
      <c r="S26" s="18" t="str">
        <f t="shared" si="5"/>
        <v>9</v>
      </c>
      <c r="T26" s="18" t="str">
        <f t="shared" si="6"/>
        <v>A+</v>
      </c>
      <c r="U26" s="18">
        <f t="shared" si="7"/>
        <v>36</v>
      </c>
      <c r="V26" s="18"/>
      <c r="W26" s="9">
        <v>50</v>
      </c>
      <c r="X26" s="9">
        <v>41</v>
      </c>
      <c r="Y26" s="18"/>
      <c r="Z26" s="18">
        <f t="shared" si="8"/>
        <v>91</v>
      </c>
      <c r="AA26" s="18">
        <v>3</v>
      </c>
      <c r="AB26" s="18" t="str">
        <f t="shared" si="9"/>
        <v>10</v>
      </c>
      <c r="AC26" s="18" t="str">
        <f t="shared" si="10"/>
        <v>O</v>
      </c>
      <c r="AD26" s="18">
        <f t="shared" si="11"/>
        <v>30</v>
      </c>
      <c r="AE26" s="18"/>
      <c r="AF26" s="46">
        <v>50</v>
      </c>
      <c r="AG26" s="46">
        <v>39</v>
      </c>
      <c r="AH26" s="9"/>
      <c r="AI26" s="18">
        <f t="shared" si="12"/>
        <v>89</v>
      </c>
      <c r="AJ26" s="18">
        <v>3</v>
      </c>
      <c r="AK26" s="18" t="str">
        <f t="shared" si="13"/>
        <v>9</v>
      </c>
      <c r="AL26" s="18" t="str">
        <f t="shared" si="14"/>
        <v>A+</v>
      </c>
      <c r="AM26" s="18">
        <f t="shared" si="15"/>
        <v>27</v>
      </c>
      <c r="AN26" s="18"/>
      <c r="AO26" s="46">
        <v>50</v>
      </c>
      <c r="AP26" s="46">
        <v>29</v>
      </c>
      <c r="AQ26" s="9"/>
      <c r="AR26" s="18">
        <f t="shared" si="16"/>
        <v>79</v>
      </c>
      <c r="AS26" s="18">
        <v>3</v>
      </c>
      <c r="AT26" s="18" t="str">
        <f t="shared" si="17"/>
        <v>8</v>
      </c>
      <c r="AU26" s="18" t="str">
        <f t="shared" si="18"/>
        <v>A</v>
      </c>
      <c r="AV26" s="18">
        <f t="shared" si="19"/>
        <v>24</v>
      </c>
      <c r="AW26" s="18"/>
      <c r="AX26" s="9">
        <v>50</v>
      </c>
      <c r="AY26" s="9">
        <v>33</v>
      </c>
      <c r="AZ26" s="9"/>
      <c r="BA26" s="18">
        <f t="shared" si="20"/>
        <v>83</v>
      </c>
      <c r="BB26" s="18">
        <v>1</v>
      </c>
      <c r="BC26" s="18" t="str">
        <f t="shared" si="21"/>
        <v>9</v>
      </c>
      <c r="BD26" s="18" t="str">
        <f t="shared" si="22"/>
        <v>A+</v>
      </c>
      <c r="BE26" s="18">
        <f t="shared" si="23"/>
        <v>9</v>
      </c>
      <c r="BF26" s="43" t="s">
        <v>32</v>
      </c>
      <c r="BG26" s="9">
        <v>50</v>
      </c>
      <c r="BH26" s="9">
        <v>49</v>
      </c>
      <c r="BI26" s="9"/>
      <c r="BJ26" s="18">
        <f t="shared" si="24"/>
        <v>99</v>
      </c>
      <c r="BK26" s="18">
        <v>1</v>
      </c>
      <c r="BL26" s="18" t="str">
        <f t="shared" si="25"/>
        <v>10</v>
      </c>
      <c r="BM26" s="18" t="str">
        <f t="shared" si="26"/>
        <v>O</v>
      </c>
      <c r="BN26" s="18">
        <f t="shared" si="27"/>
        <v>10</v>
      </c>
      <c r="BO26" s="18"/>
      <c r="BP26" s="9">
        <v>50</v>
      </c>
      <c r="BQ26" s="9">
        <v>38</v>
      </c>
      <c r="BR26" s="9"/>
      <c r="BS26" s="18">
        <f t="shared" si="28"/>
        <v>88</v>
      </c>
      <c r="BT26" s="18">
        <v>1</v>
      </c>
      <c r="BU26" s="18" t="str">
        <f t="shared" si="29"/>
        <v>9</v>
      </c>
      <c r="BV26" s="18" t="str">
        <f t="shared" si="30"/>
        <v>A+</v>
      </c>
      <c r="BW26" s="18">
        <f t="shared" si="31"/>
        <v>9</v>
      </c>
      <c r="BX26" s="18"/>
      <c r="BY26" s="18"/>
      <c r="BZ26" s="18">
        <f t="shared" si="32"/>
        <v>181</v>
      </c>
      <c r="CA26" s="19">
        <f t="shared" si="33"/>
        <v>9.0500000000000007</v>
      </c>
      <c r="CB26" s="28" t="str">
        <f t="shared" si="34"/>
        <v>O</v>
      </c>
      <c r="CC26" s="27">
        <f t="shared" si="35"/>
        <v>85.975000000000009</v>
      </c>
      <c r="CD26" s="27"/>
      <c r="CE26" s="28">
        <f t="shared" si="36"/>
        <v>700</v>
      </c>
      <c r="CF26" s="28">
        <f t="shared" si="37"/>
        <v>87.5</v>
      </c>
      <c r="CG26" s="27"/>
      <c r="CH26" s="27"/>
      <c r="CI26" s="27" t="str">
        <f t="shared" si="38"/>
        <v>FCD</v>
      </c>
      <c r="CJ26" s="1">
        <v>9.0500000000000007</v>
      </c>
      <c r="CK26" s="1">
        <v>9.0500000000000007</v>
      </c>
    </row>
    <row r="27" spans="1:89" ht="15.75" customHeight="1" x14ac:dyDescent="0.3">
      <c r="A27" s="35">
        <f t="shared" si="39"/>
        <v>65</v>
      </c>
      <c r="B27" s="37" t="s">
        <v>257</v>
      </c>
      <c r="C27" s="44" t="s">
        <v>258</v>
      </c>
      <c r="D27" s="47" t="s">
        <v>31</v>
      </c>
      <c r="E27" s="9">
        <v>47</v>
      </c>
      <c r="F27" s="9">
        <v>38</v>
      </c>
      <c r="G27" s="9"/>
      <c r="H27" s="18">
        <f t="shared" si="0"/>
        <v>85</v>
      </c>
      <c r="I27" s="18">
        <v>4</v>
      </c>
      <c r="J27" s="18" t="str">
        <f t="shared" si="1"/>
        <v>9</v>
      </c>
      <c r="K27" s="18" t="str">
        <f t="shared" si="2"/>
        <v>A+</v>
      </c>
      <c r="L27" s="18">
        <f t="shared" si="3"/>
        <v>36</v>
      </c>
      <c r="M27" s="18"/>
      <c r="N27" s="9">
        <v>47</v>
      </c>
      <c r="O27" s="9">
        <v>38</v>
      </c>
      <c r="P27" s="9"/>
      <c r="Q27" s="18">
        <f t="shared" si="4"/>
        <v>85</v>
      </c>
      <c r="R27" s="18">
        <v>4</v>
      </c>
      <c r="S27" s="18" t="str">
        <f t="shared" si="5"/>
        <v>9</v>
      </c>
      <c r="T27" s="18" t="str">
        <f t="shared" si="6"/>
        <v>A+</v>
      </c>
      <c r="U27" s="18">
        <f t="shared" si="7"/>
        <v>36</v>
      </c>
      <c r="V27" s="18"/>
      <c r="W27" s="9">
        <v>47</v>
      </c>
      <c r="X27" s="9">
        <v>48</v>
      </c>
      <c r="Y27" s="18"/>
      <c r="Z27" s="18">
        <f t="shared" si="8"/>
        <v>95</v>
      </c>
      <c r="AA27" s="18">
        <v>3</v>
      </c>
      <c r="AB27" s="18" t="str">
        <f t="shared" si="9"/>
        <v>10</v>
      </c>
      <c r="AC27" s="18" t="str">
        <f t="shared" si="10"/>
        <v>O</v>
      </c>
      <c r="AD27" s="18">
        <f t="shared" si="11"/>
        <v>30</v>
      </c>
      <c r="AE27" s="18"/>
      <c r="AF27" s="46">
        <v>48</v>
      </c>
      <c r="AG27" s="46">
        <v>34</v>
      </c>
      <c r="AH27" s="9"/>
      <c r="AI27" s="18">
        <f t="shared" si="12"/>
        <v>82</v>
      </c>
      <c r="AJ27" s="18">
        <v>3</v>
      </c>
      <c r="AK27" s="18" t="str">
        <f t="shared" si="13"/>
        <v>9</v>
      </c>
      <c r="AL27" s="18" t="str">
        <f t="shared" si="14"/>
        <v>A+</v>
      </c>
      <c r="AM27" s="18">
        <f t="shared" si="15"/>
        <v>27</v>
      </c>
      <c r="AN27" s="18"/>
      <c r="AO27" s="46">
        <v>49</v>
      </c>
      <c r="AP27" s="46">
        <v>29</v>
      </c>
      <c r="AQ27" s="9"/>
      <c r="AR27" s="18">
        <f t="shared" si="16"/>
        <v>78</v>
      </c>
      <c r="AS27" s="18">
        <v>3</v>
      </c>
      <c r="AT27" s="18" t="str">
        <f t="shared" si="17"/>
        <v>8</v>
      </c>
      <c r="AU27" s="18" t="str">
        <f t="shared" si="18"/>
        <v>A</v>
      </c>
      <c r="AV27" s="18">
        <f t="shared" si="19"/>
        <v>24</v>
      </c>
      <c r="AW27" s="18"/>
      <c r="AX27" s="9">
        <v>47</v>
      </c>
      <c r="AY27" s="9">
        <v>29</v>
      </c>
      <c r="AZ27" s="9"/>
      <c r="BA27" s="18">
        <f t="shared" si="20"/>
        <v>76</v>
      </c>
      <c r="BB27" s="18">
        <v>1</v>
      </c>
      <c r="BC27" s="18" t="str">
        <f t="shared" si="21"/>
        <v>8</v>
      </c>
      <c r="BD27" s="18" t="str">
        <f t="shared" si="22"/>
        <v>A</v>
      </c>
      <c r="BE27" s="18">
        <f t="shared" si="23"/>
        <v>8</v>
      </c>
      <c r="BF27" s="43" t="s">
        <v>35</v>
      </c>
      <c r="BG27" s="9">
        <v>46</v>
      </c>
      <c r="BH27" s="9">
        <v>42</v>
      </c>
      <c r="BI27" s="9"/>
      <c r="BJ27" s="18">
        <f t="shared" si="24"/>
        <v>88</v>
      </c>
      <c r="BK27" s="18">
        <v>1</v>
      </c>
      <c r="BL27" s="18" t="str">
        <f t="shared" si="25"/>
        <v>9</v>
      </c>
      <c r="BM27" s="18" t="str">
        <f t="shared" si="26"/>
        <v>A+</v>
      </c>
      <c r="BN27" s="18">
        <f t="shared" si="27"/>
        <v>9</v>
      </c>
      <c r="BO27" s="18"/>
      <c r="BP27" s="9">
        <v>45</v>
      </c>
      <c r="BQ27" s="9">
        <v>40</v>
      </c>
      <c r="BR27" s="9"/>
      <c r="BS27" s="18">
        <f t="shared" si="28"/>
        <v>85</v>
      </c>
      <c r="BT27" s="18">
        <v>1</v>
      </c>
      <c r="BU27" s="18" t="str">
        <f t="shared" si="29"/>
        <v>9</v>
      </c>
      <c r="BV27" s="18" t="str">
        <f t="shared" si="30"/>
        <v>A+</v>
      </c>
      <c r="BW27" s="18">
        <f t="shared" si="31"/>
        <v>9</v>
      </c>
      <c r="BX27" s="18"/>
      <c r="BY27" s="18"/>
      <c r="BZ27" s="18">
        <f t="shared" si="32"/>
        <v>179</v>
      </c>
      <c r="CA27" s="19">
        <f t="shared" si="33"/>
        <v>8.9499999999999993</v>
      </c>
      <c r="CB27" s="28" t="str">
        <f t="shared" si="34"/>
        <v>A+</v>
      </c>
      <c r="CC27" s="27">
        <f t="shared" si="35"/>
        <v>85.024999999999991</v>
      </c>
      <c r="CD27" s="27"/>
      <c r="CE27" s="28">
        <f t="shared" si="36"/>
        <v>674</v>
      </c>
      <c r="CF27" s="28">
        <f t="shared" si="37"/>
        <v>84.25</v>
      </c>
      <c r="CG27" s="27"/>
      <c r="CH27" s="27"/>
      <c r="CI27" s="27" t="str">
        <f t="shared" si="38"/>
        <v>FCD</v>
      </c>
    </row>
    <row r="28" spans="1:89" ht="15.75" customHeight="1" x14ac:dyDescent="0.3">
      <c r="A28" s="35">
        <v>57</v>
      </c>
      <c r="B28" s="37" t="s">
        <v>259</v>
      </c>
      <c r="C28" s="44" t="s">
        <v>260</v>
      </c>
      <c r="D28" s="47" t="s">
        <v>31</v>
      </c>
      <c r="E28" s="9">
        <v>47</v>
      </c>
      <c r="F28" s="9">
        <v>44</v>
      </c>
      <c r="G28" s="9"/>
      <c r="H28" s="18">
        <f t="shared" si="0"/>
        <v>91</v>
      </c>
      <c r="I28" s="18">
        <v>4</v>
      </c>
      <c r="J28" s="18" t="str">
        <f t="shared" si="1"/>
        <v>10</v>
      </c>
      <c r="K28" s="18" t="str">
        <f t="shared" si="2"/>
        <v>O</v>
      </c>
      <c r="L28" s="18">
        <f t="shared" si="3"/>
        <v>40</v>
      </c>
      <c r="M28" s="18"/>
      <c r="N28" s="9">
        <v>47</v>
      </c>
      <c r="O28" s="9">
        <v>24</v>
      </c>
      <c r="P28" s="9"/>
      <c r="Q28" s="18">
        <f t="shared" si="4"/>
        <v>71</v>
      </c>
      <c r="R28" s="18">
        <v>4</v>
      </c>
      <c r="S28" s="18" t="str">
        <f t="shared" si="5"/>
        <v>8</v>
      </c>
      <c r="T28" s="18" t="str">
        <f t="shared" si="6"/>
        <v>A</v>
      </c>
      <c r="U28" s="18">
        <f t="shared" si="7"/>
        <v>32</v>
      </c>
      <c r="V28" s="18"/>
      <c r="W28" s="9">
        <v>47</v>
      </c>
      <c r="X28" s="9">
        <v>41</v>
      </c>
      <c r="Y28" s="18"/>
      <c r="Z28" s="18">
        <f t="shared" si="8"/>
        <v>88</v>
      </c>
      <c r="AA28" s="18">
        <v>3</v>
      </c>
      <c r="AB28" s="18" t="str">
        <f t="shared" si="9"/>
        <v>9</v>
      </c>
      <c r="AC28" s="18" t="str">
        <f t="shared" si="10"/>
        <v>A+</v>
      </c>
      <c r="AD28" s="18">
        <f t="shared" si="11"/>
        <v>27</v>
      </c>
      <c r="AE28" s="18"/>
      <c r="AF28" s="46">
        <v>47</v>
      </c>
      <c r="AG28" s="46">
        <v>36</v>
      </c>
      <c r="AH28" s="9"/>
      <c r="AI28" s="18">
        <f t="shared" si="12"/>
        <v>83</v>
      </c>
      <c r="AJ28" s="18">
        <v>3</v>
      </c>
      <c r="AK28" s="18" t="str">
        <f t="shared" si="13"/>
        <v>9</v>
      </c>
      <c r="AL28" s="18" t="str">
        <f t="shared" si="14"/>
        <v>A+</v>
      </c>
      <c r="AM28" s="18">
        <f t="shared" si="15"/>
        <v>27</v>
      </c>
      <c r="AN28" s="18"/>
      <c r="AO28" s="46">
        <v>49</v>
      </c>
      <c r="AP28" s="46">
        <v>38</v>
      </c>
      <c r="AQ28" s="9"/>
      <c r="AR28" s="18">
        <f t="shared" si="16"/>
        <v>87</v>
      </c>
      <c r="AS28" s="18">
        <v>3</v>
      </c>
      <c r="AT28" s="18" t="str">
        <f t="shared" si="17"/>
        <v>9</v>
      </c>
      <c r="AU28" s="18" t="str">
        <f t="shared" si="18"/>
        <v>A+</v>
      </c>
      <c r="AV28" s="18">
        <f t="shared" si="19"/>
        <v>27</v>
      </c>
      <c r="AW28" s="18"/>
      <c r="AX28" s="9">
        <v>44</v>
      </c>
      <c r="AY28" s="9">
        <v>35</v>
      </c>
      <c r="AZ28" s="9"/>
      <c r="BA28" s="18">
        <f t="shared" si="20"/>
        <v>79</v>
      </c>
      <c r="BB28" s="18">
        <v>1</v>
      </c>
      <c r="BC28" s="18" t="str">
        <f t="shared" si="21"/>
        <v>8</v>
      </c>
      <c r="BD28" s="18" t="str">
        <f t="shared" si="22"/>
        <v>A</v>
      </c>
      <c r="BE28" s="18">
        <f t="shared" si="23"/>
        <v>8</v>
      </c>
      <c r="BF28" s="43" t="s">
        <v>35</v>
      </c>
      <c r="BG28" s="9">
        <v>47</v>
      </c>
      <c r="BH28" s="9">
        <v>34</v>
      </c>
      <c r="BI28" s="9"/>
      <c r="BJ28" s="18">
        <f t="shared" si="24"/>
        <v>81</v>
      </c>
      <c r="BK28" s="18">
        <v>1</v>
      </c>
      <c r="BL28" s="18" t="str">
        <f t="shared" si="25"/>
        <v>9</v>
      </c>
      <c r="BM28" s="18" t="str">
        <f t="shared" si="26"/>
        <v>A+</v>
      </c>
      <c r="BN28" s="18">
        <f t="shared" si="27"/>
        <v>9</v>
      </c>
      <c r="BO28" s="18"/>
      <c r="BP28" s="9">
        <v>48</v>
      </c>
      <c r="BQ28" s="9">
        <v>38</v>
      </c>
      <c r="BR28" s="9"/>
      <c r="BS28" s="18">
        <f t="shared" si="28"/>
        <v>86</v>
      </c>
      <c r="BT28" s="18">
        <v>1</v>
      </c>
      <c r="BU28" s="18" t="str">
        <f t="shared" si="29"/>
        <v>9</v>
      </c>
      <c r="BV28" s="18" t="str">
        <f t="shared" si="30"/>
        <v>A+</v>
      </c>
      <c r="BW28" s="18">
        <f t="shared" si="31"/>
        <v>9</v>
      </c>
      <c r="BX28" s="18"/>
      <c r="BY28" s="18"/>
      <c r="BZ28" s="18">
        <f t="shared" si="32"/>
        <v>179</v>
      </c>
      <c r="CA28" s="19">
        <f t="shared" si="33"/>
        <v>8.9499999999999993</v>
      </c>
      <c r="CB28" s="28" t="str">
        <f t="shared" si="34"/>
        <v>A+</v>
      </c>
      <c r="CC28" s="27">
        <f t="shared" si="35"/>
        <v>85.024999999999991</v>
      </c>
      <c r="CD28" s="27"/>
      <c r="CE28" s="28">
        <f t="shared" si="36"/>
        <v>666</v>
      </c>
      <c r="CF28" s="28">
        <f t="shared" si="37"/>
        <v>83.25</v>
      </c>
      <c r="CG28" s="27"/>
      <c r="CH28" s="27"/>
      <c r="CI28" s="27" t="str">
        <f t="shared" si="38"/>
        <v>FCD</v>
      </c>
    </row>
    <row r="29" spans="1:89" ht="15.75" customHeight="1" x14ac:dyDescent="0.3">
      <c r="A29" s="35">
        <f t="shared" ref="A29:A39" si="40">A28+1</f>
        <v>58</v>
      </c>
      <c r="B29" s="37" t="s">
        <v>261</v>
      </c>
      <c r="C29" s="44" t="s">
        <v>262</v>
      </c>
      <c r="D29" s="47" t="s">
        <v>31</v>
      </c>
      <c r="E29" s="9">
        <v>49</v>
      </c>
      <c r="F29" s="9">
        <v>46</v>
      </c>
      <c r="G29" s="9"/>
      <c r="H29" s="18">
        <f t="shared" si="0"/>
        <v>95</v>
      </c>
      <c r="I29" s="18">
        <v>4</v>
      </c>
      <c r="J29" s="18" t="str">
        <f t="shared" si="1"/>
        <v>10</v>
      </c>
      <c r="K29" s="18" t="str">
        <f t="shared" si="2"/>
        <v>O</v>
      </c>
      <c r="L29" s="18">
        <f t="shared" si="3"/>
        <v>40</v>
      </c>
      <c r="M29" s="18"/>
      <c r="N29" s="9">
        <v>45</v>
      </c>
      <c r="O29" s="9">
        <v>33</v>
      </c>
      <c r="P29" s="9"/>
      <c r="Q29" s="18">
        <f t="shared" si="4"/>
        <v>78</v>
      </c>
      <c r="R29" s="18">
        <v>4</v>
      </c>
      <c r="S29" s="18" t="str">
        <f t="shared" si="5"/>
        <v>8</v>
      </c>
      <c r="T29" s="18" t="str">
        <f t="shared" si="6"/>
        <v>A</v>
      </c>
      <c r="U29" s="18">
        <f t="shared" si="7"/>
        <v>32</v>
      </c>
      <c r="V29" s="18"/>
      <c r="W29" s="9">
        <v>45</v>
      </c>
      <c r="X29" s="9">
        <v>46</v>
      </c>
      <c r="Y29" s="18"/>
      <c r="Z29" s="18">
        <f t="shared" si="8"/>
        <v>91</v>
      </c>
      <c r="AA29" s="18">
        <v>3</v>
      </c>
      <c r="AB29" s="18" t="str">
        <f t="shared" si="9"/>
        <v>10</v>
      </c>
      <c r="AC29" s="18" t="str">
        <f t="shared" si="10"/>
        <v>O</v>
      </c>
      <c r="AD29" s="18">
        <f t="shared" si="11"/>
        <v>30</v>
      </c>
      <c r="AE29" s="18"/>
      <c r="AF29" s="46">
        <v>45</v>
      </c>
      <c r="AG29" s="46">
        <v>40</v>
      </c>
      <c r="AH29" s="9"/>
      <c r="AI29" s="18">
        <f t="shared" si="12"/>
        <v>85</v>
      </c>
      <c r="AJ29" s="18">
        <v>3</v>
      </c>
      <c r="AK29" s="18" t="str">
        <f t="shared" si="13"/>
        <v>9</v>
      </c>
      <c r="AL29" s="18" t="str">
        <f t="shared" si="14"/>
        <v>A+</v>
      </c>
      <c r="AM29" s="18">
        <f t="shared" si="15"/>
        <v>27</v>
      </c>
      <c r="AN29" s="17"/>
      <c r="AO29" s="46">
        <v>43</v>
      </c>
      <c r="AP29" s="46">
        <v>32</v>
      </c>
      <c r="AQ29" s="9"/>
      <c r="AR29" s="18">
        <f t="shared" si="16"/>
        <v>75</v>
      </c>
      <c r="AS29" s="18">
        <v>3</v>
      </c>
      <c r="AT29" s="18" t="str">
        <f t="shared" si="17"/>
        <v>8</v>
      </c>
      <c r="AU29" s="18" t="str">
        <f t="shared" si="18"/>
        <v>A</v>
      </c>
      <c r="AV29" s="18">
        <f t="shared" si="19"/>
        <v>24</v>
      </c>
      <c r="AW29" s="18"/>
      <c r="AX29" s="9">
        <v>44</v>
      </c>
      <c r="AY29" s="9">
        <v>26</v>
      </c>
      <c r="AZ29" s="9"/>
      <c r="BA29" s="18">
        <f t="shared" si="20"/>
        <v>70</v>
      </c>
      <c r="BB29" s="18">
        <v>1</v>
      </c>
      <c r="BC29" s="18" t="str">
        <f t="shared" si="21"/>
        <v>8</v>
      </c>
      <c r="BD29" s="18" t="str">
        <f t="shared" si="22"/>
        <v>A</v>
      </c>
      <c r="BE29" s="18">
        <f t="shared" si="23"/>
        <v>8</v>
      </c>
      <c r="BF29" s="43" t="s">
        <v>35</v>
      </c>
      <c r="BG29" s="9">
        <v>46</v>
      </c>
      <c r="BH29" s="9">
        <v>37</v>
      </c>
      <c r="BI29" s="9"/>
      <c r="BJ29" s="18">
        <f t="shared" si="24"/>
        <v>83</v>
      </c>
      <c r="BK29" s="18">
        <v>1</v>
      </c>
      <c r="BL29" s="18" t="str">
        <f t="shared" si="25"/>
        <v>9</v>
      </c>
      <c r="BM29" s="18" t="str">
        <f t="shared" si="26"/>
        <v>A+</v>
      </c>
      <c r="BN29" s="18">
        <f t="shared" si="27"/>
        <v>9</v>
      </c>
      <c r="BO29" s="18"/>
      <c r="BP29" s="9">
        <v>48</v>
      </c>
      <c r="BQ29" s="9">
        <v>39</v>
      </c>
      <c r="BR29" s="9"/>
      <c r="BS29" s="18">
        <f t="shared" si="28"/>
        <v>87</v>
      </c>
      <c r="BT29" s="18">
        <v>1</v>
      </c>
      <c r="BU29" s="18" t="str">
        <f t="shared" si="29"/>
        <v>9</v>
      </c>
      <c r="BV29" s="18" t="str">
        <f t="shared" si="30"/>
        <v>A+</v>
      </c>
      <c r="BW29" s="18">
        <f t="shared" si="31"/>
        <v>9</v>
      </c>
      <c r="BX29" s="18"/>
      <c r="BY29" s="18"/>
      <c r="BZ29" s="18">
        <f t="shared" si="32"/>
        <v>179</v>
      </c>
      <c r="CA29" s="19">
        <f t="shared" si="33"/>
        <v>8.9499999999999993</v>
      </c>
      <c r="CB29" s="28" t="str">
        <f t="shared" si="34"/>
        <v>A+</v>
      </c>
      <c r="CC29" s="27">
        <f t="shared" si="35"/>
        <v>85.024999999999991</v>
      </c>
      <c r="CD29" s="27"/>
      <c r="CE29" s="28">
        <f t="shared" si="36"/>
        <v>664</v>
      </c>
      <c r="CF29" s="28">
        <f t="shared" si="37"/>
        <v>83</v>
      </c>
      <c r="CG29" s="27"/>
      <c r="CH29" s="27"/>
      <c r="CI29" s="27" t="str">
        <f t="shared" si="38"/>
        <v>FCD</v>
      </c>
    </row>
    <row r="30" spans="1:89" ht="15.75" customHeight="1" x14ac:dyDescent="0.3">
      <c r="A30" s="35">
        <f t="shared" si="40"/>
        <v>59</v>
      </c>
      <c r="B30" s="37" t="s">
        <v>263</v>
      </c>
      <c r="C30" s="44" t="s">
        <v>264</v>
      </c>
      <c r="D30" s="47" t="s">
        <v>31</v>
      </c>
      <c r="E30" s="9">
        <v>48</v>
      </c>
      <c r="F30" s="9">
        <v>38</v>
      </c>
      <c r="G30" s="9"/>
      <c r="H30" s="18">
        <f t="shared" si="0"/>
        <v>86</v>
      </c>
      <c r="I30" s="18">
        <v>4</v>
      </c>
      <c r="J30" s="18" t="str">
        <f t="shared" si="1"/>
        <v>9</v>
      </c>
      <c r="K30" s="18" t="str">
        <f t="shared" si="2"/>
        <v>A+</v>
      </c>
      <c r="L30" s="18">
        <f t="shared" si="3"/>
        <v>36</v>
      </c>
      <c r="M30" s="18"/>
      <c r="N30" s="9">
        <v>44</v>
      </c>
      <c r="O30" s="9">
        <v>42</v>
      </c>
      <c r="P30" s="9"/>
      <c r="Q30" s="18">
        <f t="shared" si="4"/>
        <v>86</v>
      </c>
      <c r="R30" s="18">
        <v>4</v>
      </c>
      <c r="S30" s="18" t="str">
        <f t="shared" si="5"/>
        <v>9</v>
      </c>
      <c r="T30" s="18" t="str">
        <f t="shared" si="6"/>
        <v>A+</v>
      </c>
      <c r="U30" s="18">
        <f t="shared" si="7"/>
        <v>36</v>
      </c>
      <c r="V30" s="18"/>
      <c r="W30" s="9">
        <v>41</v>
      </c>
      <c r="X30" s="9">
        <v>42</v>
      </c>
      <c r="Y30" s="18"/>
      <c r="Z30" s="18">
        <f t="shared" si="8"/>
        <v>83</v>
      </c>
      <c r="AA30" s="18">
        <v>3</v>
      </c>
      <c r="AB30" s="18" t="str">
        <f t="shared" si="9"/>
        <v>9</v>
      </c>
      <c r="AC30" s="18" t="str">
        <f t="shared" si="10"/>
        <v>A+</v>
      </c>
      <c r="AD30" s="18">
        <f t="shared" si="11"/>
        <v>27</v>
      </c>
      <c r="AE30" s="18"/>
      <c r="AF30" s="46">
        <v>48</v>
      </c>
      <c r="AG30" s="46">
        <v>39</v>
      </c>
      <c r="AH30" s="9"/>
      <c r="AI30" s="18">
        <f t="shared" si="12"/>
        <v>87</v>
      </c>
      <c r="AJ30" s="18">
        <v>3</v>
      </c>
      <c r="AK30" s="18" t="str">
        <f t="shared" si="13"/>
        <v>9</v>
      </c>
      <c r="AL30" s="18" t="str">
        <f t="shared" si="14"/>
        <v>A+</v>
      </c>
      <c r="AM30" s="18">
        <f t="shared" si="15"/>
        <v>27</v>
      </c>
      <c r="AN30" s="18"/>
      <c r="AO30" s="46">
        <v>42</v>
      </c>
      <c r="AP30" s="46">
        <v>33</v>
      </c>
      <c r="AQ30" s="9"/>
      <c r="AR30" s="18">
        <f t="shared" si="16"/>
        <v>75</v>
      </c>
      <c r="AS30" s="18">
        <v>3</v>
      </c>
      <c r="AT30" s="18" t="str">
        <f t="shared" si="17"/>
        <v>8</v>
      </c>
      <c r="AU30" s="18" t="str">
        <f t="shared" si="18"/>
        <v>A</v>
      </c>
      <c r="AV30" s="18">
        <f t="shared" si="19"/>
        <v>24</v>
      </c>
      <c r="AW30" s="18"/>
      <c r="AX30" s="9">
        <v>46</v>
      </c>
      <c r="AY30" s="9">
        <v>35</v>
      </c>
      <c r="AZ30" s="9"/>
      <c r="BA30" s="18">
        <f t="shared" si="20"/>
        <v>81</v>
      </c>
      <c r="BB30" s="18">
        <v>1</v>
      </c>
      <c r="BC30" s="18" t="str">
        <f t="shared" si="21"/>
        <v>9</v>
      </c>
      <c r="BD30" s="18" t="str">
        <f t="shared" si="22"/>
        <v>A+</v>
      </c>
      <c r="BE30" s="18">
        <f t="shared" si="23"/>
        <v>9</v>
      </c>
      <c r="BF30" s="43" t="s">
        <v>35</v>
      </c>
      <c r="BG30" s="9">
        <v>45</v>
      </c>
      <c r="BH30" s="9">
        <v>38</v>
      </c>
      <c r="BI30" s="9"/>
      <c r="BJ30" s="18">
        <f t="shared" si="24"/>
        <v>83</v>
      </c>
      <c r="BK30" s="18">
        <v>1</v>
      </c>
      <c r="BL30" s="18" t="str">
        <f t="shared" si="25"/>
        <v>9</v>
      </c>
      <c r="BM30" s="18" t="str">
        <f t="shared" si="26"/>
        <v>A+</v>
      </c>
      <c r="BN30" s="18">
        <f t="shared" si="27"/>
        <v>9</v>
      </c>
      <c r="BO30" s="18"/>
      <c r="BP30" s="9">
        <v>48</v>
      </c>
      <c r="BQ30" s="9">
        <v>41</v>
      </c>
      <c r="BR30" s="9"/>
      <c r="BS30" s="18">
        <f t="shared" si="28"/>
        <v>89</v>
      </c>
      <c r="BT30" s="18">
        <v>1</v>
      </c>
      <c r="BU30" s="18" t="str">
        <f t="shared" si="29"/>
        <v>9</v>
      </c>
      <c r="BV30" s="18" t="str">
        <f t="shared" si="30"/>
        <v>A+</v>
      </c>
      <c r="BW30" s="18">
        <f t="shared" si="31"/>
        <v>9</v>
      </c>
      <c r="BX30" s="18"/>
      <c r="BY30" s="18"/>
      <c r="BZ30" s="18">
        <f t="shared" si="32"/>
        <v>177</v>
      </c>
      <c r="CA30" s="19">
        <f t="shared" si="33"/>
        <v>8.85</v>
      </c>
      <c r="CB30" s="28" t="str">
        <f t="shared" si="34"/>
        <v>A+</v>
      </c>
      <c r="CC30" s="27">
        <f t="shared" si="35"/>
        <v>84.075000000000003</v>
      </c>
      <c r="CD30" s="27"/>
      <c r="CE30" s="28">
        <f t="shared" si="36"/>
        <v>670</v>
      </c>
      <c r="CF30" s="28">
        <f t="shared" si="37"/>
        <v>83.75</v>
      </c>
      <c r="CG30" s="27"/>
      <c r="CH30" s="27"/>
      <c r="CI30" s="27" t="str">
        <f t="shared" si="38"/>
        <v>FCD</v>
      </c>
    </row>
    <row r="31" spans="1:89" ht="15.75" customHeight="1" x14ac:dyDescent="0.3">
      <c r="A31" s="35">
        <f t="shared" si="40"/>
        <v>60</v>
      </c>
      <c r="B31" s="37" t="s">
        <v>265</v>
      </c>
      <c r="C31" s="44" t="s">
        <v>266</v>
      </c>
      <c r="D31" s="47" t="s">
        <v>31</v>
      </c>
      <c r="E31" s="9">
        <v>50</v>
      </c>
      <c r="F31" s="9">
        <v>45</v>
      </c>
      <c r="G31" s="9"/>
      <c r="H31" s="18">
        <f t="shared" si="0"/>
        <v>95</v>
      </c>
      <c r="I31" s="18">
        <v>4</v>
      </c>
      <c r="J31" s="18" t="str">
        <f t="shared" si="1"/>
        <v>10</v>
      </c>
      <c r="K31" s="18" t="str">
        <f t="shared" si="2"/>
        <v>O</v>
      </c>
      <c r="L31" s="18">
        <f t="shared" si="3"/>
        <v>40</v>
      </c>
      <c r="M31" s="18"/>
      <c r="N31" s="9">
        <v>41</v>
      </c>
      <c r="O31" s="9">
        <v>39</v>
      </c>
      <c r="P31" s="9"/>
      <c r="Q31" s="18">
        <f t="shared" si="4"/>
        <v>80</v>
      </c>
      <c r="R31" s="18">
        <v>4</v>
      </c>
      <c r="S31" s="18" t="str">
        <f t="shared" si="5"/>
        <v>9</v>
      </c>
      <c r="T31" s="18" t="str">
        <f t="shared" si="6"/>
        <v>A+</v>
      </c>
      <c r="U31" s="18">
        <f t="shared" si="7"/>
        <v>36</v>
      </c>
      <c r="V31" s="18"/>
      <c r="W31" s="9">
        <v>48</v>
      </c>
      <c r="X31" s="9">
        <v>39</v>
      </c>
      <c r="Y31" s="18"/>
      <c r="Z31" s="18">
        <f t="shared" si="8"/>
        <v>87</v>
      </c>
      <c r="AA31" s="18">
        <v>3</v>
      </c>
      <c r="AB31" s="18" t="str">
        <f t="shared" si="9"/>
        <v>9</v>
      </c>
      <c r="AC31" s="18" t="str">
        <f t="shared" si="10"/>
        <v>A+</v>
      </c>
      <c r="AD31" s="18">
        <f t="shared" si="11"/>
        <v>27</v>
      </c>
      <c r="AE31" s="18"/>
      <c r="AF31" s="46">
        <v>45</v>
      </c>
      <c r="AG31" s="46">
        <v>34</v>
      </c>
      <c r="AH31" s="9"/>
      <c r="AI31" s="18">
        <f t="shared" si="12"/>
        <v>79</v>
      </c>
      <c r="AJ31" s="18">
        <v>3</v>
      </c>
      <c r="AK31" s="18" t="str">
        <f t="shared" si="13"/>
        <v>8</v>
      </c>
      <c r="AL31" s="18" t="str">
        <f t="shared" si="14"/>
        <v>A</v>
      </c>
      <c r="AM31" s="18">
        <f t="shared" si="15"/>
        <v>24</v>
      </c>
      <c r="AN31" s="18"/>
      <c r="AO31" s="46">
        <v>41</v>
      </c>
      <c r="AP31" s="46">
        <v>32</v>
      </c>
      <c r="AQ31" s="9"/>
      <c r="AR31" s="18">
        <f t="shared" si="16"/>
        <v>73</v>
      </c>
      <c r="AS31" s="18">
        <v>3</v>
      </c>
      <c r="AT31" s="18" t="str">
        <f t="shared" si="17"/>
        <v>8</v>
      </c>
      <c r="AU31" s="18" t="str">
        <f t="shared" si="18"/>
        <v>A</v>
      </c>
      <c r="AV31" s="18">
        <f t="shared" si="19"/>
        <v>24</v>
      </c>
      <c r="AW31" s="18"/>
      <c r="AX31" s="9">
        <v>46</v>
      </c>
      <c r="AY31" s="9">
        <v>32</v>
      </c>
      <c r="AZ31" s="9"/>
      <c r="BA31" s="18">
        <f t="shared" si="20"/>
        <v>78</v>
      </c>
      <c r="BB31" s="18">
        <v>1</v>
      </c>
      <c r="BC31" s="18" t="str">
        <f t="shared" si="21"/>
        <v>8</v>
      </c>
      <c r="BD31" s="18" t="str">
        <f t="shared" si="22"/>
        <v>A</v>
      </c>
      <c r="BE31" s="18">
        <f t="shared" si="23"/>
        <v>8</v>
      </c>
      <c r="BF31" s="43" t="s">
        <v>32</v>
      </c>
      <c r="BG31" s="9">
        <v>44</v>
      </c>
      <c r="BH31" s="9">
        <v>44</v>
      </c>
      <c r="BI31" s="9"/>
      <c r="BJ31" s="18">
        <f t="shared" si="24"/>
        <v>88</v>
      </c>
      <c r="BK31" s="18">
        <v>1</v>
      </c>
      <c r="BL31" s="18" t="str">
        <f t="shared" si="25"/>
        <v>9</v>
      </c>
      <c r="BM31" s="18" t="str">
        <f t="shared" si="26"/>
        <v>A+</v>
      </c>
      <c r="BN31" s="18">
        <f t="shared" si="27"/>
        <v>9</v>
      </c>
      <c r="BO31" s="18"/>
      <c r="BP31" s="9">
        <v>46</v>
      </c>
      <c r="BQ31" s="9">
        <v>41</v>
      </c>
      <c r="BR31" s="9"/>
      <c r="BS31" s="18">
        <f t="shared" si="28"/>
        <v>87</v>
      </c>
      <c r="BT31" s="18">
        <v>1</v>
      </c>
      <c r="BU31" s="18" t="str">
        <f t="shared" si="29"/>
        <v>9</v>
      </c>
      <c r="BV31" s="18" t="str">
        <f t="shared" si="30"/>
        <v>A+</v>
      </c>
      <c r="BW31" s="18">
        <f t="shared" si="31"/>
        <v>9</v>
      </c>
      <c r="BX31" s="18"/>
      <c r="BY31" s="18"/>
      <c r="BZ31" s="18">
        <f t="shared" si="32"/>
        <v>177</v>
      </c>
      <c r="CA31" s="19">
        <f t="shared" si="33"/>
        <v>8.85</v>
      </c>
      <c r="CB31" s="28" t="str">
        <f t="shared" si="34"/>
        <v>A+</v>
      </c>
      <c r="CC31" s="27">
        <f t="shared" si="35"/>
        <v>84.075000000000003</v>
      </c>
      <c r="CD31" s="27"/>
      <c r="CE31" s="28">
        <f t="shared" si="36"/>
        <v>667</v>
      </c>
      <c r="CF31" s="28">
        <f t="shared" si="37"/>
        <v>83.375</v>
      </c>
      <c r="CG31" s="27"/>
      <c r="CH31" s="27"/>
      <c r="CI31" s="27" t="str">
        <f t="shared" si="38"/>
        <v>FCD</v>
      </c>
    </row>
    <row r="32" spans="1:89" ht="15.75" customHeight="1" x14ac:dyDescent="0.3">
      <c r="A32" s="35">
        <f t="shared" si="40"/>
        <v>61</v>
      </c>
      <c r="B32" s="37" t="s">
        <v>267</v>
      </c>
      <c r="C32" s="44" t="s">
        <v>268</v>
      </c>
      <c r="D32" s="47" t="s">
        <v>31</v>
      </c>
      <c r="E32" s="9">
        <v>45</v>
      </c>
      <c r="F32" s="9">
        <v>32</v>
      </c>
      <c r="G32" s="9"/>
      <c r="H32" s="18">
        <f t="shared" si="0"/>
        <v>77</v>
      </c>
      <c r="I32" s="18">
        <v>4</v>
      </c>
      <c r="J32" s="18" t="str">
        <f t="shared" si="1"/>
        <v>8</v>
      </c>
      <c r="K32" s="18" t="str">
        <f t="shared" si="2"/>
        <v>A</v>
      </c>
      <c r="L32" s="18">
        <f t="shared" si="3"/>
        <v>32</v>
      </c>
      <c r="M32" s="18"/>
      <c r="N32" s="9">
        <v>46</v>
      </c>
      <c r="O32" s="9">
        <v>35</v>
      </c>
      <c r="P32" s="9"/>
      <c r="Q32" s="18">
        <f t="shared" si="4"/>
        <v>81</v>
      </c>
      <c r="R32" s="18">
        <v>4</v>
      </c>
      <c r="S32" s="18" t="str">
        <f t="shared" si="5"/>
        <v>9</v>
      </c>
      <c r="T32" s="18" t="str">
        <f t="shared" si="6"/>
        <v>A+</v>
      </c>
      <c r="U32" s="18">
        <f t="shared" si="7"/>
        <v>36</v>
      </c>
      <c r="V32" s="18"/>
      <c r="W32" s="9">
        <v>47</v>
      </c>
      <c r="X32" s="9">
        <v>45</v>
      </c>
      <c r="Y32" s="18"/>
      <c r="Z32" s="18">
        <f t="shared" si="8"/>
        <v>92</v>
      </c>
      <c r="AA32" s="18">
        <v>3</v>
      </c>
      <c r="AB32" s="18" t="str">
        <f t="shared" si="9"/>
        <v>10</v>
      </c>
      <c r="AC32" s="18" t="str">
        <f t="shared" si="10"/>
        <v>O</v>
      </c>
      <c r="AD32" s="18">
        <f t="shared" si="11"/>
        <v>30</v>
      </c>
      <c r="AE32" s="18"/>
      <c r="AF32" s="46">
        <v>44</v>
      </c>
      <c r="AG32" s="46">
        <v>36</v>
      </c>
      <c r="AH32" s="9"/>
      <c r="AI32" s="18">
        <f t="shared" si="12"/>
        <v>80</v>
      </c>
      <c r="AJ32" s="18">
        <v>3</v>
      </c>
      <c r="AK32" s="18" t="str">
        <f t="shared" si="13"/>
        <v>9</v>
      </c>
      <c r="AL32" s="18" t="str">
        <f t="shared" si="14"/>
        <v>A+</v>
      </c>
      <c r="AM32" s="18">
        <f t="shared" si="15"/>
        <v>27</v>
      </c>
      <c r="AN32" s="18"/>
      <c r="AO32" s="46">
        <v>48</v>
      </c>
      <c r="AP32" s="46">
        <v>41</v>
      </c>
      <c r="AQ32" s="9"/>
      <c r="AR32" s="18">
        <f t="shared" si="16"/>
        <v>89</v>
      </c>
      <c r="AS32" s="18">
        <v>3</v>
      </c>
      <c r="AT32" s="18" t="str">
        <f t="shared" si="17"/>
        <v>9</v>
      </c>
      <c r="AU32" s="18" t="str">
        <f t="shared" si="18"/>
        <v>A+</v>
      </c>
      <c r="AV32" s="18">
        <f t="shared" si="19"/>
        <v>27</v>
      </c>
      <c r="AW32" s="18"/>
      <c r="AX32" s="9">
        <v>43</v>
      </c>
      <c r="AY32" s="9">
        <v>27</v>
      </c>
      <c r="AZ32" s="9"/>
      <c r="BA32" s="18">
        <f t="shared" si="20"/>
        <v>70</v>
      </c>
      <c r="BB32" s="18">
        <v>1</v>
      </c>
      <c r="BC32" s="18" t="str">
        <f t="shared" si="21"/>
        <v>8</v>
      </c>
      <c r="BD32" s="18" t="str">
        <f t="shared" si="22"/>
        <v>A</v>
      </c>
      <c r="BE32" s="18">
        <f t="shared" si="23"/>
        <v>8</v>
      </c>
      <c r="BF32" s="43" t="s">
        <v>35</v>
      </c>
      <c r="BG32" s="9">
        <v>41</v>
      </c>
      <c r="BH32" s="9">
        <v>35</v>
      </c>
      <c r="BI32" s="9"/>
      <c r="BJ32" s="18">
        <f t="shared" si="24"/>
        <v>76</v>
      </c>
      <c r="BK32" s="18">
        <v>1</v>
      </c>
      <c r="BL32" s="18" t="str">
        <f t="shared" si="25"/>
        <v>8</v>
      </c>
      <c r="BM32" s="18" t="str">
        <f t="shared" si="26"/>
        <v>A</v>
      </c>
      <c r="BN32" s="18">
        <f t="shared" si="27"/>
        <v>8</v>
      </c>
      <c r="BO32" s="18"/>
      <c r="BP32" s="9">
        <v>44</v>
      </c>
      <c r="BQ32" s="9">
        <v>37</v>
      </c>
      <c r="BR32" s="9"/>
      <c r="BS32" s="18">
        <f t="shared" si="28"/>
        <v>81</v>
      </c>
      <c r="BT32" s="18">
        <v>1</v>
      </c>
      <c r="BU32" s="18" t="str">
        <f t="shared" si="29"/>
        <v>9</v>
      </c>
      <c r="BV32" s="18" t="str">
        <f t="shared" si="30"/>
        <v>A+</v>
      </c>
      <c r="BW32" s="18">
        <f t="shared" si="31"/>
        <v>9</v>
      </c>
      <c r="BX32" s="18"/>
      <c r="BY32" s="18"/>
      <c r="BZ32" s="18">
        <f t="shared" si="32"/>
        <v>177</v>
      </c>
      <c r="CA32" s="19">
        <f t="shared" si="33"/>
        <v>8.85</v>
      </c>
      <c r="CB32" s="28" t="str">
        <f t="shared" si="34"/>
        <v>A+</v>
      </c>
      <c r="CC32" s="27">
        <f t="shared" si="35"/>
        <v>84.075000000000003</v>
      </c>
      <c r="CD32" s="27"/>
      <c r="CE32" s="28">
        <f t="shared" si="36"/>
        <v>646</v>
      </c>
      <c r="CF32" s="28">
        <f t="shared" si="37"/>
        <v>80.75</v>
      </c>
      <c r="CG32" s="27"/>
      <c r="CH32" s="27"/>
      <c r="CI32" s="27" t="str">
        <f t="shared" si="38"/>
        <v>FCD</v>
      </c>
    </row>
    <row r="33" spans="1:87" ht="15.75" customHeight="1" x14ac:dyDescent="0.3">
      <c r="A33" s="35">
        <f t="shared" si="40"/>
        <v>62</v>
      </c>
      <c r="B33" s="37" t="s">
        <v>269</v>
      </c>
      <c r="C33" s="44" t="s">
        <v>270</v>
      </c>
      <c r="D33" s="47" t="s">
        <v>31</v>
      </c>
      <c r="E33" s="9">
        <v>49</v>
      </c>
      <c r="F33" s="9">
        <v>28</v>
      </c>
      <c r="G33" s="9"/>
      <c r="H33" s="18">
        <f t="shared" si="0"/>
        <v>77</v>
      </c>
      <c r="I33" s="18">
        <v>4</v>
      </c>
      <c r="J33" s="18" t="str">
        <f t="shared" si="1"/>
        <v>8</v>
      </c>
      <c r="K33" s="18" t="str">
        <f t="shared" si="2"/>
        <v>A</v>
      </c>
      <c r="L33" s="18">
        <f t="shared" si="3"/>
        <v>32</v>
      </c>
      <c r="M33" s="18"/>
      <c r="N33" s="9">
        <v>47</v>
      </c>
      <c r="O33" s="9">
        <v>34</v>
      </c>
      <c r="P33" s="9"/>
      <c r="Q33" s="18">
        <f t="shared" si="4"/>
        <v>81</v>
      </c>
      <c r="R33" s="18">
        <v>4</v>
      </c>
      <c r="S33" s="18" t="str">
        <f t="shared" si="5"/>
        <v>9</v>
      </c>
      <c r="T33" s="18" t="str">
        <f t="shared" si="6"/>
        <v>A+</v>
      </c>
      <c r="U33" s="18">
        <f t="shared" si="7"/>
        <v>36</v>
      </c>
      <c r="V33" s="18"/>
      <c r="W33" s="9">
        <v>47</v>
      </c>
      <c r="X33" s="9">
        <v>45</v>
      </c>
      <c r="Y33" s="18"/>
      <c r="Z33" s="18">
        <f t="shared" si="8"/>
        <v>92</v>
      </c>
      <c r="AA33" s="18">
        <v>3</v>
      </c>
      <c r="AB33" s="18" t="str">
        <f t="shared" si="9"/>
        <v>10</v>
      </c>
      <c r="AC33" s="18" t="str">
        <f t="shared" si="10"/>
        <v>O</v>
      </c>
      <c r="AD33" s="18">
        <f t="shared" si="11"/>
        <v>30</v>
      </c>
      <c r="AE33" s="18"/>
      <c r="AF33" s="46">
        <v>41</v>
      </c>
      <c r="AG33" s="46">
        <v>33</v>
      </c>
      <c r="AH33" s="9"/>
      <c r="AI33" s="18">
        <f t="shared" si="12"/>
        <v>74</v>
      </c>
      <c r="AJ33" s="18">
        <v>3</v>
      </c>
      <c r="AK33" s="18" t="str">
        <f t="shared" si="13"/>
        <v>8</v>
      </c>
      <c r="AL33" s="18" t="str">
        <f t="shared" si="14"/>
        <v>A</v>
      </c>
      <c r="AM33" s="18">
        <f t="shared" si="15"/>
        <v>24</v>
      </c>
      <c r="AN33" s="18"/>
      <c r="AO33" s="46">
        <v>49</v>
      </c>
      <c r="AP33" s="46">
        <v>39</v>
      </c>
      <c r="AQ33" s="9"/>
      <c r="AR33" s="18">
        <f t="shared" si="16"/>
        <v>88</v>
      </c>
      <c r="AS33" s="18">
        <v>3</v>
      </c>
      <c r="AT33" s="18" t="str">
        <f t="shared" si="17"/>
        <v>9</v>
      </c>
      <c r="AU33" s="18" t="str">
        <f t="shared" si="18"/>
        <v>A+</v>
      </c>
      <c r="AV33" s="18">
        <f t="shared" si="19"/>
        <v>27</v>
      </c>
      <c r="AW33" s="18"/>
      <c r="AX33" s="9">
        <v>45</v>
      </c>
      <c r="AY33" s="9">
        <v>33</v>
      </c>
      <c r="AZ33" s="9"/>
      <c r="BA33" s="18">
        <f t="shared" si="20"/>
        <v>78</v>
      </c>
      <c r="BB33" s="18">
        <v>1</v>
      </c>
      <c r="BC33" s="18" t="str">
        <f t="shared" si="21"/>
        <v>8</v>
      </c>
      <c r="BD33" s="18" t="str">
        <f t="shared" si="22"/>
        <v>A</v>
      </c>
      <c r="BE33" s="18">
        <f t="shared" si="23"/>
        <v>8</v>
      </c>
      <c r="BF33" s="43" t="s">
        <v>32</v>
      </c>
      <c r="BG33" s="9">
        <v>49</v>
      </c>
      <c r="BH33" s="9">
        <v>50</v>
      </c>
      <c r="BI33" s="9"/>
      <c r="BJ33" s="18">
        <f t="shared" si="24"/>
        <v>99</v>
      </c>
      <c r="BK33" s="18">
        <v>1</v>
      </c>
      <c r="BL33" s="18" t="str">
        <f t="shared" si="25"/>
        <v>10</v>
      </c>
      <c r="BM33" s="18" t="str">
        <f t="shared" si="26"/>
        <v>O</v>
      </c>
      <c r="BN33" s="18">
        <f t="shared" si="27"/>
        <v>10</v>
      </c>
      <c r="BO33" s="18"/>
      <c r="BP33" s="9">
        <v>48</v>
      </c>
      <c r="BQ33" s="9">
        <v>40</v>
      </c>
      <c r="BR33" s="9"/>
      <c r="BS33" s="18">
        <f t="shared" si="28"/>
        <v>88</v>
      </c>
      <c r="BT33" s="18">
        <v>1</v>
      </c>
      <c r="BU33" s="18" t="str">
        <f t="shared" si="29"/>
        <v>9</v>
      </c>
      <c r="BV33" s="18" t="str">
        <f t="shared" si="30"/>
        <v>A+</v>
      </c>
      <c r="BW33" s="18">
        <f t="shared" si="31"/>
        <v>9</v>
      </c>
      <c r="BX33" s="18"/>
      <c r="BY33" s="18"/>
      <c r="BZ33" s="18">
        <f t="shared" si="32"/>
        <v>176</v>
      </c>
      <c r="CA33" s="19">
        <f t="shared" si="33"/>
        <v>8.8000000000000007</v>
      </c>
      <c r="CB33" s="28" t="str">
        <f t="shared" si="34"/>
        <v>A+</v>
      </c>
      <c r="CC33" s="27">
        <f t="shared" si="35"/>
        <v>83.600000000000009</v>
      </c>
      <c r="CD33" s="27"/>
      <c r="CE33" s="28">
        <f t="shared" si="36"/>
        <v>677</v>
      </c>
      <c r="CF33" s="28">
        <f t="shared" si="37"/>
        <v>84.625</v>
      </c>
      <c r="CG33" s="27"/>
      <c r="CH33" s="27"/>
      <c r="CI33" s="27" t="str">
        <f t="shared" si="38"/>
        <v>FCD</v>
      </c>
    </row>
    <row r="34" spans="1:87" ht="15.75" customHeight="1" x14ac:dyDescent="0.3">
      <c r="A34" s="35">
        <f t="shared" si="40"/>
        <v>63</v>
      </c>
      <c r="B34" s="37" t="s">
        <v>271</v>
      </c>
      <c r="C34" s="44" t="s">
        <v>272</v>
      </c>
      <c r="D34" s="47" t="s">
        <v>31</v>
      </c>
      <c r="E34" s="9">
        <v>45</v>
      </c>
      <c r="F34" s="9">
        <v>39</v>
      </c>
      <c r="G34" s="9"/>
      <c r="H34" s="18">
        <f t="shared" si="0"/>
        <v>84</v>
      </c>
      <c r="I34" s="18">
        <v>4</v>
      </c>
      <c r="J34" s="18" t="str">
        <f t="shared" si="1"/>
        <v>9</v>
      </c>
      <c r="K34" s="18" t="str">
        <f t="shared" si="2"/>
        <v>A+</v>
      </c>
      <c r="L34" s="18">
        <f t="shared" si="3"/>
        <v>36</v>
      </c>
      <c r="M34" s="18"/>
      <c r="N34" s="9">
        <v>47</v>
      </c>
      <c r="O34" s="9">
        <v>39</v>
      </c>
      <c r="P34" s="9"/>
      <c r="Q34" s="18">
        <f t="shared" si="4"/>
        <v>86</v>
      </c>
      <c r="R34" s="18">
        <v>4</v>
      </c>
      <c r="S34" s="18" t="str">
        <f t="shared" si="5"/>
        <v>9</v>
      </c>
      <c r="T34" s="18" t="str">
        <f t="shared" si="6"/>
        <v>A+</v>
      </c>
      <c r="U34" s="18">
        <f t="shared" si="7"/>
        <v>36</v>
      </c>
      <c r="V34" s="18"/>
      <c r="W34" s="9">
        <v>47</v>
      </c>
      <c r="X34" s="9">
        <v>30</v>
      </c>
      <c r="Y34" s="18"/>
      <c r="Z34" s="18">
        <f t="shared" si="8"/>
        <v>77</v>
      </c>
      <c r="AA34" s="18">
        <v>3</v>
      </c>
      <c r="AB34" s="18" t="str">
        <f t="shared" si="9"/>
        <v>8</v>
      </c>
      <c r="AC34" s="18" t="str">
        <f t="shared" si="10"/>
        <v>A</v>
      </c>
      <c r="AD34" s="18">
        <f t="shared" si="11"/>
        <v>24</v>
      </c>
      <c r="AE34" s="18"/>
      <c r="AF34" s="46">
        <v>44</v>
      </c>
      <c r="AG34" s="46">
        <v>32</v>
      </c>
      <c r="AH34" s="9"/>
      <c r="AI34" s="18">
        <f t="shared" si="12"/>
        <v>76</v>
      </c>
      <c r="AJ34" s="18">
        <v>3</v>
      </c>
      <c r="AK34" s="18" t="str">
        <f t="shared" si="13"/>
        <v>8</v>
      </c>
      <c r="AL34" s="18" t="str">
        <f t="shared" si="14"/>
        <v>A</v>
      </c>
      <c r="AM34" s="18">
        <f t="shared" si="15"/>
        <v>24</v>
      </c>
      <c r="AN34" s="18"/>
      <c r="AO34" s="46">
        <v>49</v>
      </c>
      <c r="AP34" s="46">
        <v>33</v>
      </c>
      <c r="AQ34" s="9"/>
      <c r="AR34" s="18">
        <f t="shared" si="16"/>
        <v>82</v>
      </c>
      <c r="AS34" s="18">
        <v>3</v>
      </c>
      <c r="AT34" s="18" t="str">
        <f t="shared" si="17"/>
        <v>9</v>
      </c>
      <c r="AU34" s="18" t="str">
        <f t="shared" si="18"/>
        <v>A+</v>
      </c>
      <c r="AV34" s="18">
        <f t="shared" si="19"/>
        <v>27</v>
      </c>
      <c r="AW34" s="18"/>
      <c r="AX34" s="9">
        <v>45</v>
      </c>
      <c r="AY34" s="9">
        <v>33</v>
      </c>
      <c r="AZ34" s="9"/>
      <c r="BA34" s="18">
        <f t="shared" si="20"/>
        <v>78</v>
      </c>
      <c r="BB34" s="18">
        <v>1</v>
      </c>
      <c r="BC34" s="18" t="str">
        <f t="shared" si="21"/>
        <v>8</v>
      </c>
      <c r="BD34" s="18" t="str">
        <f t="shared" si="22"/>
        <v>A</v>
      </c>
      <c r="BE34" s="18">
        <f t="shared" si="23"/>
        <v>8</v>
      </c>
      <c r="BF34" s="43" t="s">
        <v>32</v>
      </c>
      <c r="BG34" s="9">
        <v>49</v>
      </c>
      <c r="BH34" s="9">
        <v>41</v>
      </c>
      <c r="BI34" s="9"/>
      <c r="BJ34" s="18">
        <f t="shared" si="24"/>
        <v>90</v>
      </c>
      <c r="BK34" s="18">
        <v>1</v>
      </c>
      <c r="BL34" s="18" t="str">
        <f t="shared" si="25"/>
        <v>10</v>
      </c>
      <c r="BM34" s="18" t="str">
        <f t="shared" si="26"/>
        <v>O</v>
      </c>
      <c r="BN34" s="18">
        <f t="shared" si="27"/>
        <v>10</v>
      </c>
      <c r="BO34" s="18"/>
      <c r="BP34" s="9">
        <v>49</v>
      </c>
      <c r="BQ34" s="9">
        <v>42</v>
      </c>
      <c r="BR34" s="9"/>
      <c r="BS34" s="18">
        <f t="shared" si="28"/>
        <v>91</v>
      </c>
      <c r="BT34" s="18">
        <v>1</v>
      </c>
      <c r="BU34" s="18" t="str">
        <f t="shared" si="29"/>
        <v>10</v>
      </c>
      <c r="BV34" s="18" t="str">
        <f t="shared" si="30"/>
        <v>O</v>
      </c>
      <c r="BW34" s="18">
        <f t="shared" si="31"/>
        <v>10</v>
      </c>
      <c r="BX34" s="18"/>
      <c r="BY34" s="18"/>
      <c r="BZ34" s="18">
        <f t="shared" si="32"/>
        <v>175</v>
      </c>
      <c r="CA34" s="19">
        <f t="shared" si="33"/>
        <v>8.75</v>
      </c>
      <c r="CB34" s="28" t="str">
        <f t="shared" si="34"/>
        <v>A+</v>
      </c>
      <c r="CC34" s="27">
        <f t="shared" si="35"/>
        <v>83.125</v>
      </c>
      <c r="CD34" s="27"/>
      <c r="CE34" s="28">
        <f t="shared" si="36"/>
        <v>664</v>
      </c>
      <c r="CF34" s="28">
        <f t="shared" si="37"/>
        <v>83</v>
      </c>
      <c r="CG34" s="27"/>
      <c r="CH34" s="27"/>
      <c r="CI34" s="27" t="str">
        <f t="shared" si="38"/>
        <v>FCD</v>
      </c>
    </row>
    <row r="35" spans="1:87" ht="15.75" customHeight="1" x14ac:dyDescent="0.3">
      <c r="A35" s="35">
        <f t="shared" si="40"/>
        <v>64</v>
      </c>
      <c r="B35" s="37" t="s">
        <v>273</v>
      </c>
      <c r="C35" s="44" t="s">
        <v>274</v>
      </c>
      <c r="D35" s="47" t="s">
        <v>31</v>
      </c>
      <c r="E35" s="9">
        <v>47</v>
      </c>
      <c r="F35" s="9">
        <v>37</v>
      </c>
      <c r="G35" s="9"/>
      <c r="H35" s="18">
        <f t="shared" si="0"/>
        <v>84</v>
      </c>
      <c r="I35" s="18">
        <v>4</v>
      </c>
      <c r="J35" s="18" t="str">
        <f t="shared" si="1"/>
        <v>9</v>
      </c>
      <c r="K35" s="18" t="str">
        <f t="shared" si="2"/>
        <v>A+</v>
      </c>
      <c r="L35" s="18">
        <f t="shared" si="3"/>
        <v>36</v>
      </c>
      <c r="M35" s="18"/>
      <c r="N35" s="9">
        <v>45</v>
      </c>
      <c r="O35" s="9">
        <v>29</v>
      </c>
      <c r="P35" s="9"/>
      <c r="Q35" s="18">
        <f t="shared" si="4"/>
        <v>74</v>
      </c>
      <c r="R35" s="18">
        <v>4</v>
      </c>
      <c r="S35" s="18" t="str">
        <f t="shared" si="5"/>
        <v>8</v>
      </c>
      <c r="T35" s="18" t="str">
        <f t="shared" si="6"/>
        <v>A</v>
      </c>
      <c r="U35" s="18">
        <f t="shared" si="7"/>
        <v>32</v>
      </c>
      <c r="V35" s="18"/>
      <c r="W35" s="9">
        <v>42</v>
      </c>
      <c r="X35" s="9">
        <v>47</v>
      </c>
      <c r="Y35" s="18"/>
      <c r="Z35" s="18">
        <f t="shared" si="8"/>
        <v>89</v>
      </c>
      <c r="AA35" s="18">
        <v>3</v>
      </c>
      <c r="AB35" s="18" t="str">
        <f t="shared" si="9"/>
        <v>9</v>
      </c>
      <c r="AC35" s="18" t="str">
        <f t="shared" si="10"/>
        <v>A+</v>
      </c>
      <c r="AD35" s="18">
        <f t="shared" si="11"/>
        <v>27</v>
      </c>
      <c r="AE35" s="18"/>
      <c r="AF35" s="46">
        <v>43</v>
      </c>
      <c r="AG35" s="46">
        <v>48</v>
      </c>
      <c r="AH35" s="9"/>
      <c r="AI35" s="18">
        <f t="shared" si="12"/>
        <v>91</v>
      </c>
      <c r="AJ35" s="18">
        <v>3</v>
      </c>
      <c r="AK35" s="18" t="str">
        <f t="shared" si="13"/>
        <v>10</v>
      </c>
      <c r="AL35" s="18" t="str">
        <f t="shared" si="14"/>
        <v>O</v>
      </c>
      <c r="AM35" s="18">
        <f t="shared" si="15"/>
        <v>30</v>
      </c>
      <c r="AN35" s="18"/>
      <c r="AO35" s="46">
        <v>46</v>
      </c>
      <c r="AP35" s="46">
        <v>26</v>
      </c>
      <c r="AQ35" s="9"/>
      <c r="AR35" s="18">
        <f t="shared" si="16"/>
        <v>72</v>
      </c>
      <c r="AS35" s="18">
        <v>3</v>
      </c>
      <c r="AT35" s="18" t="str">
        <f t="shared" si="17"/>
        <v>8</v>
      </c>
      <c r="AU35" s="18" t="str">
        <f t="shared" si="18"/>
        <v>A</v>
      </c>
      <c r="AV35" s="18">
        <f t="shared" si="19"/>
        <v>24</v>
      </c>
      <c r="AW35" s="18"/>
      <c r="AX35" s="9">
        <v>47</v>
      </c>
      <c r="AY35" s="9">
        <v>28</v>
      </c>
      <c r="AZ35" s="9"/>
      <c r="BA35" s="18">
        <f t="shared" si="20"/>
        <v>75</v>
      </c>
      <c r="BB35" s="18">
        <v>1</v>
      </c>
      <c r="BC35" s="18" t="str">
        <f t="shared" si="21"/>
        <v>8</v>
      </c>
      <c r="BD35" s="18" t="str">
        <f t="shared" si="22"/>
        <v>A</v>
      </c>
      <c r="BE35" s="18">
        <f t="shared" si="23"/>
        <v>8</v>
      </c>
      <c r="BF35" s="43" t="s">
        <v>35</v>
      </c>
      <c r="BG35" s="9">
        <v>47</v>
      </c>
      <c r="BH35" s="9">
        <v>41</v>
      </c>
      <c r="BI35" s="9"/>
      <c r="BJ35" s="18">
        <f t="shared" si="24"/>
        <v>88</v>
      </c>
      <c r="BK35" s="18">
        <v>1</v>
      </c>
      <c r="BL35" s="18" t="str">
        <f t="shared" si="25"/>
        <v>9</v>
      </c>
      <c r="BM35" s="18" t="str">
        <f t="shared" si="26"/>
        <v>A+</v>
      </c>
      <c r="BN35" s="18">
        <f t="shared" si="27"/>
        <v>9</v>
      </c>
      <c r="BO35" s="18"/>
      <c r="BP35" s="9">
        <v>46</v>
      </c>
      <c r="BQ35" s="9">
        <v>43</v>
      </c>
      <c r="BR35" s="9"/>
      <c r="BS35" s="18">
        <f t="shared" si="28"/>
        <v>89</v>
      </c>
      <c r="BT35" s="18">
        <v>1</v>
      </c>
      <c r="BU35" s="18" t="str">
        <f t="shared" si="29"/>
        <v>9</v>
      </c>
      <c r="BV35" s="18" t="str">
        <f t="shared" si="30"/>
        <v>A+</v>
      </c>
      <c r="BW35" s="18">
        <f t="shared" si="31"/>
        <v>9</v>
      </c>
      <c r="BX35" s="18"/>
      <c r="BY35" s="18"/>
      <c r="BZ35" s="18">
        <f t="shared" si="32"/>
        <v>175</v>
      </c>
      <c r="CA35" s="19">
        <f t="shared" si="33"/>
        <v>8.75</v>
      </c>
      <c r="CB35" s="28" t="str">
        <f t="shared" si="34"/>
        <v>A+</v>
      </c>
      <c r="CC35" s="27">
        <f t="shared" si="35"/>
        <v>83.125</v>
      </c>
      <c r="CD35" s="27"/>
      <c r="CE35" s="28">
        <f t="shared" si="36"/>
        <v>662</v>
      </c>
      <c r="CF35" s="28">
        <f t="shared" si="37"/>
        <v>82.75</v>
      </c>
      <c r="CG35" s="27"/>
      <c r="CH35" s="27"/>
      <c r="CI35" s="27" t="str">
        <f t="shared" si="38"/>
        <v>FCD</v>
      </c>
    </row>
    <row r="36" spans="1:87" ht="15.75" customHeight="1" x14ac:dyDescent="0.3">
      <c r="A36" s="35">
        <f t="shared" si="40"/>
        <v>65</v>
      </c>
      <c r="B36" s="37" t="s">
        <v>275</v>
      </c>
      <c r="C36" s="44" t="s">
        <v>276</v>
      </c>
      <c r="D36" s="47" t="s">
        <v>31</v>
      </c>
      <c r="E36" s="9">
        <v>46</v>
      </c>
      <c r="F36" s="9">
        <v>42</v>
      </c>
      <c r="G36" s="9"/>
      <c r="H36" s="18">
        <f t="shared" si="0"/>
        <v>88</v>
      </c>
      <c r="I36" s="18">
        <v>4</v>
      </c>
      <c r="J36" s="18" t="str">
        <f t="shared" si="1"/>
        <v>9</v>
      </c>
      <c r="K36" s="18" t="str">
        <f t="shared" si="2"/>
        <v>A+</v>
      </c>
      <c r="L36" s="18">
        <f t="shared" si="3"/>
        <v>36</v>
      </c>
      <c r="M36" s="18"/>
      <c r="N36" s="9">
        <v>44</v>
      </c>
      <c r="O36" s="9">
        <v>32</v>
      </c>
      <c r="P36" s="9"/>
      <c r="Q36" s="18">
        <f t="shared" si="4"/>
        <v>76</v>
      </c>
      <c r="R36" s="18">
        <v>4</v>
      </c>
      <c r="S36" s="18" t="str">
        <f t="shared" si="5"/>
        <v>8</v>
      </c>
      <c r="T36" s="18" t="str">
        <f t="shared" si="6"/>
        <v>A</v>
      </c>
      <c r="U36" s="18">
        <f t="shared" si="7"/>
        <v>32</v>
      </c>
      <c r="V36" s="18"/>
      <c r="W36" s="9">
        <v>48</v>
      </c>
      <c r="X36" s="9">
        <v>43</v>
      </c>
      <c r="Y36" s="18"/>
      <c r="Z36" s="18">
        <f t="shared" si="8"/>
        <v>91</v>
      </c>
      <c r="AA36" s="18">
        <v>3</v>
      </c>
      <c r="AB36" s="18" t="str">
        <f t="shared" si="9"/>
        <v>10</v>
      </c>
      <c r="AC36" s="18" t="str">
        <f t="shared" si="10"/>
        <v>O</v>
      </c>
      <c r="AD36" s="18">
        <f t="shared" si="11"/>
        <v>30</v>
      </c>
      <c r="AE36" s="18"/>
      <c r="AF36" s="46">
        <v>40</v>
      </c>
      <c r="AG36" s="46">
        <v>40</v>
      </c>
      <c r="AH36" s="9"/>
      <c r="AI36" s="18">
        <f t="shared" si="12"/>
        <v>80</v>
      </c>
      <c r="AJ36" s="18">
        <v>3</v>
      </c>
      <c r="AK36" s="18" t="str">
        <f t="shared" si="13"/>
        <v>9</v>
      </c>
      <c r="AL36" s="18" t="str">
        <f t="shared" si="14"/>
        <v>A+</v>
      </c>
      <c r="AM36" s="18">
        <f t="shared" si="15"/>
        <v>27</v>
      </c>
      <c r="AN36" s="18"/>
      <c r="AO36" s="46">
        <v>48</v>
      </c>
      <c r="AP36" s="46">
        <v>30</v>
      </c>
      <c r="AQ36" s="9"/>
      <c r="AR36" s="18">
        <f t="shared" si="16"/>
        <v>78</v>
      </c>
      <c r="AS36" s="18">
        <v>3</v>
      </c>
      <c r="AT36" s="18" t="str">
        <f t="shared" si="17"/>
        <v>8</v>
      </c>
      <c r="AU36" s="18" t="str">
        <f t="shared" si="18"/>
        <v>A</v>
      </c>
      <c r="AV36" s="18">
        <f t="shared" si="19"/>
        <v>24</v>
      </c>
      <c r="AW36" s="18"/>
      <c r="AX36" s="9">
        <v>47</v>
      </c>
      <c r="AY36" s="9">
        <v>29</v>
      </c>
      <c r="AZ36" s="9"/>
      <c r="BA36" s="18">
        <f t="shared" si="20"/>
        <v>76</v>
      </c>
      <c r="BB36" s="18">
        <v>1</v>
      </c>
      <c r="BC36" s="18" t="str">
        <f t="shared" si="21"/>
        <v>8</v>
      </c>
      <c r="BD36" s="18" t="str">
        <f t="shared" si="22"/>
        <v>A</v>
      </c>
      <c r="BE36" s="18">
        <f t="shared" si="23"/>
        <v>8</v>
      </c>
      <c r="BF36" s="43" t="s">
        <v>35</v>
      </c>
      <c r="BG36" s="9">
        <v>42</v>
      </c>
      <c r="BH36" s="9">
        <v>30</v>
      </c>
      <c r="BI36" s="9"/>
      <c r="BJ36" s="18">
        <f t="shared" si="24"/>
        <v>72</v>
      </c>
      <c r="BK36" s="18">
        <v>1</v>
      </c>
      <c r="BL36" s="18" t="str">
        <f t="shared" si="25"/>
        <v>8</v>
      </c>
      <c r="BM36" s="18" t="str">
        <f t="shared" si="26"/>
        <v>A</v>
      </c>
      <c r="BN36" s="18">
        <f t="shared" si="27"/>
        <v>8</v>
      </c>
      <c r="BO36" s="18"/>
      <c r="BP36" s="9">
        <v>46</v>
      </c>
      <c r="BQ36" s="9">
        <v>37</v>
      </c>
      <c r="BR36" s="9"/>
      <c r="BS36" s="18">
        <f t="shared" si="28"/>
        <v>83</v>
      </c>
      <c r="BT36" s="18">
        <v>1</v>
      </c>
      <c r="BU36" s="18" t="str">
        <f t="shared" si="29"/>
        <v>9</v>
      </c>
      <c r="BV36" s="18" t="str">
        <f t="shared" si="30"/>
        <v>A+</v>
      </c>
      <c r="BW36" s="18">
        <f t="shared" si="31"/>
        <v>9</v>
      </c>
      <c r="BX36" s="18"/>
      <c r="BY36" s="18"/>
      <c r="BZ36" s="18">
        <f t="shared" si="32"/>
        <v>174</v>
      </c>
      <c r="CA36" s="19">
        <f t="shared" si="33"/>
        <v>8.6999999999999993</v>
      </c>
      <c r="CB36" s="28" t="str">
        <f t="shared" si="34"/>
        <v>A+</v>
      </c>
      <c r="CC36" s="27">
        <f t="shared" si="35"/>
        <v>82.649999999999991</v>
      </c>
      <c r="CD36" s="27"/>
      <c r="CE36" s="28">
        <f t="shared" si="36"/>
        <v>644</v>
      </c>
      <c r="CF36" s="28">
        <f t="shared" si="37"/>
        <v>80.5</v>
      </c>
      <c r="CG36" s="27"/>
      <c r="CH36" s="27"/>
      <c r="CI36" s="27" t="str">
        <f t="shared" si="38"/>
        <v>FCD</v>
      </c>
    </row>
    <row r="37" spans="1:87" ht="15.75" customHeight="1" x14ac:dyDescent="0.3">
      <c r="A37" s="35">
        <f t="shared" si="40"/>
        <v>66</v>
      </c>
      <c r="B37" s="37" t="s">
        <v>277</v>
      </c>
      <c r="C37" s="44" t="s">
        <v>278</v>
      </c>
      <c r="D37" s="47" t="s">
        <v>31</v>
      </c>
      <c r="E37" s="9">
        <v>45</v>
      </c>
      <c r="F37" s="9">
        <v>28</v>
      </c>
      <c r="G37" s="9"/>
      <c r="H37" s="18">
        <f t="shared" si="0"/>
        <v>73</v>
      </c>
      <c r="I37" s="18">
        <v>4</v>
      </c>
      <c r="J37" s="18" t="str">
        <f t="shared" si="1"/>
        <v>8</v>
      </c>
      <c r="K37" s="18" t="str">
        <f t="shared" si="2"/>
        <v>A</v>
      </c>
      <c r="L37" s="18">
        <f t="shared" si="3"/>
        <v>32</v>
      </c>
      <c r="M37" s="18"/>
      <c r="N37" s="9">
        <v>47</v>
      </c>
      <c r="O37" s="9">
        <v>31</v>
      </c>
      <c r="P37" s="9"/>
      <c r="Q37" s="18">
        <f t="shared" si="4"/>
        <v>78</v>
      </c>
      <c r="R37" s="18">
        <v>4</v>
      </c>
      <c r="S37" s="18" t="str">
        <f t="shared" si="5"/>
        <v>8</v>
      </c>
      <c r="T37" s="18" t="str">
        <f t="shared" si="6"/>
        <v>A</v>
      </c>
      <c r="U37" s="18">
        <f t="shared" si="7"/>
        <v>32</v>
      </c>
      <c r="V37" s="18"/>
      <c r="W37" s="9">
        <v>43</v>
      </c>
      <c r="X37" s="9">
        <v>48</v>
      </c>
      <c r="Y37" s="18"/>
      <c r="Z37" s="18">
        <f t="shared" si="8"/>
        <v>91</v>
      </c>
      <c r="AA37" s="18">
        <v>3</v>
      </c>
      <c r="AB37" s="18" t="str">
        <f t="shared" si="9"/>
        <v>10</v>
      </c>
      <c r="AC37" s="18" t="str">
        <f t="shared" si="10"/>
        <v>O</v>
      </c>
      <c r="AD37" s="18">
        <f t="shared" si="11"/>
        <v>30</v>
      </c>
      <c r="AE37" s="18"/>
      <c r="AF37" s="46">
        <v>43</v>
      </c>
      <c r="AG37" s="46">
        <v>38</v>
      </c>
      <c r="AH37" s="9"/>
      <c r="AI37" s="18">
        <f t="shared" si="12"/>
        <v>81</v>
      </c>
      <c r="AJ37" s="18">
        <v>3</v>
      </c>
      <c r="AK37" s="18" t="str">
        <f t="shared" si="13"/>
        <v>9</v>
      </c>
      <c r="AL37" s="18" t="str">
        <f t="shared" si="14"/>
        <v>A+</v>
      </c>
      <c r="AM37" s="18">
        <f t="shared" si="15"/>
        <v>27</v>
      </c>
      <c r="AN37" s="18"/>
      <c r="AO37" s="46">
        <v>46</v>
      </c>
      <c r="AP37" s="46">
        <v>36</v>
      </c>
      <c r="AQ37" s="9"/>
      <c r="AR37" s="18">
        <f t="shared" si="16"/>
        <v>82</v>
      </c>
      <c r="AS37" s="18">
        <v>3</v>
      </c>
      <c r="AT37" s="18" t="str">
        <f t="shared" si="17"/>
        <v>9</v>
      </c>
      <c r="AU37" s="18" t="str">
        <f t="shared" si="18"/>
        <v>A+</v>
      </c>
      <c r="AV37" s="18">
        <f t="shared" si="19"/>
        <v>27</v>
      </c>
      <c r="AW37" s="18"/>
      <c r="AX37" s="9">
        <v>45</v>
      </c>
      <c r="AY37" s="9">
        <v>30</v>
      </c>
      <c r="AZ37" s="9"/>
      <c r="BA37" s="18">
        <f t="shared" si="20"/>
        <v>75</v>
      </c>
      <c r="BB37" s="18">
        <v>1</v>
      </c>
      <c r="BC37" s="18" t="str">
        <f t="shared" si="21"/>
        <v>8</v>
      </c>
      <c r="BD37" s="18" t="str">
        <f t="shared" si="22"/>
        <v>A</v>
      </c>
      <c r="BE37" s="18">
        <f t="shared" si="23"/>
        <v>8</v>
      </c>
      <c r="BF37" s="43" t="s">
        <v>35</v>
      </c>
      <c r="BG37" s="9">
        <v>47</v>
      </c>
      <c r="BH37" s="9">
        <v>33</v>
      </c>
      <c r="BI37" s="9"/>
      <c r="BJ37" s="18">
        <f t="shared" si="24"/>
        <v>80</v>
      </c>
      <c r="BK37" s="18">
        <v>1</v>
      </c>
      <c r="BL37" s="18" t="str">
        <f t="shared" si="25"/>
        <v>9</v>
      </c>
      <c r="BM37" s="18" t="str">
        <f t="shared" si="26"/>
        <v>A+</v>
      </c>
      <c r="BN37" s="18">
        <f t="shared" si="27"/>
        <v>9</v>
      </c>
      <c r="BO37" s="18"/>
      <c r="BP37" s="9">
        <v>45</v>
      </c>
      <c r="BQ37" s="9">
        <v>38</v>
      </c>
      <c r="BR37" s="9"/>
      <c r="BS37" s="18">
        <f t="shared" si="28"/>
        <v>83</v>
      </c>
      <c r="BT37" s="18">
        <v>1</v>
      </c>
      <c r="BU37" s="18" t="str">
        <f t="shared" si="29"/>
        <v>9</v>
      </c>
      <c r="BV37" s="18" t="str">
        <f t="shared" si="30"/>
        <v>A+</v>
      </c>
      <c r="BW37" s="18">
        <f t="shared" si="31"/>
        <v>9</v>
      </c>
      <c r="BX37" s="18"/>
      <c r="BY37" s="18"/>
      <c r="BZ37" s="18">
        <f t="shared" si="32"/>
        <v>174</v>
      </c>
      <c r="CA37" s="19">
        <f t="shared" si="33"/>
        <v>8.6999999999999993</v>
      </c>
      <c r="CB37" s="28" t="str">
        <f t="shared" si="34"/>
        <v>A+</v>
      </c>
      <c r="CC37" s="27">
        <f t="shared" si="35"/>
        <v>82.649999999999991</v>
      </c>
      <c r="CD37" s="27"/>
      <c r="CE37" s="28">
        <f t="shared" si="36"/>
        <v>643</v>
      </c>
      <c r="CF37" s="28">
        <f t="shared" si="37"/>
        <v>80.375</v>
      </c>
      <c r="CG37" s="27"/>
      <c r="CH37" s="27"/>
      <c r="CI37" s="27" t="str">
        <f t="shared" si="38"/>
        <v>FCD</v>
      </c>
    </row>
    <row r="38" spans="1:87" ht="15.75" customHeight="1" x14ac:dyDescent="0.3">
      <c r="A38" s="35">
        <f t="shared" si="40"/>
        <v>67</v>
      </c>
      <c r="B38" s="37" t="s">
        <v>279</v>
      </c>
      <c r="C38" s="44" t="s">
        <v>280</v>
      </c>
      <c r="D38" s="47" t="s">
        <v>31</v>
      </c>
      <c r="E38" s="9">
        <v>41</v>
      </c>
      <c r="F38" s="9">
        <v>29</v>
      </c>
      <c r="G38" s="9"/>
      <c r="H38" s="18">
        <f t="shared" si="0"/>
        <v>70</v>
      </c>
      <c r="I38" s="18">
        <v>4</v>
      </c>
      <c r="J38" s="18" t="str">
        <f t="shared" si="1"/>
        <v>8</v>
      </c>
      <c r="K38" s="18" t="str">
        <f t="shared" si="2"/>
        <v>A</v>
      </c>
      <c r="L38" s="18">
        <f t="shared" si="3"/>
        <v>32</v>
      </c>
      <c r="M38" s="18"/>
      <c r="N38" s="9">
        <v>45</v>
      </c>
      <c r="O38" s="9">
        <v>38</v>
      </c>
      <c r="P38" s="9"/>
      <c r="Q38" s="18">
        <f t="shared" si="4"/>
        <v>83</v>
      </c>
      <c r="R38" s="18">
        <v>4</v>
      </c>
      <c r="S38" s="18" t="str">
        <f t="shared" si="5"/>
        <v>9</v>
      </c>
      <c r="T38" s="18" t="str">
        <f t="shared" si="6"/>
        <v>A+</v>
      </c>
      <c r="U38" s="18">
        <f t="shared" si="7"/>
        <v>36</v>
      </c>
      <c r="V38" s="18"/>
      <c r="W38" s="9">
        <v>45</v>
      </c>
      <c r="X38" s="9">
        <v>46</v>
      </c>
      <c r="Y38" s="18"/>
      <c r="Z38" s="18">
        <f t="shared" si="8"/>
        <v>91</v>
      </c>
      <c r="AA38" s="18">
        <v>3</v>
      </c>
      <c r="AB38" s="18" t="str">
        <f t="shared" si="9"/>
        <v>10</v>
      </c>
      <c r="AC38" s="18" t="str">
        <f t="shared" si="10"/>
        <v>O</v>
      </c>
      <c r="AD38" s="18">
        <f t="shared" si="11"/>
        <v>30</v>
      </c>
      <c r="AE38" s="18"/>
      <c r="AF38" s="46">
        <v>40</v>
      </c>
      <c r="AG38" s="46">
        <v>42</v>
      </c>
      <c r="AH38" s="9"/>
      <c r="AI38" s="18">
        <f t="shared" si="12"/>
        <v>82</v>
      </c>
      <c r="AJ38" s="18">
        <v>3</v>
      </c>
      <c r="AK38" s="18" t="str">
        <f t="shared" si="13"/>
        <v>9</v>
      </c>
      <c r="AL38" s="18" t="str">
        <f t="shared" si="14"/>
        <v>A+</v>
      </c>
      <c r="AM38" s="18">
        <f t="shared" si="15"/>
        <v>27</v>
      </c>
      <c r="AN38" s="18"/>
      <c r="AO38" s="46">
        <v>48</v>
      </c>
      <c r="AP38" s="46">
        <v>29</v>
      </c>
      <c r="AQ38" s="9"/>
      <c r="AR38" s="18">
        <f t="shared" si="16"/>
        <v>77</v>
      </c>
      <c r="AS38" s="18">
        <v>3</v>
      </c>
      <c r="AT38" s="18" t="str">
        <f t="shared" si="17"/>
        <v>8</v>
      </c>
      <c r="AU38" s="18" t="str">
        <f t="shared" si="18"/>
        <v>A</v>
      </c>
      <c r="AV38" s="18">
        <f t="shared" si="19"/>
        <v>24</v>
      </c>
      <c r="AW38" s="18"/>
      <c r="AX38" s="9">
        <v>46</v>
      </c>
      <c r="AY38" s="9">
        <v>30</v>
      </c>
      <c r="AZ38" s="9"/>
      <c r="BA38" s="18">
        <f t="shared" si="20"/>
        <v>76</v>
      </c>
      <c r="BB38" s="18">
        <v>1</v>
      </c>
      <c r="BC38" s="18" t="str">
        <f t="shared" si="21"/>
        <v>8</v>
      </c>
      <c r="BD38" s="18" t="str">
        <f t="shared" si="22"/>
        <v>A</v>
      </c>
      <c r="BE38" s="18">
        <f t="shared" si="23"/>
        <v>8</v>
      </c>
      <c r="BF38" s="43" t="s">
        <v>35</v>
      </c>
      <c r="BG38" s="9">
        <v>44</v>
      </c>
      <c r="BH38" s="9">
        <v>32</v>
      </c>
      <c r="BI38" s="9"/>
      <c r="BJ38" s="18">
        <f t="shared" si="24"/>
        <v>76</v>
      </c>
      <c r="BK38" s="18">
        <v>1</v>
      </c>
      <c r="BL38" s="18" t="str">
        <f t="shared" si="25"/>
        <v>8</v>
      </c>
      <c r="BM38" s="18" t="str">
        <f t="shared" si="26"/>
        <v>A</v>
      </c>
      <c r="BN38" s="18">
        <f t="shared" si="27"/>
        <v>8</v>
      </c>
      <c r="BO38" s="18"/>
      <c r="BP38" s="9">
        <v>48</v>
      </c>
      <c r="BQ38" s="9">
        <v>39</v>
      </c>
      <c r="BR38" s="9"/>
      <c r="BS38" s="18">
        <f t="shared" si="28"/>
        <v>87</v>
      </c>
      <c r="BT38" s="18">
        <v>1</v>
      </c>
      <c r="BU38" s="18" t="str">
        <f t="shared" si="29"/>
        <v>9</v>
      </c>
      <c r="BV38" s="18" t="str">
        <f t="shared" si="30"/>
        <v>A+</v>
      </c>
      <c r="BW38" s="18">
        <f t="shared" si="31"/>
        <v>9</v>
      </c>
      <c r="BX38" s="18"/>
      <c r="BY38" s="18"/>
      <c r="BZ38" s="18">
        <f t="shared" si="32"/>
        <v>174</v>
      </c>
      <c r="CA38" s="19">
        <f t="shared" si="33"/>
        <v>8.6999999999999993</v>
      </c>
      <c r="CB38" s="28" t="str">
        <f t="shared" si="34"/>
        <v>A+</v>
      </c>
      <c r="CC38" s="27">
        <f t="shared" si="35"/>
        <v>82.649999999999991</v>
      </c>
      <c r="CD38" s="27"/>
      <c r="CE38" s="28">
        <f t="shared" si="36"/>
        <v>642</v>
      </c>
      <c r="CF38" s="28">
        <f t="shared" si="37"/>
        <v>80.25</v>
      </c>
      <c r="CG38" s="27"/>
      <c r="CH38" s="27"/>
      <c r="CI38" s="27" t="str">
        <f t="shared" si="38"/>
        <v>FCD</v>
      </c>
    </row>
    <row r="39" spans="1:87" ht="15.75" customHeight="1" x14ac:dyDescent="0.3">
      <c r="A39" s="35">
        <f t="shared" si="40"/>
        <v>68</v>
      </c>
      <c r="B39" s="37" t="s">
        <v>281</v>
      </c>
      <c r="C39" s="44" t="s">
        <v>282</v>
      </c>
      <c r="D39" s="47" t="s">
        <v>31</v>
      </c>
      <c r="E39" s="9">
        <v>46</v>
      </c>
      <c r="F39" s="9">
        <v>37</v>
      </c>
      <c r="G39" s="9"/>
      <c r="H39" s="18">
        <f t="shared" si="0"/>
        <v>83</v>
      </c>
      <c r="I39" s="18">
        <v>4</v>
      </c>
      <c r="J39" s="18" t="str">
        <f t="shared" si="1"/>
        <v>9</v>
      </c>
      <c r="K39" s="18" t="str">
        <f t="shared" si="2"/>
        <v>A+</v>
      </c>
      <c r="L39" s="18">
        <f t="shared" si="3"/>
        <v>36</v>
      </c>
      <c r="M39" s="18"/>
      <c r="N39" s="9">
        <v>44</v>
      </c>
      <c r="O39" s="9">
        <v>31</v>
      </c>
      <c r="P39" s="9"/>
      <c r="Q39" s="18">
        <f t="shared" si="4"/>
        <v>75</v>
      </c>
      <c r="R39" s="18">
        <v>4</v>
      </c>
      <c r="S39" s="18" t="str">
        <f t="shared" si="5"/>
        <v>8</v>
      </c>
      <c r="T39" s="18" t="str">
        <f t="shared" si="6"/>
        <v>A</v>
      </c>
      <c r="U39" s="18">
        <f t="shared" si="7"/>
        <v>32</v>
      </c>
      <c r="V39" s="18"/>
      <c r="W39" s="9">
        <v>48</v>
      </c>
      <c r="X39" s="9">
        <v>45</v>
      </c>
      <c r="Y39" s="18"/>
      <c r="Z39" s="18">
        <f t="shared" si="8"/>
        <v>93</v>
      </c>
      <c r="AA39" s="18">
        <v>3</v>
      </c>
      <c r="AB39" s="18" t="str">
        <f t="shared" si="9"/>
        <v>10</v>
      </c>
      <c r="AC39" s="18" t="str">
        <f t="shared" si="10"/>
        <v>O</v>
      </c>
      <c r="AD39" s="18">
        <f t="shared" si="11"/>
        <v>30</v>
      </c>
      <c r="AE39" s="18"/>
      <c r="AF39" s="46">
        <v>43</v>
      </c>
      <c r="AG39" s="46">
        <v>35</v>
      </c>
      <c r="AH39" s="9"/>
      <c r="AI39" s="18">
        <f t="shared" si="12"/>
        <v>78</v>
      </c>
      <c r="AJ39" s="18">
        <v>3</v>
      </c>
      <c r="AK39" s="18" t="str">
        <f t="shared" si="13"/>
        <v>8</v>
      </c>
      <c r="AL39" s="18" t="str">
        <f t="shared" si="14"/>
        <v>A</v>
      </c>
      <c r="AM39" s="18">
        <f t="shared" si="15"/>
        <v>24</v>
      </c>
      <c r="AN39" s="18"/>
      <c r="AO39" s="46">
        <v>50</v>
      </c>
      <c r="AP39" s="46">
        <v>23</v>
      </c>
      <c r="AQ39" s="9"/>
      <c r="AR39" s="18">
        <f t="shared" si="16"/>
        <v>73</v>
      </c>
      <c r="AS39" s="18">
        <v>3</v>
      </c>
      <c r="AT39" s="18" t="str">
        <f t="shared" si="17"/>
        <v>8</v>
      </c>
      <c r="AU39" s="18" t="str">
        <f t="shared" si="18"/>
        <v>A</v>
      </c>
      <c r="AV39" s="18">
        <f t="shared" si="19"/>
        <v>24</v>
      </c>
      <c r="AW39" s="18"/>
      <c r="AX39" s="9">
        <v>45</v>
      </c>
      <c r="AY39" s="9">
        <v>32</v>
      </c>
      <c r="AZ39" s="9"/>
      <c r="BA39" s="18">
        <f t="shared" si="20"/>
        <v>77</v>
      </c>
      <c r="BB39" s="18">
        <v>1</v>
      </c>
      <c r="BC39" s="18" t="str">
        <f t="shared" si="21"/>
        <v>8</v>
      </c>
      <c r="BD39" s="18" t="str">
        <f t="shared" si="22"/>
        <v>A</v>
      </c>
      <c r="BE39" s="18">
        <f t="shared" si="23"/>
        <v>8</v>
      </c>
      <c r="BF39" s="43" t="s">
        <v>32</v>
      </c>
      <c r="BG39" s="9">
        <v>49</v>
      </c>
      <c r="BH39" s="9">
        <v>47</v>
      </c>
      <c r="BI39" s="9"/>
      <c r="BJ39" s="18">
        <f t="shared" si="24"/>
        <v>96</v>
      </c>
      <c r="BK39" s="18">
        <v>1</v>
      </c>
      <c r="BL39" s="18" t="str">
        <f t="shared" si="25"/>
        <v>10</v>
      </c>
      <c r="BM39" s="18" t="str">
        <f t="shared" si="26"/>
        <v>O</v>
      </c>
      <c r="BN39" s="18">
        <f t="shared" si="27"/>
        <v>10</v>
      </c>
      <c r="BO39" s="18"/>
      <c r="BP39" s="9">
        <v>49</v>
      </c>
      <c r="BQ39" s="9">
        <v>39</v>
      </c>
      <c r="BR39" s="9"/>
      <c r="BS39" s="18">
        <f t="shared" si="28"/>
        <v>88</v>
      </c>
      <c r="BT39" s="18">
        <v>1</v>
      </c>
      <c r="BU39" s="18" t="str">
        <f t="shared" si="29"/>
        <v>9</v>
      </c>
      <c r="BV39" s="18" t="str">
        <f t="shared" si="30"/>
        <v>A+</v>
      </c>
      <c r="BW39" s="18">
        <f t="shared" si="31"/>
        <v>9</v>
      </c>
      <c r="BX39" s="18"/>
      <c r="BY39" s="18"/>
      <c r="BZ39" s="18">
        <f t="shared" si="32"/>
        <v>173</v>
      </c>
      <c r="CA39" s="19">
        <f t="shared" si="33"/>
        <v>8.65</v>
      </c>
      <c r="CB39" s="28" t="str">
        <f t="shared" si="34"/>
        <v>A+</v>
      </c>
      <c r="CC39" s="27">
        <f t="shared" si="35"/>
        <v>82.174999999999997</v>
      </c>
      <c r="CD39" s="27"/>
      <c r="CE39" s="28">
        <f t="shared" si="36"/>
        <v>663</v>
      </c>
      <c r="CF39" s="28">
        <f t="shared" si="37"/>
        <v>82.875</v>
      </c>
      <c r="CG39" s="27"/>
      <c r="CH39" s="27"/>
      <c r="CI39" s="27" t="str">
        <f t="shared" si="38"/>
        <v>FCD</v>
      </c>
    </row>
    <row r="40" spans="1:87" ht="15.75" customHeight="1" x14ac:dyDescent="0.3">
      <c r="A40" s="35">
        <v>60</v>
      </c>
      <c r="B40" s="37" t="s">
        <v>283</v>
      </c>
      <c r="C40" s="44" t="s">
        <v>284</v>
      </c>
      <c r="D40" s="47" t="s">
        <v>31</v>
      </c>
      <c r="E40" s="9">
        <v>48</v>
      </c>
      <c r="F40" s="9">
        <v>18</v>
      </c>
      <c r="G40" s="9"/>
      <c r="H40" s="18">
        <f t="shared" ref="H40:H70" si="41">SUM(E40:F40)</f>
        <v>66</v>
      </c>
      <c r="I40" s="18">
        <v>4</v>
      </c>
      <c r="J40" s="18" t="str">
        <f t="shared" ref="J40:J70" si="42">IF(F40&lt;=17,"0",IF(H40&lt;=39,"0",IF(H40&lt;=49,"4",IF(H40&lt;=54,"5",IF(H40&lt;=59,"6",IF(H40&lt;=69,"7",IF(H40&lt;=79,"8",IF(H40&lt;=89,"9","10"))))))))</f>
        <v>7</v>
      </c>
      <c r="K40" s="18" t="str">
        <f t="shared" ref="K40:K70" si="43">IF(F40&lt;=17,"F",IF(H40&lt;=39,"F",IF(H40&lt;=49,"P",IF(H40&lt;=54,"C",IF(H40&lt;=59,"B",IF(H40&lt;=69,"B+",IF(H40&lt;=79,"A",IF(H40&lt;=89,"A+","O"))))))))</f>
        <v>B+</v>
      </c>
      <c r="L40" s="18">
        <f t="shared" ref="L40:L70" si="44">I40*J40</f>
        <v>28</v>
      </c>
      <c r="M40" s="18"/>
      <c r="N40" s="9">
        <v>44</v>
      </c>
      <c r="O40" s="9">
        <v>45</v>
      </c>
      <c r="P40" s="9"/>
      <c r="Q40" s="18">
        <f t="shared" ref="Q40:Q70" si="45">SUM(N40:O40)</f>
        <v>89</v>
      </c>
      <c r="R40" s="18">
        <v>4</v>
      </c>
      <c r="S40" s="18" t="str">
        <f t="shared" ref="S40:S70" si="46">IF(O40&lt;=17,"0",IF(Q40&lt;=39,"4",IF(Q40&lt;=49,"4",IF(Q40&lt;=54,"5",IF(Q40&lt;=59,"6",IF(Q40&lt;=69,"7",IF(Q40&lt;=79,"8",IF(Q40&lt;=89,"9","10"))))))))</f>
        <v>9</v>
      </c>
      <c r="T40" s="18" t="str">
        <f t="shared" ref="T40:T70" si="47">IF(O40&lt;=17,"F",IF(Q40&lt;=39,"F",IF(Q40&lt;=49,"P",IF(Q40&lt;=54,"C",IF(Q40&lt;=59,"B",IF(Q40&lt;=69,"B+",IF(Q40&lt;=79,"A",IF(Q40&lt;=89,"A+","O"))))))))</f>
        <v>A+</v>
      </c>
      <c r="U40" s="18">
        <f t="shared" ref="U40:U70" si="48">R40*S40</f>
        <v>36</v>
      </c>
      <c r="V40" s="18"/>
      <c r="W40" s="9">
        <v>46</v>
      </c>
      <c r="X40" s="9">
        <v>44</v>
      </c>
      <c r="Y40" s="18"/>
      <c r="Z40" s="18">
        <f t="shared" ref="Z40:Z70" si="49">SUM(W40:X40)</f>
        <v>90</v>
      </c>
      <c r="AA40" s="18">
        <v>3</v>
      </c>
      <c r="AB40" s="18" t="str">
        <f t="shared" ref="AB40:AB70" si="50">IF(X40&lt;=17,"0",IF(Z40&lt;=39,"0",IF(Z40&lt;=49,"4",IF(Z40&lt;=54,"5",IF(Z40&lt;=59,"6",IF(Z40&lt;=69,"7",IF(Z40&lt;=79,"8",IF(Z40&lt;=89,"9","10"))))))))</f>
        <v>10</v>
      </c>
      <c r="AC40" s="18" t="str">
        <f t="shared" ref="AC40:AC70" si="51">IF(X40&lt;=17,"F",IF(Z40&lt;=39,"F",IF(Z40&lt;=49,"P",IF(Z40&lt;=54,"C",IF(Z40&lt;=59,"B",IF(Z40&lt;=69,"B+",IF(Z40&lt;=79,"A",IF(Z40&lt;=89,"A+","O"))))))))</f>
        <v>O</v>
      </c>
      <c r="AD40" s="18">
        <f t="shared" ref="AD40:AD70" si="52">AA40*AB40</f>
        <v>30</v>
      </c>
      <c r="AE40" s="18"/>
      <c r="AF40" s="46">
        <v>41</v>
      </c>
      <c r="AG40" s="46">
        <v>35</v>
      </c>
      <c r="AH40" s="9"/>
      <c r="AI40" s="18">
        <f t="shared" ref="AI40:AI70" si="53">SUM(AF40:AG40)</f>
        <v>76</v>
      </c>
      <c r="AJ40" s="18">
        <v>3</v>
      </c>
      <c r="AK40" s="18" t="str">
        <f t="shared" ref="AK40:AK70" si="54">IF(AG40&lt;=17,"0",IF(AI40&lt;=39,"0",IF(AI40&lt;=49,"4",IF(AI40&lt;=54,"5",IF(AI40&lt;=59,"6",IF(AI40&lt;=69,"7",IF(AI40&lt;=79,"8",IF(AI40&lt;=89,"9","10"))))))))</f>
        <v>8</v>
      </c>
      <c r="AL40" s="18" t="str">
        <f t="shared" ref="AL40:AL70" si="55">IF(AG40&lt;=17,"F",IF(AI40&lt;=39,"F",IF(AI40&lt;=49,"P",IF(AI40&lt;=54,"C",IF(AI40&lt;=59,"B",IF(AI40&lt;=69,"B+",IF(AI40&lt;=79,"A",IF(AI40&lt;=89,"A+","O"))))))))</f>
        <v>A</v>
      </c>
      <c r="AM40" s="18">
        <f t="shared" ref="AM40:AM70" si="56">AJ40*AK40</f>
        <v>24</v>
      </c>
      <c r="AN40" s="18"/>
      <c r="AO40" s="46">
        <v>43</v>
      </c>
      <c r="AP40" s="46">
        <v>38</v>
      </c>
      <c r="AQ40" s="9"/>
      <c r="AR40" s="18">
        <f t="shared" ref="AR40:AR70" si="57">(AO40+AP40)</f>
        <v>81</v>
      </c>
      <c r="AS40" s="18">
        <v>3</v>
      </c>
      <c r="AT40" s="18" t="str">
        <f t="shared" ref="AT40:AT70" si="58">IF(AP40&lt;=17,"0",IF(AR40&lt;=39,"0",IF(AR40&lt;=49,"4",IF(AR40&lt;=54,"5",IF(AR40&lt;=59,"6",IF(AR40&lt;=69,"7",IF(AR40&lt;=79,"8",IF(AR40&lt;=89,"9","10"))))))))</f>
        <v>9</v>
      </c>
      <c r="AU40" s="18" t="str">
        <f t="shared" ref="AU40:AU70" si="59">IF(AP40&lt;=17,"F",IF(AR40&lt;=39,"F",IF(AR40&lt;=49,"P",IF(AR40&lt;=54,"C",IF(AR40&lt;=59,"B",IF(AR40&lt;=69,"B+",IF(AR40&lt;=79,"A",IF(AR40&lt;=89,"A+","O"))))))))</f>
        <v>A+</v>
      </c>
      <c r="AV40" s="18">
        <f t="shared" ref="AV40:AV70" si="60">AS40*AT40</f>
        <v>27</v>
      </c>
      <c r="AW40" s="18"/>
      <c r="AX40" s="9">
        <v>46</v>
      </c>
      <c r="AY40" s="9">
        <v>33</v>
      </c>
      <c r="AZ40" s="9"/>
      <c r="BA40" s="18">
        <f t="shared" ref="BA40:BA70" si="61">(AX40+AY40)</f>
        <v>79</v>
      </c>
      <c r="BB40" s="18">
        <v>1</v>
      </c>
      <c r="BC40" s="18" t="str">
        <f t="shared" ref="BC40:BC70" si="62">IF(AY40&lt;=17,"0",IF(BA40&lt;=39,"0",IF(BA40&lt;=49,"4",IF(BA40&lt;=54,"5",IF(BA40&lt;=59,"6",IF(BA40&lt;=69,"7",IF(BA40&lt;=79,"8",IF(BA40&lt;=89,"9","10"))))))))</f>
        <v>8</v>
      </c>
      <c r="BD40" s="18" t="str">
        <f t="shared" ref="BD40:BD70" si="63">IF(AY40&lt;=17,"F",IF(BA40&lt;=39,"F",IF(BA40&lt;=49,"P",IF(BA40&lt;=54,"C",IF(BA40&lt;=59,"B",IF(BA40&lt;=69,"B+",IF(BA40&lt;=79,"A",IF(BA40&lt;=89,"A+","O"))))))))</f>
        <v>A</v>
      </c>
      <c r="BE40" s="18">
        <f t="shared" ref="BE40:BE70" si="64">BB40*BC40</f>
        <v>8</v>
      </c>
      <c r="BF40" s="43" t="s">
        <v>35</v>
      </c>
      <c r="BG40" s="9">
        <v>45</v>
      </c>
      <c r="BH40" s="9">
        <v>37</v>
      </c>
      <c r="BI40" s="9"/>
      <c r="BJ40" s="18">
        <f t="shared" ref="BJ40:BJ70" si="65">(BG40+BH40)</f>
        <v>82</v>
      </c>
      <c r="BK40" s="18">
        <v>1</v>
      </c>
      <c r="BL40" s="18" t="str">
        <f t="shared" ref="BL40:BL70" si="66">IF(BH40&lt;=17,"0",IF(BJ40&lt;=39,"0",IF(BJ40&lt;=49,"4",IF(BJ40&lt;=54,"5",IF(BJ40&lt;=59,"6",IF(BJ40&lt;=69,"7",IF(BJ40&lt;=79,"8",IF(BJ40&lt;=89,"9","10"))))))))</f>
        <v>9</v>
      </c>
      <c r="BM40" s="18" t="str">
        <f t="shared" ref="BM40:BM70" si="67">IF(BH40&lt;=17,"F",IF(BJ40&lt;=39,"F",IF(BJ40&lt;=49,"P",IF(BJ40&lt;=54,"C",IF(BJ40&lt;=59,"B",IF(BJ40&lt;=69,"B+",IF(BJ40&lt;=79,"A",IF(BJ40&lt;=89,"A+","O"))))))))</f>
        <v>A+</v>
      </c>
      <c r="BN40" s="18">
        <f t="shared" ref="BN40:BN70" si="68">BK40*BL40</f>
        <v>9</v>
      </c>
      <c r="BO40" s="18"/>
      <c r="BP40" s="9">
        <v>41</v>
      </c>
      <c r="BQ40" s="9">
        <v>41</v>
      </c>
      <c r="BR40" s="9"/>
      <c r="BS40" s="18">
        <f t="shared" ref="BS40:BS70" si="69">(BP40+BQ40)</f>
        <v>82</v>
      </c>
      <c r="BT40" s="18">
        <v>1</v>
      </c>
      <c r="BU40" s="18" t="str">
        <f t="shared" ref="BU40:BU70" si="70">IF(BQ40&lt;=17,"0",IF(BS40&lt;=39,"0",IF(BS40&lt;=49,"4",IF(BS40&lt;=54,"5",IF(BS40&lt;=59,"6",IF(BS40&lt;=69,"7",IF(BS40&lt;=79,"8",IF(BS40&lt;=89,"9","10"))))))))</f>
        <v>9</v>
      </c>
      <c r="BV40" s="18" t="str">
        <f t="shared" ref="BV40:BV70" si="71">IF(BQ40&lt;=17,"F",IF(BS40&lt;=39,"F",IF(BS40&lt;=49,"P",IF(BS40&lt;=54,"C",IF(BS40&lt;=59,"B",IF(BS40&lt;=69,"B+",IF(BS40&lt;=79,"A",IF(BS40&lt;=89,"A+","O"))))))))</f>
        <v>A+</v>
      </c>
      <c r="BW40" s="18">
        <f t="shared" ref="BW40:BW70" si="72">BT40*BU40</f>
        <v>9</v>
      </c>
      <c r="BX40" s="18"/>
      <c r="BY40" s="18"/>
      <c r="BZ40" s="18">
        <f t="shared" ref="BZ40:BZ70" si="73">L40+U40+AD40+AM40+AV40+BE40+BN40+BW40</f>
        <v>171</v>
      </c>
      <c r="CA40" s="19">
        <f t="shared" ref="CA40:CA71" si="74">BZ40/20</f>
        <v>8.5500000000000007</v>
      </c>
      <c r="CB40" s="28" t="str">
        <f t="shared" ref="CB40:CB71" si="75">IF(CA40&lt;4,"F",IF(BV40="F","F",IF(BM40="F","F",IF(BD40="F","F",IF(AU40="F","F",IF(AL40="F","F",IF(AC40="F","F",IF(T40="F","F",IF(K40="F","F",IF(CA40&lt;=5,"C",IF(CA40&lt;6,"B",IF(CA40&lt;7,"B+",IF(CA40&lt;8,"A",IF(CA40&lt;=9,"A+","O"))))))))))))))</f>
        <v>A+</v>
      </c>
      <c r="CC40" s="27">
        <f t="shared" ref="CC40:CC70" si="76">CA40*9.5</f>
        <v>81.225000000000009</v>
      </c>
      <c r="CD40" s="27"/>
      <c r="CE40" s="28">
        <f t="shared" ref="CE40:CE70" si="77">SUM(BS40,BJ40,BA40,AR40,AI40,Z40,Q40,H40)</f>
        <v>645</v>
      </c>
      <c r="CF40" s="28">
        <f t="shared" ref="CF40:CF71" si="78">(CE40/800)*100</f>
        <v>80.625</v>
      </c>
      <c r="CG40" s="27"/>
      <c r="CH40" s="27"/>
      <c r="CI40" s="27" t="str">
        <f t="shared" ref="CI40:CI68" si="79">IF(CA40&lt;=4,"F",IF(CA40&lt;=6,"PASS",IF(CA40&lt;=6.5,"SC",IF(CA40&lt;=7.5,"FC",IF(CA40&lt;="10","FCD")))))</f>
        <v>FCD</v>
      </c>
    </row>
    <row r="41" spans="1:87" ht="15.75" customHeight="1" x14ac:dyDescent="0.3">
      <c r="A41" s="35">
        <f>A40+1</f>
        <v>61</v>
      </c>
      <c r="B41" s="37" t="s">
        <v>285</v>
      </c>
      <c r="C41" s="44" t="s">
        <v>286</v>
      </c>
      <c r="D41" s="47" t="s">
        <v>31</v>
      </c>
      <c r="E41" s="9">
        <v>49</v>
      </c>
      <c r="F41" s="9">
        <v>48</v>
      </c>
      <c r="G41" s="9"/>
      <c r="H41" s="18">
        <f t="shared" si="41"/>
        <v>97</v>
      </c>
      <c r="I41" s="18">
        <v>4</v>
      </c>
      <c r="J41" s="18" t="str">
        <f t="shared" si="42"/>
        <v>10</v>
      </c>
      <c r="K41" s="18" t="str">
        <f t="shared" si="43"/>
        <v>O</v>
      </c>
      <c r="L41" s="18">
        <f t="shared" si="44"/>
        <v>40</v>
      </c>
      <c r="M41" s="18"/>
      <c r="N41" s="9">
        <v>45</v>
      </c>
      <c r="O41" s="9">
        <v>29</v>
      </c>
      <c r="P41" s="9"/>
      <c r="Q41" s="18">
        <f t="shared" si="45"/>
        <v>74</v>
      </c>
      <c r="R41" s="18">
        <v>4</v>
      </c>
      <c r="S41" s="18" t="str">
        <f t="shared" si="46"/>
        <v>8</v>
      </c>
      <c r="T41" s="18" t="str">
        <f t="shared" si="47"/>
        <v>A</v>
      </c>
      <c r="U41" s="18">
        <f t="shared" si="48"/>
        <v>32</v>
      </c>
      <c r="V41" s="18"/>
      <c r="W41" s="9">
        <v>47</v>
      </c>
      <c r="X41" s="9">
        <v>49</v>
      </c>
      <c r="Y41" s="18"/>
      <c r="Z41" s="18">
        <f t="shared" si="49"/>
        <v>96</v>
      </c>
      <c r="AA41" s="18">
        <v>3</v>
      </c>
      <c r="AB41" s="18" t="str">
        <f t="shared" si="50"/>
        <v>10</v>
      </c>
      <c r="AC41" s="18" t="str">
        <f t="shared" si="51"/>
        <v>O</v>
      </c>
      <c r="AD41" s="18">
        <f t="shared" si="52"/>
        <v>30</v>
      </c>
      <c r="AE41" s="18"/>
      <c r="AF41" s="46">
        <v>40</v>
      </c>
      <c r="AG41" s="46">
        <v>27</v>
      </c>
      <c r="AH41" s="9"/>
      <c r="AI41" s="18">
        <f t="shared" si="53"/>
        <v>67</v>
      </c>
      <c r="AJ41" s="18">
        <v>3</v>
      </c>
      <c r="AK41" s="18" t="str">
        <f t="shared" si="54"/>
        <v>7</v>
      </c>
      <c r="AL41" s="18" t="str">
        <f t="shared" si="55"/>
        <v>B+</v>
      </c>
      <c r="AM41" s="18">
        <f t="shared" si="56"/>
        <v>21</v>
      </c>
      <c r="AN41" s="18"/>
      <c r="AO41" s="46">
        <v>43</v>
      </c>
      <c r="AP41" s="46">
        <v>23</v>
      </c>
      <c r="AQ41" s="9"/>
      <c r="AR41" s="18">
        <f t="shared" si="57"/>
        <v>66</v>
      </c>
      <c r="AS41" s="18">
        <v>3</v>
      </c>
      <c r="AT41" s="18" t="str">
        <f t="shared" si="58"/>
        <v>7</v>
      </c>
      <c r="AU41" s="18" t="str">
        <f t="shared" si="59"/>
        <v>B+</v>
      </c>
      <c r="AV41" s="18">
        <f t="shared" si="60"/>
        <v>21</v>
      </c>
      <c r="AW41" s="18"/>
      <c r="AX41" s="9">
        <v>45</v>
      </c>
      <c r="AY41" s="9">
        <v>30</v>
      </c>
      <c r="AZ41" s="9"/>
      <c r="BA41" s="18">
        <f t="shared" si="61"/>
        <v>75</v>
      </c>
      <c r="BB41" s="18">
        <v>1</v>
      </c>
      <c r="BC41" s="18" t="str">
        <f t="shared" si="62"/>
        <v>8</v>
      </c>
      <c r="BD41" s="18" t="str">
        <f t="shared" si="63"/>
        <v>A</v>
      </c>
      <c r="BE41" s="18">
        <f t="shared" si="64"/>
        <v>8</v>
      </c>
      <c r="BF41" s="43" t="s">
        <v>35</v>
      </c>
      <c r="BG41" s="9">
        <v>44</v>
      </c>
      <c r="BH41" s="9">
        <v>36</v>
      </c>
      <c r="BI41" s="9"/>
      <c r="BJ41" s="18">
        <f t="shared" si="65"/>
        <v>80</v>
      </c>
      <c r="BK41" s="18">
        <v>1</v>
      </c>
      <c r="BL41" s="18" t="str">
        <f t="shared" si="66"/>
        <v>9</v>
      </c>
      <c r="BM41" s="18" t="str">
        <f t="shared" si="67"/>
        <v>A+</v>
      </c>
      <c r="BN41" s="18">
        <f t="shared" si="68"/>
        <v>9</v>
      </c>
      <c r="BO41" s="18"/>
      <c r="BP41" s="9">
        <v>46</v>
      </c>
      <c r="BQ41" s="9">
        <v>36</v>
      </c>
      <c r="BR41" s="9"/>
      <c r="BS41" s="18">
        <f t="shared" si="69"/>
        <v>82</v>
      </c>
      <c r="BT41" s="18">
        <v>1</v>
      </c>
      <c r="BU41" s="18" t="str">
        <f t="shared" si="70"/>
        <v>9</v>
      </c>
      <c r="BV41" s="18" t="str">
        <f t="shared" si="71"/>
        <v>A+</v>
      </c>
      <c r="BW41" s="18">
        <f t="shared" si="72"/>
        <v>9</v>
      </c>
      <c r="BX41" s="18"/>
      <c r="BY41" s="18"/>
      <c r="BZ41" s="18">
        <f t="shared" si="73"/>
        <v>170</v>
      </c>
      <c r="CA41" s="19">
        <f t="shared" si="74"/>
        <v>8.5</v>
      </c>
      <c r="CB41" s="28" t="str">
        <f t="shared" si="75"/>
        <v>A+</v>
      </c>
      <c r="CC41" s="27">
        <f t="shared" si="76"/>
        <v>80.75</v>
      </c>
      <c r="CD41" s="27"/>
      <c r="CE41" s="28">
        <f t="shared" si="77"/>
        <v>637</v>
      </c>
      <c r="CF41" s="28">
        <f t="shared" si="78"/>
        <v>79.625</v>
      </c>
      <c r="CG41" s="27"/>
      <c r="CH41" s="27"/>
      <c r="CI41" s="27" t="str">
        <f t="shared" si="79"/>
        <v>FCD</v>
      </c>
    </row>
    <row r="42" spans="1:87" ht="15.75" customHeight="1" x14ac:dyDescent="0.3">
      <c r="A42" s="35">
        <f>A41+1</f>
        <v>62</v>
      </c>
      <c r="B42" s="37" t="s">
        <v>287</v>
      </c>
      <c r="C42" s="44" t="s">
        <v>288</v>
      </c>
      <c r="D42" s="47" t="s">
        <v>31</v>
      </c>
      <c r="E42" s="9">
        <v>49</v>
      </c>
      <c r="F42" s="9">
        <v>37</v>
      </c>
      <c r="G42" s="9"/>
      <c r="H42" s="18">
        <f t="shared" si="41"/>
        <v>86</v>
      </c>
      <c r="I42" s="18">
        <v>4</v>
      </c>
      <c r="J42" s="18" t="str">
        <f t="shared" si="42"/>
        <v>9</v>
      </c>
      <c r="K42" s="18" t="str">
        <f t="shared" si="43"/>
        <v>A+</v>
      </c>
      <c r="L42" s="18">
        <f t="shared" si="44"/>
        <v>36</v>
      </c>
      <c r="M42" s="18"/>
      <c r="N42" s="9">
        <v>46</v>
      </c>
      <c r="O42" s="9">
        <v>39</v>
      </c>
      <c r="P42" s="9"/>
      <c r="Q42" s="18">
        <f t="shared" si="45"/>
        <v>85</v>
      </c>
      <c r="R42" s="18">
        <v>4</v>
      </c>
      <c r="S42" s="18" t="str">
        <f t="shared" si="46"/>
        <v>9</v>
      </c>
      <c r="T42" s="18" t="str">
        <f t="shared" si="47"/>
        <v>A+</v>
      </c>
      <c r="U42" s="18">
        <f t="shared" si="48"/>
        <v>36</v>
      </c>
      <c r="V42" s="18"/>
      <c r="W42" s="9">
        <v>45</v>
      </c>
      <c r="X42" s="9">
        <v>32</v>
      </c>
      <c r="Y42" s="18"/>
      <c r="Z42" s="18">
        <f t="shared" si="49"/>
        <v>77</v>
      </c>
      <c r="AA42" s="18">
        <v>3</v>
      </c>
      <c r="AB42" s="18" t="str">
        <f t="shared" si="50"/>
        <v>8</v>
      </c>
      <c r="AC42" s="18" t="str">
        <f t="shared" si="51"/>
        <v>A</v>
      </c>
      <c r="AD42" s="18">
        <f t="shared" si="52"/>
        <v>24</v>
      </c>
      <c r="AE42" s="18"/>
      <c r="AF42" s="46">
        <v>41</v>
      </c>
      <c r="AG42" s="46">
        <v>29</v>
      </c>
      <c r="AH42" s="9"/>
      <c r="AI42" s="18">
        <f t="shared" si="53"/>
        <v>70</v>
      </c>
      <c r="AJ42" s="18">
        <v>3</v>
      </c>
      <c r="AK42" s="18" t="str">
        <f t="shared" si="54"/>
        <v>8</v>
      </c>
      <c r="AL42" s="18" t="str">
        <f t="shared" si="55"/>
        <v>A</v>
      </c>
      <c r="AM42" s="18">
        <f t="shared" si="56"/>
        <v>24</v>
      </c>
      <c r="AN42" s="18"/>
      <c r="AO42" s="46">
        <v>50</v>
      </c>
      <c r="AP42" s="46">
        <v>18</v>
      </c>
      <c r="AQ42" s="9"/>
      <c r="AR42" s="18">
        <f t="shared" si="57"/>
        <v>68</v>
      </c>
      <c r="AS42" s="18">
        <v>3</v>
      </c>
      <c r="AT42" s="18" t="str">
        <f t="shared" si="58"/>
        <v>7</v>
      </c>
      <c r="AU42" s="18" t="str">
        <f t="shared" si="59"/>
        <v>B+</v>
      </c>
      <c r="AV42" s="18">
        <f t="shared" si="60"/>
        <v>21</v>
      </c>
      <c r="AW42" s="18"/>
      <c r="AX42" s="9">
        <v>40</v>
      </c>
      <c r="AY42" s="9">
        <v>34</v>
      </c>
      <c r="AZ42" s="9"/>
      <c r="BA42" s="18">
        <f t="shared" si="61"/>
        <v>74</v>
      </c>
      <c r="BB42" s="18">
        <v>1</v>
      </c>
      <c r="BC42" s="18" t="str">
        <f t="shared" si="62"/>
        <v>8</v>
      </c>
      <c r="BD42" s="18" t="str">
        <f t="shared" si="63"/>
        <v>A</v>
      </c>
      <c r="BE42" s="18">
        <f t="shared" si="64"/>
        <v>8</v>
      </c>
      <c r="BF42" s="43" t="s">
        <v>32</v>
      </c>
      <c r="BG42" s="9">
        <v>50</v>
      </c>
      <c r="BH42" s="9">
        <v>42</v>
      </c>
      <c r="BI42" s="9"/>
      <c r="BJ42" s="18">
        <f t="shared" si="65"/>
        <v>92</v>
      </c>
      <c r="BK42" s="18">
        <v>1</v>
      </c>
      <c r="BL42" s="18" t="str">
        <f t="shared" si="66"/>
        <v>10</v>
      </c>
      <c r="BM42" s="18" t="str">
        <f t="shared" si="67"/>
        <v>O</v>
      </c>
      <c r="BN42" s="18">
        <f t="shared" si="68"/>
        <v>10</v>
      </c>
      <c r="BO42" s="18"/>
      <c r="BP42" s="9">
        <v>50</v>
      </c>
      <c r="BQ42" s="9">
        <v>42</v>
      </c>
      <c r="BR42" s="9"/>
      <c r="BS42" s="18">
        <f t="shared" si="69"/>
        <v>92</v>
      </c>
      <c r="BT42" s="18">
        <v>1</v>
      </c>
      <c r="BU42" s="18" t="str">
        <f t="shared" si="70"/>
        <v>10</v>
      </c>
      <c r="BV42" s="18" t="str">
        <f t="shared" si="71"/>
        <v>O</v>
      </c>
      <c r="BW42" s="18">
        <f t="shared" si="72"/>
        <v>10</v>
      </c>
      <c r="BX42" s="18"/>
      <c r="BY42" s="18"/>
      <c r="BZ42" s="18">
        <f t="shared" si="73"/>
        <v>169</v>
      </c>
      <c r="CA42" s="19">
        <f t="shared" si="74"/>
        <v>8.4499999999999993</v>
      </c>
      <c r="CB42" s="28" t="str">
        <f t="shared" si="75"/>
        <v>A+</v>
      </c>
      <c r="CC42" s="27">
        <f t="shared" si="76"/>
        <v>80.274999999999991</v>
      </c>
      <c r="CD42" s="27"/>
      <c r="CE42" s="28">
        <f t="shared" si="77"/>
        <v>644</v>
      </c>
      <c r="CF42" s="28">
        <f t="shared" si="78"/>
        <v>80.5</v>
      </c>
      <c r="CG42" s="27"/>
      <c r="CH42" s="27"/>
      <c r="CI42" s="27" t="str">
        <f t="shared" si="79"/>
        <v>FCD</v>
      </c>
    </row>
    <row r="43" spans="1:87" ht="15.75" customHeight="1" x14ac:dyDescent="0.3">
      <c r="A43" s="35">
        <f>A42+1</f>
        <v>63</v>
      </c>
      <c r="B43" s="37" t="s">
        <v>289</v>
      </c>
      <c r="C43" s="44" t="s">
        <v>290</v>
      </c>
      <c r="D43" s="47" t="s">
        <v>31</v>
      </c>
      <c r="E43" s="9">
        <v>44</v>
      </c>
      <c r="F43" s="9">
        <v>31</v>
      </c>
      <c r="G43" s="9"/>
      <c r="H43" s="18">
        <f t="shared" si="41"/>
        <v>75</v>
      </c>
      <c r="I43" s="18">
        <v>4</v>
      </c>
      <c r="J43" s="18" t="str">
        <f t="shared" si="42"/>
        <v>8</v>
      </c>
      <c r="K43" s="18" t="str">
        <f t="shared" si="43"/>
        <v>A</v>
      </c>
      <c r="L43" s="18">
        <f t="shared" si="44"/>
        <v>32</v>
      </c>
      <c r="M43" s="18"/>
      <c r="N43" s="9">
        <v>45</v>
      </c>
      <c r="O43" s="9">
        <v>35</v>
      </c>
      <c r="P43" s="9"/>
      <c r="Q43" s="18">
        <f t="shared" si="45"/>
        <v>80</v>
      </c>
      <c r="R43" s="18">
        <v>4</v>
      </c>
      <c r="S43" s="18" t="str">
        <f t="shared" si="46"/>
        <v>9</v>
      </c>
      <c r="T43" s="18" t="str">
        <f t="shared" si="47"/>
        <v>A+</v>
      </c>
      <c r="U43" s="18">
        <f t="shared" si="48"/>
        <v>36</v>
      </c>
      <c r="V43" s="18"/>
      <c r="W43" s="9">
        <v>45</v>
      </c>
      <c r="X43" s="9">
        <v>39</v>
      </c>
      <c r="Y43" s="18"/>
      <c r="Z43" s="18">
        <f t="shared" si="49"/>
        <v>84</v>
      </c>
      <c r="AA43" s="18">
        <v>3</v>
      </c>
      <c r="AB43" s="18" t="str">
        <f t="shared" si="50"/>
        <v>9</v>
      </c>
      <c r="AC43" s="18" t="str">
        <f t="shared" si="51"/>
        <v>A+</v>
      </c>
      <c r="AD43" s="18">
        <f t="shared" si="52"/>
        <v>27</v>
      </c>
      <c r="AE43" s="18"/>
      <c r="AF43" s="46">
        <v>48</v>
      </c>
      <c r="AG43" s="46">
        <v>37</v>
      </c>
      <c r="AH43" s="9"/>
      <c r="AI43" s="18">
        <f t="shared" si="53"/>
        <v>85</v>
      </c>
      <c r="AJ43" s="18">
        <v>3</v>
      </c>
      <c r="AK43" s="18" t="str">
        <f t="shared" si="54"/>
        <v>9</v>
      </c>
      <c r="AL43" s="18" t="str">
        <f t="shared" si="55"/>
        <v>A+</v>
      </c>
      <c r="AM43" s="18">
        <f t="shared" si="56"/>
        <v>27</v>
      </c>
      <c r="AN43" s="18"/>
      <c r="AO43" s="46">
        <v>46</v>
      </c>
      <c r="AP43" s="46">
        <v>18</v>
      </c>
      <c r="AQ43" s="9"/>
      <c r="AR43" s="18">
        <f t="shared" si="57"/>
        <v>64</v>
      </c>
      <c r="AS43" s="18">
        <v>3</v>
      </c>
      <c r="AT43" s="18" t="str">
        <f t="shared" si="58"/>
        <v>7</v>
      </c>
      <c r="AU43" s="18" t="str">
        <f t="shared" si="59"/>
        <v>B+</v>
      </c>
      <c r="AV43" s="18">
        <f t="shared" si="60"/>
        <v>21</v>
      </c>
      <c r="AW43" s="18"/>
      <c r="AX43" s="9">
        <v>46</v>
      </c>
      <c r="AY43" s="9">
        <v>29</v>
      </c>
      <c r="AZ43" s="9"/>
      <c r="BA43" s="18">
        <f t="shared" si="61"/>
        <v>75</v>
      </c>
      <c r="BB43" s="18">
        <v>1</v>
      </c>
      <c r="BC43" s="18" t="str">
        <f t="shared" si="62"/>
        <v>8</v>
      </c>
      <c r="BD43" s="18" t="str">
        <f t="shared" si="63"/>
        <v>A</v>
      </c>
      <c r="BE43" s="18">
        <f t="shared" si="64"/>
        <v>8</v>
      </c>
      <c r="BF43" s="43" t="s">
        <v>35</v>
      </c>
      <c r="BG43" s="9">
        <v>47</v>
      </c>
      <c r="BH43" s="9">
        <v>38</v>
      </c>
      <c r="BI43" s="9"/>
      <c r="BJ43" s="18">
        <f t="shared" si="65"/>
        <v>85</v>
      </c>
      <c r="BK43" s="18">
        <v>1</v>
      </c>
      <c r="BL43" s="18" t="str">
        <f t="shared" si="66"/>
        <v>9</v>
      </c>
      <c r="BM43" s="18" t="str">
        <f t="shared" si="67"/>
        <v>A+</v>
      </c>
      <c r="BN43" s="18">
        <f t="shared" si="68"/>
        <v>9</v>
      </c>
      <c r="BO43" s="18"/>
      <c r="BP43" s="9">
        <v>46</v>
      </c>
      <c r="BQ43" s="9">
        <v>37</v>
      </c>
      <c r="BR43" s="9"/>
      <c r="BS43" s="18">
        <f t="shared" si="69"/>
        <v>83</v>
      </c>
      <c r="BT43" s="18">
        <v>1</v>
      </c>
      <c r="BU43" s="18" t="str">
        <f t="shared" si="70"/>
        <v>9</v>
      </c>
      <c r="BV43" s="18" t="str">
        <f t="shared" si="71"/>
        <v>A+</v>
      </c>
      <c r="BW43" s="18">
        <f t="shared" si="72"/>
        <v>9</v>
      </c>
      <c r="BX43" s="18"/>
      <c r="BY43" s="18"/>
      <c r="BZ43" s="18">
        <f t="shared" si="73"/>
        <v>169</v>
      </c>
      <c r="CA43" s="19">
        <f t="shared" si="74"/>
        <v>8.4499999999999993</v>
      </c>
      <c r="CB43" s="28" t="str">
        <f t="shared" si="75"/>
        <v>A+</v>
      </c>
      <c r="CC43" s="27">
        <f t="shared" si="76"/>
        <v>80.274999999999991</v>
      </c>
      <c r="CD43" s="27"/>
      <c r="CE43" s="28">
        <f t="shared" si="77"/>
        <v>631</v>
      </c>
      <c r="CF43" s="28">
        <f t="shared" si="78"/>
        <v>78.875</v>
      </c>
      <c r="CG43" s="27"/>
      <c r="CH43" s="27"/>
      <c r="CI43" s="27" t="str">
        <f t="shared" si="79"/>
        <v>FCD</v>
      </c>
    </row>
    <row r="44" spans="1:87" ht="15.75" customHeight="1" x14ac:dyDescent="0.3">
      <c r="A44" s="35">
        <f>A43+1</f>
        <v>64</v>
      </c>
      <c r="B44" s="37" t="s">
        <v>291</v>
      </c>
      <c r="C44" s="44" t="s">
        <v>292</v>
      </c>
      <c r="D44" s="47" t="s">
        <v>31</v>
      </c>
      <c r="E44" s="9">
        <v>47</v>
      </c>
      <c r="F44" s="9">
        <v>31</v>
      </c>
      <c r="G44" s="9"/>
      <c r="H44" s="18">
        <f t="shared" si="41"/>
        <v>78</v>
      </c>
      <c r="I44" s="18">
        <v>4</v>
      </c>
      <c r="J44" s="18" t="str">
        <f t="shared" si="42"/>
        <v>8</v>
      </c>
      <c r="K44" s="18" t="str">
        <f t="shared" si="43"/>
        <v>A</v>
      </c>
      <c r="L44" s="18">
        <f t="shared" si="44"/>
        <v>32</v>
      </c>
      <c r="M44" s="18"/>
      <c r="N44" s="9">
        <v>50</v>
      </c>
      <c r="O44" s="9">
        <v>39</v>
      </c>
      <c r="P44" s="9"/>
      <c r="Q44" s="18">
        <f t="shared" si="45"/>
        <v>89</v>
      </c>
      <c r="R44" s="18">
        <v>4</v>
      </c>
      <c r="S44" s="18" t="str">
        <f t="shared" si="46"/>
        <v>9</v>
      </c>
      <c r="T44" s="18" t="str">
        <f t="shared" si="47"/>
        <v>A+</v>
      </c>
      <c r="U44" s="18">
        <f t="shared" si="48"/>
        <v>36</v>
      </c>
      <c r="V44" s="18"/>
      <c r="W44" s="9">
        <v>46</v>
      </c>
      <c r="X44" s="9">
        <v>42</v>
      </c>
      <c r="Y44" s="18"/>
      <c r="Z44" s="18">
        <f t="shared" si="49"/>
        <v>88</v>
      </c>
      <c r="AA44" s="18">
        <v>3</v>
      </c>
      <c r="AB44" s="18" t="str">
        <f t="shared" si="50"/>
        <v>9</v>
      </c>
      <c r="AC44" s="18" t="str">
        <f t="shared" si="51"/>
        <v>A+</v>
      </c>
      <c r="AD44" s="18">
        <f t="shared" si="52"/>
        <v>27</v>
      </c>
      <c r="AE44" s="18"/>
      <c r="AF44" s="46">
        <v>45</v>
      </c>
      <c r="AG44" s="46">
        <v>27</v>
      </c>
      <c r="AH44" s="9"/>
      <c r="AI44" s="18">
        <f t="shared" si="53"/>
        <v>72</v>
      </c>
      <c r="AJ44" s="18">
        <v>3</v>
      </c>
      <c r="AK44" s="18" t="str">
        <f t="shared" si="54"/>
        <v>8</v>
      </c>
      <c r="AL44" s="18" t="str">
        <f t="shared" si="55"/>
        <v>A</v>
      </c>
      <c r="AM44" s="18">
        <f t="shared" si="56"/>
        <v>24</v>
      </c>
      <c r="AN44" s="18"/>
      <c r="AO44" s="46">
        <v>45</v>
      </c>
      <c r="AP44" s="46">
        <v>32</v>
      </c>
      <c r="AQ44" s="9"/>
      <c r="AR44" s="18">
        <f t="shared" si="57"/>
        <v>77</v>
      </c>
      <c r="AS44" s="18">
        <v>3</v>
      </c>
      <c r="AT44" s="18" t="str">
        <f t="shared" si="58"/>
        <v>8</v>
      </c>
      <c r="AU44" s="18" t="str">
        <f t="shared" si="59"/>
        <v>A</v>
      </c>
      <c r="AV44" s="18">
        <f t="shared" si="60"/>
        <v>24</v>
      </c>
      <c r="AW44" s="18"/>
      <c r="AX44" s="9">
        <v>44</v>
      </c>
      <c r="AY44" s="9">
        <v>32</v>
      </c>
      <c r="AZ44" s="9"/>
      <c r="BA44" s="18">
        <f t="shared" si="61"/>
        <v>76</v>
      </c>
      <c r="BB44" s="18">
        <v>1</v>
      </c>
      <c r="BC44" s="18" t="str">
        <f t="shared" si="62"/>
        <v>8</v>
      </c>
      <c r="BD44" s="18" t="str">
        <f t="shared" si="63"/>
        <v>A</v>
      </c>
      <c r="BE44" s="18">
        <f t="shared" si="64"/>
        <v>8</v>
      </c>
      <c r="BF44" s="43" t="s">
        <v>35</v>
      </c>
      <c r="BG44" s="9">
        <v>43</v>
      </c>
      <c r="BH44" s="9">
        <v>36</v>
      </c>
      <c r="BI44" s="9"/>
      <c r="BJ44" s="18">
        <f t="shared" si="65"/>
        <v>79</v>
      </c>
      <c r="BK44" s="18">
        <v>1</v>
      </c>
      <c r="BL44" s="18" t="str">
        <f t="shared" si="66"/>
        <v>8</v>
      </c>
      <c r="BM44" s="18" t="str">
        <f t="shared" si="67"/>
        <v>A</v>
      </c>
      <c r="BN44" s="18">
        <f t="shared" si="68"/>
        <v>8</v>
      </c>
      <c r="BO44" s="18"/>
      <c r="BP44" s="9">
        <v>42</v>
      </c>
      <c r="BQ44" s="9">
        <v>39</v>
      </c>
      <c r="BR44" s="9"/>
      <c r="BS44" s="18">
        <f t="shared" si="69"/>
        <v>81</v>
      </c>
      <c r="BT44" s="18">
        <v>1</v>
      </c>
      <c r="BU44" s="18" t="str">
        <f t="shared" si="70"/>
        <v>9</v>
      </c>
      <c r="BV44" s="18" t="str">
        <f t="shared" si="71"/>
        <v>A+</v>
      </c>
      <c r="BW44" s="18">
        <f t="shared" si="72"/>
        <v>9</v>
      </c>
      <c r="BX44" s="18"/>
      <c r="BY44" s="18"/>
      <c r="BZ44" s="18">
        <f t="shared" si="73"/>
        <v>168</v>
      </c>
      <c r="CA44" s="19">
        <f t="shared" si="74"/>
        <v>8.4</v>
      </c>
      <c r="CB44" s="28" t="str">
        <f t="shared" si="75"/>
        <v>A+</v>
      </c>
      <c r="CC44" s="27">
        <f t="shared" si="76"/>
        <v>79.8</v>
      </c>
      <c r="CD44" s="27"/>
      <c r="CE44" s="28">
        <f t="shared" si="77"/>
        <v>640</v>
      </c>
      <c r="CF44" s="28">
        <f t="shared" si="78"/>
        <v>80</v>
      </c>
      <c r="CG44" s="27"/>
      <c r="CH44" s="27"/>
      <c r="CI44" s="27" t="str">
        <f t="shared" si="79"/>
        <v>FCD</v>
      </c>
    </row>
    <row r="45" spans="1:87" ht="15.75" customHeight="1" x14ac:dyDescent="0.3">
      <c r="A45" s="35">
        <v>59</v>
      </c>
      <c r="B45" s="37" t="s">
        <v>293</v>
      </c>
      <c r="C45" s="44" t="s">
        <v>294</v>
      </c>
      <c r="D45" s="47" t="s">
        <v>31</v>
      </c>
      <c r="E45" s="9">
        <v>48</v>
      </c>
      <c r="F45" s="9">
        <v>29</v>
      </c>
      <c r="G45" s="9"/>
      <c r="H45" s="18">
        <f t="shared" si="41"/>
        <v>77</v>
      </c>
      <c r="I45" s="18">
        <v>4</v>
      </c>
      <c r="J45" s="18" t="str">
        <f t="shared" si="42"/>
        <v>8</v>
      </c>
      <c r="K45" s="18" t="str">
        <f t="shared" si="43"/>
        <v>A</v>
      </c>
      <c r="L45" s="18">
        <f t="shared" si="44"/>
        <v>32</v>
      </c>
      <c r="M45" s="18"/>
      <c r="N45" s="9">
        <v>42</v>
      </c>
      <c r="O45" s="9">
        <v>28</v>
      </c>
      <c r="P45" s="9"/>
      <c r="Q45" s="18">
        <f t="shared" si="45"/>
        <v>70</v>
      </c>
      <c r="R45" s="18">
        <v>4</v>
      </c>
      <c r="S45" s="18" t="str">
        <f t="shared" si="46"/>
        <v>8</v>
      </c>
      <c r="T45" s="18" t="str">
        <f t="shared" si="47"/>
        <v>A</v>
      </c>
      <c r="U45" s="18">
        <f t="shared" si="48"/>
        <v>32</v>
      </c>
      <c r="V45" s="18"/>
      <c r="W45" s="9">
        <v>47</v>
      </c>
      <c r="X45" s="9">
        <v>44</v>
      </c>
      <c r="Y45" s="18"/>
      <c r="Z45" s="18">
        <f t="shared" si="49"/>
        <v>91</v>
      </c>
      <c r="AA45" s="18">
        <v>3</v>
      </c>
      <c r="AB45" s="18" t="str">
        <f t="shared" si="50"/>
        <v>10</v>
      </c>
      <c r="AC45" s="18" t="str">
        <f t="shared" si="51"/>
        <v>O</v>
      </c>
      <c r="AD45" s="18">
        <f t="shared" si="52"/>
        <v>30</v>
      </c>
      <c r="AE45" s="18"/>
      <c r="AF45" s="46">
        <v>41</v>
      </c>
      <c r="AG45" s="46">
        <v>26</v>
      </c>
      <c r="AH45" s="9"/>
      <c r="AI45" s="18">
        <f t="shared" si="53"/>
        <v>67</v>
      </c>
      <c r="AJ45" s="18">
        <v>3</v>
      </c>
      <c r="AK45" s="18" t="str">
        <f t="shared" si="54"/>
        <v>7</v>
      </c>
      <c r="AL45" s="18" t="str">
        <f t="shared" si="55"/>
        <v>B+</v>
      </c>
      <c r="AM45" s="18">
        <f t="shared" si="56"/>
        <v>21</v>
      </c>
      <c r="AN45" s="18"/>
      <c r="AO45" s="46">
        <v>46</v>
      </c>
      <c r="AP45" s="46">
        <v>30</v>
      </c>
      <c r="AQ45" s="9"/>
      <c r="AR45" s="18">
        <f t="shared" si="57"/>
        <v>76</v>
      </c>
      <c r="AS45" s="18">
        <v>3</v>
      </c>
      <c r="AT45" s="18" t="str">
        <f t="shared" si="58"/>
        <v>8</v>
      </c>
      <c r="AU45" s="18" t="str">
        <f t="shared" si="59"/>
        <v>A</v>
      </c>
      <c r="AV45" s="18">
        <f t="shared" si="60"/>
        <v>24</v>
      </c>
      <c r="AW45" s="18"/>
      <c r="AX45" s="9">
        <v>46</v>
      </c>
      <c r="AY45" s="9">
        <v>38</v>
      </c>
      <c r="AZ45" s="9"/>
      <c r="BA45" s="18">
        <f t="shared" si="61"/>
        <v>84</v>
      </c>
      <c r="BB45" s="18">
        <v>1</v>
      </c>
      <c r="BC45" s="18" t="str">
        <f t="shared" si="62"/>
        <v>9</v>
      </c>
      <c r="BD45" s="18" t="str">
        <f t="shared" si="63"/>
        <v>A+</v>
      </c>
      <c r="BE45" s="18">
        <f t="shared" si="64"/>
        <v>9</v>
      </c>
      <c r="BF45" s="43" t="s">
        <v>32</v>
      </c>
      <c r="BG45" s="9">
        <v>48</v>
      </c>
      <c r="BH45" s="9">
        <v>48</v>
      </c>
      <c r="BI45" s="9"/>
      <c r="BJ45" s="18">
        <f t="shared" si="65"/>
        <v>96</v>
      </c>
      <c r="BK45" s="18">
        <v>1</v>
      </c>
      <c r="BL45" s="18" t="str">
        <f t="shared" si="66"/>
        <v>10</v>
      </c>
      <c r="BM45" s="18" t="str">
        <f t="shared" si="67"/>
        <v>O</v>
      </c>
      <c r="BN45" s="18">
        <f t="shared" si="68"/>
        <v>10</v>
      </c>
      <c r="BO45" s="18"/>
      <c r="BP45" s="9">
        <v>46</v>
      </c>
      <c r="BQ45" s="9">
        <v>42</v>
      </c>
      <c r="BR45" s="9"/>
      <c r="BS45" s="18">
        <f t="shared" si="69"/>
        <v>88</v>
      </c>
      <c r="BT45" s="18">
        <v>1</v>
      </c>
      <c r="BU45" s="18" t="str">
        <f t="shared" si="70"/>
        <v>9</v>
      </c>
      <c r="BV45" s="18" t="str">
        <f t="shared" si="71"/>
        <v>A+</v>
      </c>
      <c r="BW45" s="18">
        <f t="shared" si="72"/>
        <v>9</v>
      </c>
      <c r="BX45" s="18"/>
      <c r="BY45" s="18"/>
      <c r="BZ45" s="18">
        <f t="shared" si="73"/>
        <v>167</v>
      </c>
      <c r="CA45" s="19">
        <f t="shared" si="74"/>
        <v>8.35</v>
      </c>
      <c r="CB45" s="28" t="str">
        <f t="shared" si="75"/>
        <v>A+</v>
      </c>
      <c r="CC45" s="27">
        <f t="shared" si="76"/>
        <v>79.325000000000003</v>
      </c>
      <c r="CD45" s="27"/>
      <c r="CE45" s="28">
        <f t="shared" si="77"/>
        <v>649</v>
      </c>
      <c r="CF45" s="28">
        <f t="shared" si="78"/>
        <v>81.125</v>
      </c>
      <c r="CG45" s="27"/>
      <c r="CH45" s="27"/>
      <c r="CI45" s="27" t="str">
        <f t="shared" si="79"/>
        <v>FCD</v>
      </c>
    </row>
    <row r="46" spans="1:87" ht="15.75" customHeight="1" x14ac:dyDescent="0.3">
      <c r="A46" s="35">
        <f>A45+1</f>
        <v>60</v>
      </c>
      <c r="B46" s="37" t="s">
        <v>295</v>
      </c>
      <c r="C46" s="44" t="s">
        <v>296</v>
      </c>
      <c r="D46" s="47" t="s">
        <v>31</v>
      </c>
      <c r="E46" s="9">
        <v>45</v>
      </c>
      <c r="F46" s="9">
        <v>27</v>
      </c>
      <c r="G46" s="9"/>
      <c r="H46" s="18">
        <f t="shared" si="41"/>
        <v>72</v>
      </c>
      <c r="I46" s="18">
        <v>4</v>
      </c>
      <c r="J46" s="18" t="str">
        <f t="shared" si="42"/>
        <v>8</v>
      </c>
      <c r="K46" s="18" t="str">
        <f t="shared" si="43"/>
        <v>A</v>
      </c>
      <c r="L46" s="18">
        <f t="shared" si="44"/>
        <v>32</v>
      </c>
      <c r="M46" s="18"/>
      <c r="N46" s="9">
        <v>45</v>
      </c>
      <c r="O46" s="9">
        <v>28</v>
      </c>
      <c r="P46" s="9"/>
      <c r="Q46" s="18">
        <f t="shared" si="45"/>
        <v>73</v>
      </c>
      <c r="R46" s="18">
        <v>4</v>
      </c>
      <c r="S46" s="18" t="str">
        <f t="shared" si="46"/>
        <v>8</v>
      </c>
      <c r="T46" s="18" t="str">
        <f t="shared" si="47"/>
        <v>A</v>
      </c>
      <c r="U46" s="18">
        <f t="shared" si="48"/>
        <v>32</v>
      </c>
      <c r="V46" s="18"/>
      <c r="W46" s="9">
        <v>43</v>
      </c>
      <c r="X46" s="9">
        <v>42</v>
      </c>
      <c r="Y46" s="18"/>
      <c r="Z46" s="18">
        <f t="shared" si="49"/>
        <v>85</v>
      </c>
      <c r="AA46" s="18">
        <v>3</v>
      </c>
      <c r="AB46" s="18" t="str">
        <f t="shared" si="50"/>
        <v>9</v>
      </c>
      <c r="AC46" s="18" t="str">
        <f t="shared" si="51"/>
        <v>A+</v>
      </c>
      <c r="AD46" s="18">
        <f t="shared" si="52"/>
        <v>27</v>
      </c>
      <c r="AE46" s="18"/>
      <c r="AF46" s="46">
        <v>40</v>
      </c>
      <c r="AG46" s="46">
        <v>36</v>
      </c>
      <c r="AH46" s="9"/>
      <c r="AI46" s="18">
        <f t="shared" si="53"/>
        <v>76</v>
      </c>
      <c r="AJ46" s="18">
        <v>3</v>
      </c>
      <c r="AK46" s="18" t="str">
        <f t="shared" si="54"/>
        <v>8</v>
      </c>
      <c r="AL46" s="18" t="str">
        <f t="shared" si="55"/>
        <v>A</v>
      </c>
      <c r="AM46" s="18">
        <f t="shared" si="56"/>
        <v>24</v>
      </c>
      <c r="AN46" s="18"/>
      <c r="AO46" s="46">
        <v>45</v>
      </c>
      <c r="AP46" s="46">
        <v>29</v>
      </c>
      <c r="AQ46" s="9"/>
      <c r="AR46" s="18">
        <f t="shared" si="57"/>
        <v>74</v>
      </c>
      <c r="AS46" s="18">
        <v>3</v>
      </c>
      <c r="AT46" s="18" t="str">
        <f t="shared" si="58"/>
        <v>8</v>
      </c>
      <c r="AU46" s="18" t="str">
        <f t="shared" si="59"/>
        <v>A</v>
      </c>
      <c r="AV46" s="18">
        <f t="shared" si="60"/>
        <v>24</v>
      </c>
      <c r="AW46" s="18"/>
      <c r="AX46" s="9">
        <v>46</v>
      </c>
      <c r="AY46" s="9">
        <v>36</v>
      </c>
      <c r="AZ46" s="9"/>
      <c r="BA46" s="18">
        <f t="shared" si="61"/>
        <v>82</v>
      </c>
      <c r="BB46" s="18">
        <v>1</v>
      </c>
      <c r="BC46" s="18" t="str">
        <f t="shared" si="62"/>
        <v>9</v>
      </c>
      <c r="BD46" s="18" t="str">
        <f t="shared" si="63"/>
        <v>A+</v>
      </c>
      <c r="BE46" s="18">
        <f t="shared" si="64"/>
        <v>9</v>
      </c>
      <c r="BF46" s="43" t="s">
        <v>32</v>
      </c>
      <c r="BG46" s="9">
        <v>48</v>
      </c>
      <c r="BH46" s="9">
        <v>42</v>
      </c>
      <c r="BI46" s="9"/>
      <c r="BJ46" s="18">
        <f t="shared" si="65"/>
        <v>90</v>
      </c>
      <c r="BK46" s="18">
        <v>1</v>
      </c>
      <c r="BL46" s="18" t="str">
        <f t="shared" si="66"/>
        <v>10</v>
      </c>
      <c r="BM46" s="18" t="str">
        <f t="shared" si="67"/>
        <v>O</v>
      </c>
      <c r="BN46" s="18">
        <f t="shared" si="68"/>
        <v>10</v>
      </c>
      <c r="BO46" s="18"/>
      <c r="BP46" s="9">
        <v>48</v>
      </c>
      <c r="BQ46" s="9">
        <v>39</v>
      </c>
      <c r="BR46" s="9"/>
      <c r="BS46" s="18">
        <f t="shared" si="69"/>
        <v>87</v>
      </c>
      <c r="BT46" s="18">
        <v>1</v>
      </c>
      <c r="BU46" s="18" t="str">
        <f t="shared" si="70"/>
        <v>9</v>
      </c>
      <c r="BV46" s="18" t="str">
        <f t="shared" si="71"/>
        <v>A+</v>
      </c>
      <c r="BW46" s="18">
        <f t="shared" si="72"/>
        <v>9</v>
      </c>
      <c r="BX46" s="18"/>
      <c r="BY46" s="18"/>
      <c r="BZ46" s="18">
        <f t="shared" si="73"/>
        <v>167</v>
      </c>
      <c r="CA46" s="19">
        <f t="shared" si="74"/>
        <v>8.35</v>
      </c>
      <c r="CB46" s="28" t="str">
        <f t="shared" si="75"/>
        <v>A+</v>
      </c>
      <c r="CC46" s="27">
        <f t="shared" si="76"/>
        <v>79.325000000000003</v>
      </c>
      <c r="CD46" s="27"/>
      <c r="CE46" s="28">
        <f t="shared" si="77"/>
        <v>639</v>
      </c>
      <c r="CF46" s="28">
        <f t="shared" si="78"/>
        <v>79.875</v>
      </c>
      <c r="CG46" s="27"/>
      <c r="CH46" s="27"/>
      <c r="CI46" s="27" t="str">
        <f t="shared" si="79"/>
        <v>FCD</v>
      </c>
    </row>
    <row r="47" spans="1:87" ht="15.75" customHeight="1" x14ac:dyDescent="0.3">
      <c r="A47" s="35">
        <f>A46+1</f>
        <v>61</v>
      </c>
      <c r="B47" s="37" t="s">
        <v>297</v>
      </c>
      <c r="C47" s="44" t="s">
        <v>298</v>
      </c>
      <c r="D47" s="47" t="s">
        <v>31</v>
      </c>
      <c r="E47" s="9">
        <v>46</v>
      </c>
      <c r="F47" s="9">
        <v>28</v>
      </c>
      <c r="G47" s="9"/>
      <c r="H47" s="18">
        <f t="shared" si="41"/>
        <v>74</v>
      </c>
      <c r="I47" s="18">
        <v>4</v>
      </c>
      <c r="J47" s="18" t="str">
        <f t="shared" si="42"/>
        <v>8</v>
      </c>
      <c r="K47" s="18" t="str">
        <f t="shared" si="43"/>
        <v>A</v>
      </c>
      <c r="L47" s="18">
        <f t="shared" si="44"/>
        <v>32</v>
      </c>
      <c r="M47" s="18"/>
      <c r="N47" s="9">
        <v>43</v>
      </c>
      <c r="O47" s="9">
        <v>30</v>
      </c>
      <c r="P47" s="9"/>
      <c r="Q47" s="18">
        <f t="shared" si="45"/>
        <v>73</v>
      </c>
      <c r="R47" s="18">
        <v>4</v>
      </c>
      <c r="S47" s="18" t="str">
        <f t="shared" si="46"/>
        <v>8</v>
      </c>
      <c r="T47" s="18" t="str">
        <f t="shared" si="47"/>
        <v>A</v>
      </c>
      <c r="U47" s="18">
        <f t="shared" si="48"/>
        <v>32</v>
      </c>
      <c r="V47" s="18"/>
      <c r="W47" s="9">
        <v>48</v>
      </c>
      <c r="X47" s="9">
        <v>38</v>
      </c>
      <c r="Y47" s="18"/>
      <c r="Z47" s="18">
        <f t="shared" si="49"/>
        <v>86</v>
      </c>
      <c r="AA47" s="18">
        <v>3</v>
      </c>
      <c r="AB47" s="18" t="str">
        <f t="shared" si="50"/>
        <v>9</v>
      </c>
      <c r="AC47" s="18" t="str">
        <f t="shared" si="51"/>
        <v>A+</v>
      </c>
      <c r="AD47" s="18">
        <f t="shared" si="52"/>
        <v>27</v>
      </c>
      <c r="AE47" s="18"/>
      <c r="AF47" s="46">
        <v>45</v>
      </c>
      <c r="AG47" s="46">
        <v>37</v>
      </c>
      <c r="AH47" s="9"/>
      <c r="AI47" s="18">
        <f t="shared" si="53"/>
        <v>82</v>
      </c>
      <c r="AJ47" s="18">
        <v>3</v>
      </c>
      <c r="AK47" s="18" t="str">
        <f t="shared" si="54"/>
        <v>9</v>
      </c>
      <c r="AL47" s="18" t="str">
        <f t="shared" si="55"/>
        <v>A+</v>
      </c>
      <c r="AM47" s="18">
        <f t="shared" si="56"/>
        <v>27</v>
      </c>
      <c r="AN47" s="18"/>
      <c r="AO47" s="46">
        <v>49</v>
      </c>
      <c r="AP47" s="46">
        <v>25</v>
      </c>
      <c r="AQ47" s="9"/>
      <c r="AR47" s="18">
        <f t="shared" si="57"/>
        <v>74</v>
      </c>
      <c r="AS47" s="18">
        <v>3</v>
      </c>
      <c r="AT47" s="18" t="str">
        <f t="shared" si="58"/>
        <v>8</v>
      </c>
      <c r="AU47" s="18" t="str">
        <f t="shared" si="59"/>
        <v>A</v>
      </c>
      <c r="AV47" s="18">
        <f t="shared" si="60"/>
        <v>24</v>
      </c>
      <c r="AW47" s="18"/>
      <c r="AX47" s="9">
        <v>46</v>
      </c>
      <c r="AY47" s="9">
        <v>23</v>
      </c>
      <c r="AZ47" s="9"/>
      <c r="BA47" s="18">
        <f t="shared" si="61"/>
        <v>69</v>
      </c>
      <c r="BB47" s="18">
        <v>1</v>
      </c>
      <c r="BC47" s="18" t="str">
        <f t="shared" si="62"/>
        <v>7</v>
      </c>
      <c r="BD47" s="18" t="str">
        <f t="shared" si="63"/>
        <v>B+</v>
      </c>
      <c r="BE47" s="18">
        <f t="shared" si="64"/>
        <v>7</v>
      </c>
      <c r="BF47" s="43" t="s">
        <v>35</v>
      </c>
      <c r="BG47" s="9">
        <v>49</v>
      </c>
      <c r="BH47" s="9">
        <v>40</v>
      </c>
      <c r="BI47" s="9"/>
      <c r="BJ47" s="18">
        <f t="shared" si="65"/>
        <v>89</v>
      </c>
      <c r="BK47" s="18">
        <v>1</v>
      </c>
      <c r="BL47" s="18" t="str">
        <f t="shared" si="66"/>
        <v>9</v>
      </c>
      <c r="BM47" s="18" t="str">
        <f t="shared" si="67"/>
        <v>A+</v>
      </c>
      <c r="BN47" s="18">
        <f t="shared" si="68"/>
        <v>9</v>
      </c>
      <c r="BO47" s="18"/>
      <c r="BP47" s="9">
        <v>49</v>
      </c>
      <c r="BQ47" s="9">
        <v>37</v>
      </c>
      <c r="BR47" s="9"/>
      <c r="BS47" s="18">
        <f t="shared" si="69"/>
        <v>86</v>
      </c>
      <c r="BT47" s="18">
        <v>1</v>
      </c>
      <c r="BU47" s="18" t="str">
        <f t="shared" si="70"/>
        <v>9</v>
      </c>
      <c r="BV47" s="18" t="str">
        <f t="shared" si="71"/>
        <v>A+</v>
      </c>
      <c r="BW47" s="18">
        <f t="shared" si="72"/>
        <v>9</v>
      </c>
      <c r="BX47" s="18"/>
      <c r="BY47" s="18"/>
      <c r="BZ47" s="18">
        <f t="shared" si="73"/>
        <v>167</v>
      </c>
      <c r="CA47" s="19">
        <f t="shared" si="74"/>
        <v>8.35</v>
      </c>
      <c r="CB47" s="28" t="str">
        <f t="shared" si="75"/>
        <v>A+</v>
      </c>
      <c r="CC47" s="27">
        <f t="shared" si="76"/>
        <v>79.325000000000003</v>
      </c>
      <c r="CD47" s="27"/>
      <c r="CE47" s="28">
        <f t="shared" si="77"/>
        <v>633</v>
      </c>
      <c r="CF47" s="28">
        <f t="shared" si="78"/>
        <v>79.125</v>
      </c>
      <c r="CG47" s="27"/>
      <c r="CH47" s="27"/>
      <c r="CI47" s="27" t="str">
        <f t="shared" si="79"/>
        <v>FCD</v>
      </c>
    </row>
    <row r="48" spans="1:87" ht="15.75" customHeight="1" x14ac:dyDescent="0.3">
      <c r="A48" s="35">
        <v>56</v>
      </c>
      <c r="B48" s="37" t="s">
        <v>299</v>
      </c>
      <c r="C48" s="44" t="s">
        <v>300</v>
      </c>
      <c r="D48" s="47" t="s">
        <v>31</v>
      </c>
      <c r="E48" s="9">
        <v>48</v>
      </c>
      <c r="F48" s="9">
        <v>30</v>
      </c>
      <c r="G48" s="9"/>
      <c r="H48" s="18">
        <f t="shared" si="41"/>
        <v>78</v>
      </c>
      <c r="I48" s="18">
        <v>4</v>
      </c>
      <c r="J48" s="18" t="str">
        <f t="shared" si="42"/>
        <v>8</v>
      </c>
      <c r="K48" s="18" t="str">
        <f t="shared" si="43"/>
        <v>A</v>
      </c>
      <c r="L48" s="18">
        <f t="shared" si="44"/>
        <v>32</v>
      </c>
      <c r="M48" s="18"/>
      <c r="N48" s="9">
        <v>45</v>
      </c>
      <c r="O48" s="9">
        <v>32</v>
      </c>
      <c r="P48" s="9"/>
      <c r="Q48" s="18">
        <f t="shared" si="45"/>
        <v>77</v>
      </c>
      <c r="R48" s="18">
        <v>4</v>
      </c>
      <c r="S48" s="18" t="str">
        <f t="shared" si="46"/>
        <v>8</v>
      </c>
      <c r="T48" s="18" t="str">
        <f t="shared" si="47"/>
        <v>A</v>
      </c>
      <c r="U48" s="18">
        <f t="shared" si="48"/>
        <v>32</v>
      </c>
      <c r="V48" s="18"/>
      <c r="W48" s="9">
        <v>43</v>
      </c>
      <c r="X48" s="9">
        <v>35</v>
      </c>
      <c r="Y48" s="18"/>
      <c r="Z48" s="18">
        <f t="shared" si="49"/>
        <v>78</v>
      </c>
      <c r="AA48" s="18">
        <v>3</v>
      </c>
      <c r="AB48" s="18" t="str">
        <f t="shared" si="50"/>
        <v>8</v>
      </c>
      <c r="AC48" s="18" t="str">
        <f t="shared" si="51"/>
        <v>A</v>
      </c>
      <c r="AD48" s="18">
        <f t="shared" si="52"/>
        <v>24</v>
      </c>
      <c r="AE48" s="18"/>
      <c r="AF48" s="46">
        <v>46</v>
      </c>
      <c r="AG48" s="46">
        <v>38</v>
      </c>
      <c r="AH48" s="9"/>
      <c r="AI48" s="18">
        <f t="shared" si="53"/>
        <v>84</v>
      </c>
      <c r="AJ48" s="18">
        <v>3</v>
      </c>
      <c r="AK48" s="18" t="str">
        <f t="shared" si="54"/>
        <v>9</v>
      </c>
      <c r="AL48" s="18" t="str">
        <f t="shared" si="55"/>
        <v>A+</v>
      </c>
      <c r="AM48" s="18">
        <f t="shared" si="56"/>
        <v>27</v>
      </c>
      <c r="AN48" s="18"/>
      <c r="AO48" s="46">
        <v>49</v>
      </c>
      <c r="AP48" s="46">
        <v>30</v>
      </c>
      <c r="AQ48" s="9"/>
      <c r="AR48" s="18">
        <f t="shared" si="57"/>
        <v>79</v>
      </c>
      <c r="AS48" s="18">
        <v>3</v>
      </c>
      <c r="AT48" s="18" t="str">
        <f t="shared" si="58"/>
        <v>8</v>
      </c>
      <c r="AU48" s="18" t="str">
        <f t="shared" si="59"/>
        <v>A</v>
      </c>
      <c r="AV48" s="18">
        <f t="shared" si="60"/>
        <v>24</v>
      </c>
      <c r="AW48" s="18"/>
      <c r="AX48" s="9">
        <v>46</v>
      </c>
      <c r="AY48" s="9">
        <v>33</v>
      </c>
      <c r="AZ48" s="9"/>
      <c r="BA48" s="18">
        <f t="shared" si="61"/>
        <v>79</v>
      </c>
      <c r="BB48" s="18">
        <v>1</v>
      </c>
      <c r="BC48" s="18" t="str">
        <f t="shared" si="62"/>
        <v>8</v>
      </c>
      <c r="BD48" s="18" t="str">
        <f t="shared" si="63"/>
        <v>A</v>
      </c>
      <c r="BE48" s="18">
        <f t="shared" si="64"/>
        <v>8</v>
      </c>
      <c r="BF48" s="43" t="s">
        <v>32</v>
      </c>
      <c r="BG48" s="9">
        <v>49</v>
      </c>
      <c r="BH48" s="9">
        <v>44</v>
      </c>
      <c r="BI48" s="9"/>
      <c r="BJ48" s="18">
        <f t="shared" si="65"/>
        <v>93</v>
      </c>
      <c r="BK48" s="18">
        <v>1</v>
      </c>
      <c r="BL48" s="18" t="str">
        <f t="shared" si="66"/>
        <v>10</v>
      </c>
      <c r="BM48" s="18" t="str">
        <f t="shared" si="67"/>
        <v>O</v>
      </c>
      <c r="BN48" s="18">
        <f t="shared" si="68"/>
        <v>10</v>
      </c>
      <c r="BO48" s="18"/>
      <c r="BP48" s="9">
        <v>42</v>
      </c>
      <c r="BQ48" s="9">
        <v>41</v>
      </c>
      <c r="BR48" s="9"/>
      <c r="BS48" s="18">
        <f t="shared" si="69"/>
        <v>83</v>
      </c>
      <c r="BT48" s="18">
        <v>1</v>
      </c>
      <c r="BU48" s="18" t="str">
        <f t="shared" si="70"/>
        <v>9</v>
      </c>
      <c r="BV48" s="18" t="str">
        <f t="shared" si="71"/>
        <v>A+</v>
      </c>
      <c r="BW48" s="18">
        <f t="shared" si="72"/>
        <v>9</v>
      </c>
      <c r="BX48" s="18"/>
      <c r="BY48" s="18"/>
      <c r="BZ48" s="18">
        <f t="shared" si="73"/>
        <v>166</v>
      </c>
      <c r="CA48" s="19">
        <f t="shared" si="74"/>
        <v>8.3000000000000007</v>
      </c>
      <c r="CB48" s="28" t="str">
        <f t="shared" si="75"/>
        <v>A+</v>
      </c>
      <c r="CC48" s="27">
        <f t="shared" si="76"/>
        <v>78.850000000000009</v>
      </c>
      <c r="CD48" s="27"/>
      <c r="CE48" s="28">
        <f t="shared" si="77"/>
        <v>651</v>
      </c>
      <c r="CF48" s="28">
        <f t="shared" si="78"/>
        <v>81.375</v>
      </c>
      <c r="CG48" s="27"/>
      <c r="CH48" s="27"/>
      <c r="CI48" s="27" t="str">
        <f t="shared" si="79"/>
        <v>FCD</v>
      </c>
    </row>
    <row r="49" spans="1:87" ht="15.75" customHeight="1" x14ac:dyDescent="0.3">
      <c r="A49" s="35">
        <f>A48+1</f>
        <v>57</v>
      </c>
      <c r="B49" s="37" t="s">
        <v>301</v>
      </c>
      <c r="C49" s="44" t="s">
        <v>302</v>
      </c>
      <c r="D49" s="47" t="s">
        <v>31</v>
      </c>
      <c r="E49" s="9">
        <v>46</v>
      </c>
      <c r="F49" s="9">
        <v>20</v>
      </c>
      <c r="G49" s="9"/>
      <c r="H49" s="18">
        <f t="shared" si="41"/>
        <v>66</v>
      </c>
      <c r="I49" s="18">
        <v>4</v>
      </c>
      <c r="J49" s="18" t="str">
        <f t="shared" si="42"/>
        <v>7</v>
      </c>
      <c r="K49" s="18" t="str">
        <f t="shared" si="43"/>
        <v>B+</v>
      </c>
      <c r="L49" s="18">
        <f t="shared" si="44"/>
        <v>28</v>
      </c>
      <c r="M49" s="18"/>
      <c r="N49" s="9">
        <v>44</v>
      </c>
      <c r="O49" s="9">
        <v>36</v>
      </c>
      <c r="P49" s="9"/>
      <c r="Q49" s="18">
        <f t="shared" si="45"/>
        <v>80</v>
      </c>
      <c r="R49" s="18">
        <v>4</v>
      </c>
      <c r="S49" s="18" t="str">
        <f t="shared" si="46"/>
        <v>9</v>
      </c>
      <c r="T49" s="18" t="str">
        <f t="shared" si="47"/>
        <v>A+</v>
      </c>
      <c r="U49" s="18">
        <f t="shared" si="48"/>
        <v>36</v>
      </c>
      <c r="V49" s="18"/>
      <c r="W49" s="9">
        <v>47</v>
      </c>
      <c r="X49" s="9">
        <v>42</v>
      </c>
      <c r="Y49" s="18"/>
      <c r="Z49" s="18">
        <f t="shared" si="49"/>
        <v>89</v>
      </c>
      <c r="AA49" s="18">
        <v>3</v>
      </c>
      <c r="AB49" s="18" t="str">
        <f t="shared" si="50"/>
        <v>9</v>
      </c>
      <c r="AC49" s="18" t="str">
        <f t="shared" si="51"/>
        <v>A+</v>
      </c>
      <c r="AD49" s="18">
        <f t="shared" si="52"/>
        <v>27</v>
      </c>
      <c r="AE49" s="18"/>
      <c r="AF49" s="46">
        <v>45</v>
      </c>
      <c r="AG49" s="46">
        <v>36</v>
      </c>
      <c r="AH49" s="9"/>
      <c r="AI49" s="18">
        <f t="shared" si="53"/>
        <v>81</v>
      </c>
      <c r="AJ49" s="18">
        <v>3</v>
      </c>
      <c r="AK49" s="18" t="str">
        <f t="shared" si="54"/>
        <v>9</v>
      </c>
      <c r="AL49" s="18" t="str">
        <f t="shared" si="55"/>
        <v>A+</v>
      </c>
      <c r="AM49" s="18">
        <f t="shared" si="56"/>
        <v>27</v>
      </c>
      <c r="AN49" s="18"/>
      <c r="AO49" s="46">
        <v>45</v>
      </c>
      <c r="AP49" s="46">
        <v>26</v>
      </c>
      <c r="AQ49" s="9"/>
      <c r="AR49" s="18">
        <f t="shared" si="57"/>
        <v>71</v>
      </c>
      <c r="AS49" s="18">
        <v>3</v>
      </c>
      <c r="AT49" s="18" t="str">
        <f t="shared" si="58"/>
        <v>8</v>
      </c>
      <c r="AU49" s="18" t="str">
        <f t="shared" si="59"/>
        <v>A</v>
      </c>
      <c r="AV49" s="18">
        <f t="shared" si="60"/>
        <v>24</v>
      </c>
      <c r="AW49" s="18"/>
      <c r="AX49" s="9">
        <v>45</v>
      </c>
      <c r="AY49" s="9">
        <v>30</v>
      </c>
      <c r="AZ49" s="9"/>
      <c r="BA49" s="18">
        <f t="shared" si="61"/>
        <v>75</v>
      </c>
      <c r="BB49" s="18">
        <v>1</v>
      </c>
      <c r="BC49" s="18" t="str">
        <f t="shared" si="62"/>
        <v>8</v>
      </c>
      <c r="BD49" s="18" t="str">
        <f t="shared" si="63"/>
        <v>A</v>
      </c>
      <c r="BE49" s="18">
        <f t="shared" si="64"/>
        <v>8</v>
      </c>
      <c r="BF49" s="43" t="s">
        <v>35</v>
      </c>
      <c r="BG49" s="9">
        <v>44</v>
      </c>
      <c r="BH49" s="9">
        <v>23</v>
      </c>
      <c r="BI49" s="9"/>
      <c r="BJ49" s="18">
        <f t="shared" si="65"/>
        <v>67</v>
      </c>
      <c r="BK49" s="18">
        <v>1</v>
      </c>
      <c r="BL49" s="18" t="str">
        <f t="shared" si="66"/>
        <v>7</v>
      </c>
      <c r="BM49" s="18" t="str">
        <f t="shared" si="67"/>
        <v>B+</v>
      </c>
      <c r="BN49" s="18">
        <f t="shared" si="68"/>
        <v>7</v>
      </c>
      <c r="BO49" s="18"/>
      <c r="BP49" s="9">
        <v>45</v>
      </c>
      <c r="BQ49" s="9">
        <v>41</v>
      </c>
      <c r="BR49" s="9"/>
      <c r="BS49" s="18">
        <f t="shared" si="69"/>
        <v>86</v>
      </c>
      <c r="BT49" s="18">
        <v>1</v>
      </c>
      <c r="BU49" s="18" t="str">
        <f t="shared" si="70"/>
        <v>9</v>
      </c>
      <c r="BV49" s="18" t="str">
        <f t="shared" si="71"/>
        <v>A+</v>
      </c>
      <c r="BW49" s="18">
        <f t="shared" si="72"/>
        <v>9</v>
      </c>
      <c r="BX49" s="18"/>
      <c r="BY49" s="18"/>
      <c r="BZ49" s="18">
        <f t="shared" si="73"/>
        <v>166</v>
      </c>
      <c r="CA49" s="19">
        <f t="shared" si="74"/>
        <v>8.3000000000000007</v>
      </c>
      <c r="CB49" s="28" t="str">
        <f t="shared" si="75"/>
        <v>A+</v>
      </c>
      <c r="CC49" s="27">
        <f t="shared" si="76"/>
        <v>78.850000000000009</v>
      </c>
      <c r="CD49" s="27"/>
      <c r="CE49" s="28">
        <f t="shared" si="77"/>
        <v>615</v>
      </c>
      <c r="CF49" s="28">
        <f t="shared" si="78"/>
        <v>76.875</v>
      </c>
      <c r="CG49" s="27"/>
      <c r="CH49" s="27"/>
      <c r="CI49" s="27" t="str">
        <f t="shared" si="79"/>
        <v>FCD</v>
      </c>
    </row>
    <row r="50" spans="1:87" ht="15.75" customHeight="1" x14ac:dyDescent="0.3">
      <c r="A50" s="35">
        <v>1</v>
      </c>
      <c r="B50" s="37" t="s">
        <v>303</v>
      </c>
      <c r="C50" s="44" t="s">
        <v>304</v>
      </c>
      <c r="D50" s="47" t="s">
        <v>31</v>
      </c>
      <c r="E50" s="9">
        <v>43</v>
      </c>
      <c r="F50" s="9">
        <v>26</v>
      </c>
      <c r="G50" s="9"/>
      <c r="H50" s="18">
        <f t="shared" si="41"/>
        <v>69</v>
      </c>
      <c r="I50" s="18">
        <v>4</v>
      </c>
      <c r="J50" s="18" t="str">
        <f t="shared" si="42"/>
        <v>7</v>
      </c>
      <c r="K50" s="18" t="str">
        <f t="shared" si="43"/>
        <v>B+</v>
      </c>
      <c r="L50" s="18">
        <f t="shared" si="44"/>
        <v>28</v>
      </c>
      <c r="M50" s="18"/>
      <c r="N50" s="9">
        <v>47</v>
      </c>
      <c r="O50" s="9">
        <v>27</v>
      </c>
      <c r="P50" s="9"/>
      <c r="Q50" s="18">
        <f t="shared" si="45"/>
        <v>74</v>
      </c>
      <c r="R50" s="18">
        <v>4</v>
      </c>
      <c r="S50" s="18" t="str">
        <f t="shared" si="46"/>
        <v>8</v>
      </c>
      <c r="T50" s="18" t="str">
        <f t="shared" si="47"/>
        <v>A</v>
      </c>
      <c r="U50" s="18">
        <f t="shared" si="48"/>
        <v>32</v>
      </c>
      <c r="V50" s="18"/>
      <c r="W50" s="9">
        <v>45</v>
      </c>
      <c r="X50" s="9">
        <v>45</v>
      </c>
      <c r="Y50" s="18"/>
      <c r="Z50" s="18">
        <f t="shared" si="49"/>
        <v>90</v>
      </c>
      <c r="AA50" s="18">
        <v>3</v>
      </c>
      <c r="AB50" s="18" t="str">
        <f t="shared" si="50"/>
        <v>10</v>
      </c>
      <c r="AC50" s="18" t="str">
        <f t="shared" si="51"/>
        <v>O</v>
      </c>
      <c r="AD50" s="18">
        <f t="shared" si="52"/>
        <v>30</v>
      </c>
      <c r="AE50" s="18"/>
      <c r="AF50" s="46">
        <v>40</v>
      </c>
      <c r="AG50" s="46">
        <v>32</v>
      </c>
      <c r="AH50" s="9"/>
      <c r="AI50" s="18">
        <f t="shared" si="53"/>
        <v>72</v>
      </c>
      <c r="AJ50" s="18">
        <v>3</v>
      </c>
      <c r="AK50" s="18" t="str">
        <f t="shared" si="54"/>
        <v>8</v>
      </c>
      <c r="AL50" s="18" t="str">
        <f t="shared" si="55"/>
        <v>A</v>
      </c>
      <c r="AM50" s="18">
        <f t="shared" si="56"/>
        <v>24</v>
      </c>
      <c r="AN50" s="18"/>
      <c r="AO50" s="46">
        <v>43</v>
      </c>
      <c r="AP50" s="46">
        <v>31</v>
      </c>
      <c r="AQ50" s="9"/>
      <c r="AR50" s="18">
        <f t="shared" si="57"/>
        <v>74</v>
      </c>
      <c r="AS50" s="18">
        <v>3</v>
      </c>
      <c r="AT50" s="18" t="str">
        <f t="shared" si="58"/>
        <v>8</v>
      </c>
      <c r="AU50" s="18" t="str">
        <f t="shared" si="59"/>
        <v>A</v>
      </c>
      <c r="AV50" s="18">
        <f t="shared" si="60"/>
        <v>24</v>
      </c>
      <c r="AW50" s="18"/>
      <c r="AX50" s="9">
        <v>46</v>
      </c>
      <c r="AY50" s="9">
        <v>30</v>
      </c>
      <c r="AZ50" s="9"/>
      <c r="BA50" s="18">
        <f t="shared" si="61"/>
        <v>76</v>
      </c>
      <c r="BB50" s="18">
        <v>1</v>
      </c>
      <c r="BC50" s="18" t="str">
        <f t="shared" si="62"/>
        <v>8</v>
      </c>
      <c r="BD50" s="18" t="str">
        <f t="shared" si="63"/>
        <v>A</v>
      </c>
      <c r="BE50" s="18">
        <f t="shared" si="64"/>
        <v>8</v>
      </c>
      <c r="BF50" s="43" t="s">
        <v>32</v>
      </c>
      <c r="BG50" s="9">
        <v>49</v>
      </c>
      <c r="BH50" s="9">
        <v>49</v>
      </c>
      <c r="BI50" s="9"/>
      <c r="BJ50" s="18">
        <f t="shared" si="65"/>
        <v>98</v>
      </c>
      <c r="BK50" s="18">
        <v>1</v>
      </c>
      <c r="BL50" s="18" t="str">
        <f t="shared" si="66"/>
        <v>10</v>
      </c>
      <c r="BM50" s="18" t="str">
        <f t="shared" si="67"/>
        <v>O</v>
      </c>
      <c r="BN50" s="18">
        <f t="shared" si="68"/>
        <v>10</v>
      </c>
      <c r="BO50" s="18"/>
      <c r="BP50" s="9">
        <v>46</v>
      </c>
      <c r="BQ50" s="9">
        <v>40</v>
      </c>
      <c r="BR50" s="9"/>
      <c r="BS50" s="18">
        <f t="shared" si="69"/>
        <v>86</v>
      </c>
      <c r="BT50" s="18">
        <v>1</v>
      </c>
      <c r="BU50" s="18" t="str">
        <f t="shared" si="70"/>
        <v>9</v>
      </c>
      <c r="BV50" s="18" t="str">
        <f t="shared" si="71"/>
        <v>A+</v>
      </c>
      <c r="BW50" s="18">
        <f t="shared" si="72"/>
        <v>9</v>
      </c>
      <c r="BX50" s="18"/>
      <c r="BY50" s="18"/>
      <c r="BZ50" s="18">
        <f t="shared" si="73"/>
        <v>165</v>
      </c>
      <c r="CA50" s="19">
        <f t="shared" si="74"/>
        <v>8.25</v>
      </c>
      <c r="CB50" s="28" t="str">
        <f t="shared" si="75"/>
        <v>A+</v>
      </c>
      <c r="CC50" s="27">
        <f t="shared" si="76"/>
        <v>78.375</v>
      </c>
      <c r="CD50" s="27"/>
      <c r="CE50" s="28">
        <f t="shared" si="77"/>
        <v>639</v>
      </c>
      <c r="CF50" s="28">
        <f t="shared" si="78"/>
        <v>79.875</v>
      </c>
      <c r="CG50" s="27"/>
      <c r="CH50" s="27"/>
      <c r="CI50" s="27" t="str">
        <f t="shared" si="79"/>
        <v>FCD</v>
      </c>
    </row>
    <row r="51" spans="1:87" ht="15.75" customHeight="1" x14ac:dyDescent="0.3">
      <c r="A51" s="35">
        <f>A50+1</f>
        <v>2</v>
      </c>
      <c r="B51" s="37" t="s">
        <v>305</v>
      </c>
      <c r="C51" s="44" t="s">
        <v>306</v>
      </c>
      <c r="D51" s="47" t="s">
        <v>31</v>
      </c>
      <c r="E51" s="9">
        <v>43</v>
      </c>
      <c r="F51" s="9">
        <v>34</v>
      </c>
      <c r="G51" s="9"/>
      <c r="H51" s="18">
        <f t="shared" si="41"/>
        <v>77</v>
      </c>
      <c r="I51" s="18">
        <v>4</v>
      </c>
      <c r="J51" s="18" t="str">
        <f t="shared" si="42"/>
        <v>8</v>
      </c>
      <c r="K51" s="18" t="str">
        <f t="shared" si="43"/>
        <v>A</v>
      </c>
      <c r="L51" s="18">
        <f t="shared" si="44"/>
        <v>32</v>
      </c>
      <c r="M51" s="18"/>
      <c r="N51" s="9">
        <v>43</v>
      </c>
      <c r="O51" s="9">
        <v>35</v>
      </c>
      <c r="P51" s="9"/>
      <c r="Q51" s="18">
        <f t="shared" si="45"/>
        <v>78</v>
      </c>
      <c r="R51" s="18">
        <v>4</v>
      </c>
      <c r="S51" s="18" t="str">
        <f t="shared" si="46"/>
        <v>8</v>
      </c>
      <c r="T51" s="18" t="str">
        <f t="shared" si="47"/>
        <v>A</v>
      </c>
      <c r="U51" s="18">
        <f t="shared" si="48"/>
        <v>32</v>
      </c>
      <c r="V51" s="18"/>
      <c r="W51" s="9">
        <v>48</v>
      </c>
      <c r="X51" s="9">
        <v>40</v>
      </c>
      <c r="Y51" s="18"/>
      <c r="Z51" s="18">
        <f t="shared" si="49"/>
        <v>88</v>
      </c>
      <c r="AA51" s="18">
        <v>3</v>
      </c>
      <c r="AB51" s="18" t="str">
        <f t="shared" si="50"/>
        <v>9</v>
      </c>
      <c r="AC51" s="18" t="str">
        <f t="shared" si="51"/>
        <v>A+</v>
      </c>
      <c r="AD51" s="18">
        <f t="shared" si="52"/>
        <v>27</v>
      </c>
      <c r="AE51" s="18"/>
      <c r="AF51" s="46">
        <v>41</v>
      </c>
      <c r="AG51" s="46">
        <v>36</v>
      </c>
      <c r="AH51" s="9"/>
      <c r="AI51" s="18">
        <f t="shared" si="53"/>
        <v>77</v>
      </c>
      <c r="AJ51" s="18">
        <v>3</v>
      </c>
      <c r="AK51" s="18" t="str">
        <f t="shared" si="54"/>
        <v>8</v>
      </c>
      <c r="AL51" s="18" t="str">
        <f t="shared" si="55"/>
        <v>A</v>
      </c>
      <c r="AM51" s="18">
        <f t="shared" si="56"/>
        <v>24</v>
      </c>
      <c r="AN51" s="18"/>
      <c r="AO51" s="46">
        <v>45</v>
      </c>
      <c r="AP51" s="46">
        <v>26</v>
      </c>
      <c r="AQ51" s="9"/>
      <c r="AR51" s="18">
        <f t="shared" si="57"/>
        <v>71</v>
      </c>
      <c r="AS51" s="18">
        <v>3</v>
      </c>
      <c r="AT51" s="18" t="str">
        <f t="shared" si="58"/>
        <v>8</v>
      </c>
      <c r="AU51" s="18" t="str">
        <f t="shared" si="59"/>
        <v>A</v>
      </c>
      <c r="AV51" s="18">
        <f t="shared" si="60"/>
        <v>24</v>
      </c>
      <c r="AW51" s="18"/>
      <c r="AX51" s="9">
        <v>46</v>
      </c>
      <c r="AY51" s="9">
        <v>25</v>
      </c>
      <c r="AZ51" s="9"/>
      <c r="BA51" s="18">
        <f t="shared" si="61"/>
        <v>71</v>
      </c>
      <c r="BB51" s="18">
        <v>1</v>
      </c>
      <c r="BC51" s="18" t="str">
        <f t="shared" si="62"/>
        <v>8</v>
      </c>
      <c r="BD51" s="18" t="str">
        <f t="shared" si="63"/>
        <v>A</v>
      </c>
      <c r="BE51" s="18">
        <f t="shared" si="64"/>
        <v>8</v>
      </c>
      <c r="BF51" s="43" t="s">
        <v>35</v>
      </c>
      <c r="BG51" s="9">
        <v>46</v>
      </c>
      <c r="BH51" s="9">
        <v>42</v>
      </c>
      <c r="BI51" s="9"/>
      <c r="BJ51" s="18">
        <f t="shared" si="65"/>
        <v>88</v>
      </c>
      <c r="BK51" s="18">
        <v>1</v>
      </c>
      <c r="BL51" s="18" t="str">
        <f t="shared" si="66"/>
        <v>9</v>
      </c>
      <c r="BM51" s="18" t="str">
        <f t="shared" si="67"/>
        <v>A+</v>
      </c>
      <c r="BN51" s="18">
        <f t="shared" si="68"/>
        <v>9</v>
      </c>
      <c r="BO51" s="18"/>
      <c r="BP51" s="9">
        <v>46</v>
      </c>
      <c r="BQ51" s="9">
        <v>38</v>
      </c>
      <c r="BR51" s="9"/>
      <c r="BS51" s="18">
        <f t="shared" si="69"/>
        <v>84</v>
      </c>
      <c r="BT51" s="18">
        <v>1</v>
      </c>
      <c r="BU51" s="18" t="str">
        <f t="shared" si="70"/>
        <v>9</v>
      </c>
      <c r="BV51" s="18" t="str">
        <f t="shared" si="71"/>
        <v>A+</v>
      </c>
      <c r="BW51" s="18">
        <f t="shared" si="72"/>
        <v>9</v>
      </c>
      <c r="BX51" s="18"/>
      <c r="BY51" s="18"/>
      <c r="BZ51" s="18">
        <f t="shared" si="73"/>
        <v>165</v>
      </c>
      <c r="CA51" s="19">
        <f t="shared" si="74"/>
        <v>8.25</v>
      </c>
      <c r="CB51" s="28" t="str">
        <f t="shared" si="75"/>
        <v>A+</v>
      </c>
      <c r="CC51" s="27">
        <f t="shared" si="76"/>
        <v>78.375</v>
      </c>
      <c r="CD51" s="27"/>
      <c r="CE51" s="28">
        <f t="shared" si="77"/>
        <v>634</v>
      </c>
      <c r="CF51" s="28">
        <f t="shared" si="78"/>
        <v>79.25</v>
      </c>
      <c r="CG51" s="27"/>
      <c r="CH51" s="27"/>
      <c r="CI51" s="27" t="str">
        <f t="shared" si="79"/>
        <v>FCD</v>
      </c>
    </row>
    <row r="52" spans="1:87" ht="15.75" customHeight="1" x14ac:dyDescent="0.3">
      <c r="A52" s="35">
        <f>A51+1</f>
        <v>3</v>
      </c>
      <c r="B52" s="37" t="s">
        <v>307</v>
      </c>
      <c r="C52" s="44" t="s">
        <v>308</v>
      </c>
      <c r="D52" s="47" t="s">
        <v>31</v>
      </c>
      <c r="E52" s="9">
        <v>46</v>
      </c>
      <c r="F52" s="9">
        <v>31</v>
      </c>
      <c r="G52" s="9"/>
      <c r="H52" s="18">
        <f t="shared" si="41"/>
        <v>77</v>
      </c>
      <c r="I52" s="18">
        <v>4</v>
      </c>
      <c r="J52" s="18" t="str">
        <f t="shared" si="42"/>
        <v>8</v>
      </c>
      <c r="K52" s="18" t="str">
        <f t="shared" si="43"/>
        <v>A</v>
      </c>
      <c r="L52" s="18">
        <f t="shared" si="44"/>
        <v>32</v>
      </c>
      <c r="M52" s="18"/>
      <c r="N52" s="9">
        <v>42</v>
      </c>
      <c r="O52" s="9">
        <v>22</v>
      </c>
      <c r="P52" s="9"/>
      <c r="Q52" s="18">
        <f t="shared" si="45"/>
        <v>64</v>
      </c>
      <c r="R52" s="18">
        <v>4</v>
      </c>
      <c r="S52" s="18" t="str">
        <f t="shared" si="46"/>
        <v>7</v>
      </c>
      <c r="T52" s="18" t="str">
        <f t="shared" si="47"/>
        <v>B+</v>
      </c>
      <c r="U52" s="18">
        <f t="shared" si="48"/>
        <v>28</v>
      </c>
      <c r="V52" s="18"/>
      <c r="W52" s="9">
        <v>50</v>
      </c>
      <c r="X52" s="9">
        <v>48</v>
      </c>
      <c r="Y52" s="18"/>
      <c r="Z52" s="18">
        <f t="shared" si="49"/>
        <v>98</v>
      </c>
      <c r="AA52" s="18">
        <v>3</v>
      </c>
      <c r="AB52" s="18" t="str">
        <f t="shared" si="50"/>
        <v>10</v>
      </c>
      <c r="AC52" s="18" t="str">
        <f t="shared" si="51"/>
        <v>O</v>
      </c>
      <c r="AD52" s="18">
        <f t="shared" si="52"/>
        <v>30</v>
      </c>
      <c r="AE52" s="18"/>
      <c r="AF52" s="46">
        <v>43</v>
      </c>
      <c r="AG52" s="46">
        <v>36</v>
      </c>
      <c r="AH52" s="9"/>
      <c r="AI52" s="18">
        <f t="shared" si="53"/>
        <v>79</v>
      </c>
      <c r="AJ52" s="18">
        <v>3</v>
      </c>
      <c r="AK52" s="18" t="str">
        <f t="shared" si="54"/>
        <v>8</v>
      </c>
      <c r="AL52" s="18" t="str">
        <f t="shared" si="55"/>
        <v>A</v>
      </c>
      <c r="AM52" s="18">
        <f t="shared" si="56"/>
        <v>24</v>
      </c>
      <c r="AN52" s="18"/>
      <c r="AO52" s="46">
        <v>49</v>
      </c>
      <c r="AP52" s="46">
        <v>22</v>
      </c>
      <c r="AQ52" s="9"/>
      <c r="AR52" s="18">
        <f t="shared" si="57"/>
        <v>71</v>
      </c>
      <c r="AS52" s="18">
        <v>3</v>
      </c>
      <c r="AT52" s="18" t="str">
        <f t="shared" si="58"/>
        <v>8</v>
      </c>
      <c r="AU52" s="18" t="str">
        <f t="shared" si="59"/>
        <v>A</v>
      </c>
      <c r="AV52" s="18">
        <f t="shared" si="60"/>
        <v>24</v>
      </c>
      <c r="AW52" s="18"/>
      <c r="AX52" s="9">
        <v>46</v>
      </c>
      <c r="AY52" s="9">
        <v>36</v>
      </c>
      <c r="AZ52" s="9"/>
      <c r="BA52" s="18">
        <f t="shared" si="61"/>
        <v>82</v>
      </c>
      <c r="BB52" s="18">
        <v>1</v>
      </c>
      <c r="BC52" s="18" t="str">
        <f t="shared" si="62"/>
        <v>9</v>
      </c>
      <c r="BD52" s="18" t="str">
        <f t="shared" si="63"/>
        <v>A+</v>
      </c>
      <c r="BE52" s="18">
        <f t="shared" si="64"/>
        <v>9</v>
      </c>
      <c r="BF52" s="43" t="s">
        <v>35</v>
      </c>
      <c r="BG52" s="9">
        <v>46</v>
      </c>
      <c r="BH52" s="9">
        <v>35</v>
      </c>
      <c r="BI52" s="9"/>
      <c r="BJ52" s="18">
        <f t="shared" si="65"/>
        <v>81</v>
      </c>
      <c r="BK52" s="18">
        <v>1</v>
      </c>
      <c r="BL52" s="18" t="str">
        <f t="shared" si="66"/>
        <v>9</v>
      </c>
      <c r="BM52" s="18" t="str">
        <f t="shared" si="67"/>
        <v>A+</v>
      </c>
      <c r="BN52" s="18">
        <f t="shared" si="68"/>
        <v>9</v>
      </c>
      <c r="BO52" s="18"/>
      <c r="BP52" s="9">
        <v>44</v>
      </c>
      <c r="BQ52" s="9">
        <v>36</v>
      </c>
      <c r="BR52" s="9"/>
      <c r="BS52" s="18">
        <f t="shared" si="69"/>
        <v>80</v>
      </c>
      <c r="BT52" s="18">
        <v>1</v>
      </c>
      <c r="BU52" s="18" t="str">
        <f t="shared" si="70"/>
        <v>9</v>
      </c>
      <c r="BV52" s="18" t="str">
        <f t="shared" si="71"/>
        <v>A+</v>
      </c>
      <c r="BW52" s="18">
        <f t="shared" si="72"/>
        <v>9</v>
      </c>
      <c r="BX52" s="18"/>
      <c r="BY52" s="18"/>
      <c r="BZ52" s="18">
        <f t="shared" si="73"/>
        <v>165</v>
      </c>
      <c r="CA52" s="19">
        <f t="shared" si="74"/>
        <v>8.25</v>
      </c>
      <c r="CB52" s="28" t="str">
        <f t="shared" si="75"/>
        <v>A+</v>
      </c>
      <c r="CC52" s="27">
        <f t="shared" si="76"/>
        <v>78.375</v>
      </c>
      <c r="CD52" s="27"/>
      <c r="CE52" s="28">
        <f t="shared" si="77"/>
        <v>632</v>
      </c>
      <c r="CF52" s="28">
        <f t="shared" si="78"/>
        <v>79</v>
      </c>
      <c r="CG52" s="27"/>
      <c r="CH52" s="27"/>
      <c r="CI52" s="27" t="str">
        <f t="shared" si="79"/>
        <v>FCD</v>
      </c>
    </row>
    <row r="53" spans="1:87" ht="15.75" customHeight="1" x14ac:dyDescent="0.3">
      <c r="A53" s="35">
        <f>A52+1</f>
        <v>4</v>
      </c>
      <c r="B53" s="37" t="s">
        <v>309</v>
      </c>
      <c r="C53" s="44" t="s">
        <v>310</v>
      </c>
      <c r="D53" s="47" t="s">
        <v>31</v>
      </c>
      <c r="E53" s="9">
        <v>44</v>
      </c>
      <c r="F53" s="9">
        <v>37</v>
      </c>
      <c r="G53" s="9"/>
      <c r="H53" s="18">
        <f t="shared" si="41"/>
        <v>81</v>
      </c>
      <c r="I53" s="18">
        <v>4</v>
      </c>
      <c r="J53" s="18" t="str">
        <f t="shared" si="42"/>
        <v>9</v>
      </c>
      <c r="K53" s="18" t="str">
        <f t="shared" si="43"/>
        <v>A+</v>
      </c>
      <c r="L53" s="18">
        <f t="shared" si="44"/>
        <v>36</v>
      </c>
      <c r="M53" s="18"/>
      <c r="N53" s="9">
        <v>44</v>
      </c>
      <c r="O53" s="9">
        <v>34</v>
      </c>
      <c r="P53" s="9"/>
      <c r="Q53" s="18">
        <f t="shared" si="45"/>
        <v>78</v>
      </c>
      <c r="R53" s="18">
        <v>4</v>
      </c>
      <c r="S53" s="18" t="str">
        <f t="shared" si="46"/>
        <v>8</v>
      </c>
      <c r="T53" s="18" t="str">
        <f t="shared" si="47"/>
        <v>A</v>
      </c>
      <c r="U53" s="18">
        <f t="shared" si="48"/>
        <v>32</v>
      </c>
      <c r="V53" s="18"/>
      <c r="W53" s="9">
        <v>45</v>
      </c>
      <c r="X53" s="9">
        <v>44</v>
      </c>
      <c r="Y53" s="18"/>
      <c r="Z53" s="18">
        <f t="shared" si="49"/>
        <v>89</v>
      </c>
      <c r="AA53" s="18">
        <v>3</v>
      </c>
      <c r="AB53" s="18" t="str">
        <f t="shared" si="50"/>
        <v>9</v>
      </c>
      <c r="AC53" s="18" t="str">
        <f t="shared" si="51"/>
        <v>A+</v>
      </c>
      <c r="AD53" s="18">
        <f t="shared" si="52"/>
        <v>27</v>
      </c>
      <c r="AE53" s="18"/>
      <c r="AF53" s="46">
        <v>40</v>
      </c>
      <c r="AG53" s="46">
        <v>33</v>
      </c>
      <c r="AH53" s="9"/>
      <c r="AI53" s="18">
        <f t="shared" si="53"/>
        <v>73</v>
      </c>
      <c r="AJ53" s="18">
        <v>3</v>
      </c>
      <c r="AK53" s="18" t="str">
        <f t="shared" si="54"/>
        <v>8</v>
      </c>
      <c r="AL53" s="18" t="str">
        <f t="shared" si="55"/>
        <v>A</v>
      </c>
      <c r="AM53" s="18">
        <f t="shared" si="56"/>
        <v>24</v>
      </c>
      <c r="AN53" s="18"/>
      <c r="AO53" s="46">
        <v>40</v>
      </c>
      <c r="AP53" s="46">
        <v>28</v>
      </c>
      <c r="AQ53" s="9"/>
      <c r="AR53" s="18">
        <f t="shared" si="57"/>
        <v>68</v>
      </c>
      <c r="AS53" s="18">
        <v>3</v>
      </c>
      <c r="AT53" s="18" t="str">
        <f t="shared" si="58"/>
        <v>7</v>
      </c>
      <c r="AU53" s="18" t="str">
        <f t="shared" si="59"/>
        <v>B+</v>
      </c>
      <c r="AV53" s="18">
        <f t="shared" si="60"/>
        <v>21</v>
      </c>
      <c r="AW53" s="18"/>
      <c r="AX53" s="9">
        <v>45</v>
      </c>
      <c r="AY53" s="9">
        <v>33</v>
      </c>
      <c r="AZ53" s="9"/>
      <c r="BA53" s="18">
        <f t="shared" si="61"/>
        <v>78</v>
      </c>
      <c r="BB53" s="18">
        <v>1</v>
      </c>
      <c r="BC53" s="18" t="str">
        <f t="shared" si="62"/>
        <v>8</v>
      </c>
      <c r="BD53" s="18" t="str">
        <f t="shared" si="63"/>
        <v>A</v>
      </c>
      <c r="BE53" s="18">
        <f t="shared" si="64"/>
        <v>8</v>
      </c>
      <c r="BF53" s="43" t="s">
        <v>35</v>
      </c>
      <c r="BG53" s="9">
        <v>43</v>
      </c>
      <c r="BH53" s="9">
        <v>29</v>
      </c>
      <c r="BI53" s="9"/>
      <c r="BJ53" s="18">
        <f t="shared" si="65"/>
        <v>72</v>
      </c>
      <c r="BK53" s="18">
        <v>1</v>
      </c>
      <c r="BL53" s="18" t="str">
        <f t="shared" si="66"/>
        <v>8</v>
      </c>
      <c r="BM53" s="18" t="str">
        <f t="shared" si="67"/>
        <v>A</v>
      </c>
      <c r="BN53" s="18">
        <f t="shared" si="68"/>
        <v>8</v>
      </c>
      <c r="BO53" s="18"/>
      <c r="BP53" s="9">
        <v>48</v>
      </c>
      <c r="BQ53" s="9">
        <v>41</v>
      </c>
      <c r="BR53" s="9"/>
      <c r="BS53" s="18">
        <f t="shared" si="69"/>
        <v>89</v>
      </c>
      <c r="BT53" s="18">
        <v>1</v>
      </c>
      <c r="BU53" s="18" t="str">
        <f t="shared" si="70"/>
        <v>9</v>
      </c>
      <c r="BV53" s="18" t="str">
        <f t="shared" si="71"/>
        <v>A+</v>
      </c>
      <c r="BW53" s="18">
        <f t="shared" si="72"/>
        <v>9</v>
      </c>
      <c r="BX53" s="18"/>
      <c r="BY53" s="18"/>
      <c r="BZ53" s="18">
        <f t="shared" si="73"/>
        <v>165</v>
      </c>
      <c r="CA53" s="19">
        <f t="shared" si="74"/>
        <v>8.25</v>
      </c>
      <c r="CB53" s="28" t="str">
        <f t="shared" si="75"/>
        <v>A+</v>
      </c>
      <c r="CC53" s="27">
        <f t="shared" si="76"/>
        <v>78.375</v>
      </c>
      <c r="CD53" s="27"/>
      <c r="CE53" s="28">
        <f t="shared" si="77"/>
        <v>628</v>
      </c>
      <c r="CF53" s="28">
        <f t="shared" si="78"/>
        <v>78.5</v>
      </c>
      <c r="CG53" s="27"/>
      <c r="CH53" s="27"/>
      <c r="CI53" s="27" t="str">
        <f t="shared" si="79"/>
        <v>FCD</v>
      </c>
    </row>
    <row r="54" spans="1:87" ht="15.75" customHeight="1" x14ac:dyDescent="0.3">
      <c r="A54" s="35">
        <f>A53+1</f>
        <v>5</v>
      </c>
      <c r="B54" s="37" t="s">
        <v>311</v>
      </c>
      <c r="C54" s="45" t="s">
        <v>312</v>
      </c>
      <c r="D54" s="47" t="s">
        <v>31</v>
      </c>
      <c r="E54" s="9">
        <v>49</v>
      </c>
      <c r="F54" s="9">
        <v>31</v>
      </c>
      <c r="G54" s="9"/>
      <c r="H54" s="18">
        <f t="shared" si="41"/>
        <v>80</v>
      </c>
      <c r="I54" s="18">
        <v>4</v>
      </c>
      <c r="J54" s="18" t="str">
        <f t="shared" si="42"/>
        <v>9</v>
      </c>
      <c r="K54" s="18" t="str">
        <f t="shared" si="43"/>
        <v>A+</v>
      </c>
      <c r="L54" s="18">
        <f t="shared" si="44"/>
        <v>36</v>
      </c>
      <c r="M54" s="18"/>
      <c r="N54" s="9">
        <v>45</v>
      </c>
      <c r="O54" s="9">
        <v>22</v>
      </c>
      <c r="P54" s="9"/>
      <c r="Q54" s="18">
        <f t="shared" si="45"/>
        <v>67</v>
      </c>
      <c r="R54" s="18">
        <v>4</v>
      </c>
      <c r="S54" s="18" t="str">
        <f t="shared" si="46"/>
        <v>7</v>
      </c>
      <c r="T54" s="18" t="str">
        <f t="shared" si="47"/>
        <v>B+</v>
      </c>
      <c r="U54" s="18">
        <f t="shared" si="48"/>
        <v>28</v>
      </c>
      <c r="V54" s="18"/>
      <c r="W54" s="9">
        <v>45</v>
      </c>
      <c r="X54" s="9">
        <v>42</v>
      </c>
      <c r="Y54" s="18"/>
      <c r="Z54" s="18">
        <f t="shared" si="49"/>
        <v>87</v>
      </c>
      <c r="AA54" s="18">
        <v>3</v>
      </c>
      <c r="AB54" s="18" t="str">
        <f t="shared" si="50"/>
        <v>9</v>
      </c>
      <c r="AC54" s="18" t="str">
        <f t="shared" si="51"/>
        <v>A+</v>
      </c>
      <c r="AD54" s="18">
        <f t="shared" si="52"/>
        <v>27</v>
      </c>
      <c r="AE54" s="18"/>
      <c r="AF54" s="46">
        <v>41</v>
      </c>
      <c r="AG54" s="46">
        <v>32</v>
      </c>
      <c r="AH54" s="9"/>
      <c r="AI54" s="18">
        <f t="shared" si="53"/>
        <v>73</v>
      </c>
      <c r="AJ54" s="18">
        <v>3</v>
      </c>
      <c r="AK54" s="18" t="str">
        <f t="shared" si="54"/>
        <v>8</v>
      </c>
      <c r="AL54" s="18" t="str">
        <f t="shared" si="55"/>
        <v>A</v>
      </c>
      <c r="AM54" s="18">
        <f t="shared" si="56"/>
        <v>24</v>
      </c>
      <c r="AN54" s="18"/>
      <c r="AO54" s="46">
        <v>41</v>
      </c>
      <c r="AP54" s="46">
        <v>33</v>
      </c>
      <c r="AQ54" s="9"/>
      <c r="AR54" s="18">
        <f t="shared" si="57"/>
        <v>74</v>
      </c>
      <c r="AS54" s="18">
        <v>3</v>
      </c>
      <c r="AT54" s="18" t="str">
        <f t="shared" si="58"/>
        <v>8</v>
      </c>
      <c r="AU54" s="18" t="str">
        <f t="shared" si="59"/>
        <v>A</v>
      </c>
      <c r="AV54" s="18">
        <f t="shared" si="60"/>
        <v>24</v>
      </c>
      <c r="AW54" s="18"/>
      <c r="AX54" s="9">
        <v>45</v>
      </c>
      <c r="AY54" s="9">
        <v>37</v>
      </c>
      <c r="AZ54" s="9"/>
      <c r="BA54" s="18">
        <f t="shared" si="61"/>
        <v>82</v>
      </c>
      <c r="BB54" s="18">
        <v>1</v>
      </c>
      <c r="BC54" s="18" t="str">
        <f t="shared" si="62"/>
        <v>9</v>
      </c>
      <c r="BD54" s="18" t="str">
        <f t="shared" si="63"/>
        <v>A+</v>
      </c>
      <c r="BE54" s="18">
        <f t="shared" si="64"/>
        <v>9</v>
      </c>
      <c r="BF54" s="43" t="s">
        <v>35</v>
      </c>
      <c r="BG54" s="9">
        <v>45</v>
      </c>
      <c r="BH54" s="9">
        <v>34</v>
      </c>
      <c r="BI54" s="9"/>
      <c r="BJ54" s="18">
        <f t="shared" si="65"/>
        <v>79</v>
      </c>
      <c r="BK54" s="18">
        <v>1</v>
      </c>
      <c r="BL54" s="18" t="str">
        <f t="shared" si="66"/>
        <v>8</v>
      </c>
      <c r="BM54" s="18" t="str">
        <f t="shared" si="67"/>
        <v>A</v>
      </c>
      <c r="BN54" s="18">
        <f t="shared" si="68"/>
        <v>8</v>
      </c>
      <c r="BO54" s="18"/>
      <c r="BP54" s="9">
        <v>41</v>
      </c>
      <c r="BQ54" s="9">
        <v>39</v>
      </c>
      <c r="BR54" s="9"/>
      <c r="BS54" s="18">
        <f t="shared" si="69"/>
        <v>80</v>
      </c>
      <c r="BT54" s="18">
        <v>1</v>
      </c>
      <c r="BU54" s="18" t="str">
        <f t="shared" si="70"/>
        <v>9</v>
      </c>
      <c r="BV54" s="18" t="str">
        <f t="shared" si="71"/>
        <v>A+</v>
      </c>
      <c r="BW54" s="18">
        <f t="shared" si="72"/>
        <v>9</v>
      </c>
      <c r="BX54" s="18"/>
      <c r="BY54" s="18"/>
      <c r="BZ54" s="18">
        <f t="shared" si="73"/>
        <v>165</v>
      </c>
      <c r="CA54" s="19">
        <f t="shared" si="74"/>
        <v>8.25</v>
      </c>
      <c r="CB54" s="28" t="str">
        <f t="shared" si="75"/>
        <v>A+</v>
      </c>
      <c r="CC54" s="27">
        <f t="shared" si="76"/>
        <v>78.375</v>
      </c>
      <c r="CD54" s="27"/>
      <c r="CE54" s="28">
        <f t="shared" si="77"/>
        <v>622</v>
      </c>
      <c r="CF54" s="28">
        <f t="shared" si="78"/>
        <v>77.75</v>
      </c>
      <c r="CG54" s="27"/>
      <c r="CH54" s="27"/>
      <c r="CI54" s="27" t="str">
        <f t="shared" si="79"/>
        <v>FCD</v>
      </c>
    </row>
    <row r="55" spans="1:87" ht="15.75" customHeight="1" x14ac:dyDescent="0.3">
      <c r="A55" s="35">
        <v>61</v>
      </c>
      <c r="B55" s="37" t="s">
        <v>313</v>
      </c>
      <c r="C55" s="44" t="s">
        <v>314</v>
      </c>
      <c r="D55" s="47" t="s">
        <v>31</v>
      </c>
      <c r="E55" s="9">
        <v>45</v>
      </c>
      <c r="F55" s="9">
        <v>19</v>
      </c>
      <c r="G55" s="25"/>
      <c r="H55" s="24">
        <f t="shared" si="41"/>
        <v>64</v>
      </c>
      <c r="I55" s="18">
        <v>4</v>
      </c>
      <c r="J55" s="18" t="str">
        <f t="shared" si="42"/>
        <v>7</v>
      </c>
      <c r="K55" s="18" t="str">
        <f t="shared" si="43"/>
        <v>B+</v>
      </c>
      <c r="L55" s="24">
        <f t="shared" si="44"/>
        <v>28</v>
      </c>
      <c r="M55" s="24"/>
      <c r="N55" s="25">
        <v>44</v>
      </c>
      <c r="O55" s="25">
        <v>30</v>
      </c>
      <c r="P55" s="25"/>
      <c r="Q55" s="24">
        <f t="shared" si="45"/>
        <v>74</v>
      </c>
      <c r="R55" s="18">
        <v>4</v>
      </c>
      <c r="S55" s="18" t="str">
        <f t="shared" si="46"/>
        <v>8</v>
      </c>
      <c r="T55" s="18" t="str">
        <f t="shared" si="47"/>
        <v>A</v>
      </c>
      <c r="U55" s="24">
        <f t="shared" si="48"/>
        <v>32</v>
      </c>
      <c r="V55" s="24"/>
      <c r="W55" s="25">
        <v>38</v>
      </c>
      <c r="X55" s="25">
        <v>46</v>
      </c>
      <c r="Y55" s="24"/>
      <c r="Z55" s="24">
        <f t="shared" si="49"/>
        <v>84</v>
      </c>
      <c r="AA55" s="24">
        <v>3</v>
      </c>
      <c r="AB55" s="18" t="str">
        <f t="shared" si="50"/>
        <v>9</v>
      </c>
      <c r="AC55" s="18" t="str">
        <f t="shared" si="51"/>
        <v>A+</v>
      </c>
      <c r="AD55" s="24">
        <f t="shared" si="52"/>
        <v>27</v>
      </c>
      <c r="AE55" s="24"/>
      <c r="AF55" s="46">
        <v>42</v>
      </c>
      <c r="AG55" s="46">
        <v>29</v>
      </c>
      <c r="AH55" s="25"/>
      <c r="AI55" s="24">
        <f t="shared" si="53"/>
        <v>71</v>
      </c>
      <c r="AJ55" s="24">
        <v>3</v>
      </c>
      <c r="AK55" s="18" t="str">
        <f t="shared" si="54"/>
        <v>8</v>
      </c>
      <c r="AL55" s="18" t="str">
        <f t="shared" si="55"/>
        <v>A</v>
      </c>
      <c r="AM55" s="24">
        <f t="shared" si="56"/>
        <v>24</v>
      </c>
      <c r="AN55" s="24"/>
      <c r="AO55" s="46">
        <v>48</v>
      </c>
      <c r="AP55" s="46">
        <v>36</v>
      </c>
      <c r="AQ55" s="25"/>
      <c r="AR55" s="24">
        <f t="shared" si="57"/>
        <v>84</v>
      </c>
      <c r="AS55" s="24">
        <v>3</v>
      </c>
      <c r="AT55" s="18" t="str">
        <f t="shared" si="58"/>
        <v>9</v>
      </c>
      <c r="AU55" s="18" t="str">
        <f t="shared" si="59"/>
        <v>A+</v>
      </c>
      <c r="AV55" s="24">
        <f t="shared" si="60"/>
        <v>27</v>
      </c>
      <c r="AW55" s="24"/>
      <c r="AX55" s="25">
        <v>44</v>
      </c>
      <c r="AY55" s="25">
        <v>32</v>
      </c>
      <c r="AZ55" s="25"/>
      <c r="BA55" s="24">
        <f t="shared" si="61"/>
        <v>76</v>
      </c>
      <c r="BB55" s="18">
        <v>1</v>
      </c>
      <c r="BC55" s="18" t="str">
        <f t="shared" si="62"/>
        <v>8</v>
      </c>
      <c r="BD55" s="18" t="str">
        <f t="shared" si="63"/>
        <v>A</v>
      </c>
      <c r="BE55" s="24">
        <f t="shared" si="64"/>
        <v>8</v>
      </c>
      <c r="BF55" s="43" t="s">
        <v>35</v>
      </c>
      <c r="BG55" s="9">
        <v>41</v>
      </c>
      <c r="BH55" s="9">
        <v>35</v>
      </c>
      <c r="BI55" s="25"/>
      <c r="BJ55" s="24">
        <f t="shared" si="65"/>
        <v>76</v>
      </c>
      <c r="BK55" s="18">
        <v>1</v>
      </c>
      <c r="BL55" s="18" t="str">
        <f t="shared" si="66"/>
        <v>8</v>
      </c>
      <c r="BM55" s="18" t="str">
        <f t="shared" si="67"/>
        <v>A</v>
      </c>
      <c r="BN55" s="24">
        <f t="shared" si="68"/>
        <v>8</v>
      </c>
      <c r="BO55" s="24"/>
      <c r="BP55" s="25">
        <v>44</v>
      </c>
      <c r="BQ55" s="25">
        <v>42</v>
      </c>
      <c r="BR55" s="25"/>
      <c r="BS55" s="24">
        <f t="shared" si="69"/>
        <v>86</v>
      </c>
      <c r="BT55" s="18">
        <v>1</v>
      </c>
      <c r="BU55" s="18" t="str">
        <f t="shared" si="70"/>
        <v>9</v>
      </c>
      <c r="BV55" s="18" t="str">
        <f t="shared" si="71"/>
        <v>A+</v>
      </c>
      <c r="BW55" s="24">
        <f t="shared" si="72"/>
        <v>9</v>
      </c>
      <c r="BX55" s="24"/>
      <c r="BY55" s="24"/>
      <c r="BZ55" s="18">
        <f t="shared" si="73"/>
        <v>163</v>
      </c>
      <c r="CA55" s="19">
        <f t="shared" si="74"/>
        <v>8.15</v>
      </c>
      <c r="CB55" s="28" t="str">
        <f t="shared" si="75"/>
        <v>A+</v>
      </c>
      <c r="CC55" s="27">
        <f t="shared" si="76"/>
        <v>77.424999999999997</v>
      </c>
      <c r="CD55" s="27"/>
      <c r="CE55" s="28">
        <f t="shared" si="77"/>
        <v>615</v>
      </c>
      <c r="CF55" s="28">
        <f t="shared" si="78"/>
        <v>76.875</v>
      </c>
      <c r="CG55" s="27"/>
      <c r="CH55" s="27"/>
      <c r="CI55" s="27" t="str">
        <f t="shared" si="79"/>
        <v>FCD</v>
      </c>
    </row>
    <row r="56" spans="1:87" ht="15.75" customHeight="1" x14ac:dyDescent="0.3">
      <c r="A56" s="35">
        <f t="shared" ref="A56:A70" si="80">A55+1</f>
        <v>62</v>
      </c>
      <c r="B56" s="37" t="s">
        <v>315</v>
      </c>
      <c r="C56" s="44" t="s">
        <v>316</v>
      </c>
      <c r="D56" s="47" t="s">
        <v>31</v>
      </c>
      <c r="E56" s="9">
        <v>46</v>
      </c>
      <c r="F56" s="9">
        <v>29</v>
      </c>
      <c r="G56" s="9"/>
      <c r="H56" s="18">
        <f t="shared" si="41"/>
        <v>75</v>
      </c>
      <c r="I56" s="18">
        <v>4</v>
      </c>
      <c r="J56" s="18" t="str">
        <f t="shared" si="42"/>
        <v>8</v>
      </c>
      <c r="K56" s="18" t="str">
        <f t="shared" si="43"/>
        <v>A</v>
      </c>
      <c r="L56" s="18">
        <f t="shared" si="44"/>
        <v>32</v>
      </c>
      <c r="M56" s="18"/>
      <c r="N56" s="9">
        <v>43</v>
      </c>
      <c r="O56" s="9">
        <v>29</v>
      </c>
      <c r="P56" s="9"/>
      <c r="Q56" s="18">
        <f t="shared" si="45"/>
        <v>72</v>
      </c>
      <c r="R56" s="18">
        <v>4</v>
      </c>
      <c r="S56" s="18" t="str">
        <f t="shared" si="46"/>
        <v>8</v>
      </c>
      <c r="T56" s="18" t="str">
        <f t="shared" si="47"/>
        <v>A</v>
      </c>
      <c r="U56" s="18">
        <f t="shared" si="48"/>
        <v>32</v>
      </c>
      <c r="V56" s="18"/>
      <c r="W56" s="9">
        <v>47</v>
      </c>
      <c r="X56" s="9">
        <v>40</v>
      </c>
      <c r="Y56" s="18"/>
      <c r="Z56" s="18">
        <f t="shared" si="49"/>
        <v>87</v>
      </c>
      <c r="AA56" s="18">
        <v>3</v>
      </c>
      <c r="AB56" s="18" t="str">
        <f t="shared" si="50"/>
        <v>9</v>
      </c>
      <c r="AC56" s="18" t="str">
        <f t="shared" si="51"/>
        <v>A+</v>
      </c>
      <c r="AD56" s="18">
        <f t="shared" si="52"/>
        <v>27</v>
      </c>
      <c r="AE56" s="18"/>
      <c r="AF56" s="46">
        <v>45</v>
      </c>
      <c r="AG56" s="46">
        <v>38</v>
      </c>
      <c r="AH56" s="9"/>
      <c r="AI56" s="18">
        <f t="shared" si="53"/>
        <v>83</v>
      </c>
      <c r="AJ56" s="18">
        <v>3</v>
      </c>
      <c r="AK56" s="18" t="str">
        <f t="shared" si="54"/>
        <v>9</v>
      </c>
      <c r="AL56" s="18" t="str">
        <f t="shared" si="55"/>
        <v>A+</v>
      </c>
      <c r="AM56" s="18">
        <f t="shared" si="56"/>
        <v>27</v>
      </c>
      <c r="AN56" s="18"/>
      <c r="AO56" s="46">
        <v>47</v>
      </c>
      <c r="AP56" s="46">
        <v>18</v>
      </c>
      <c r="AQ56" s="9"/>
      <c r="AR56" s="18">
        <f t="shared" si="57"/>
        <v>65</v>
      </c>
      <c r="AS56" s="18">
        <v>3</v>
      </c>
      <c r="AT56" s="18" t="str">
        <f t="shared" si="58"/>
        <v>7</v>
      </c>
      <c r="AU56" s="18" t="str">
        <f t="shared" si="59"/>
        <v>B+</v>
      </c>
      <c r="AV56" s="18">
        <f t="shared" si="60"/>
        <v>21</v>
      </c>
      <c r="AW56" s="18"/>
      <c r="AX56" s="9">
        <v>45</v>
      </c>
      <c r="AY56" s="9">
        <v>23</v>
      </c>
      <c r="AZ56" s="9"/>
      <c r="BA56" s="18">
        <f t="shared" si="61"/>
        <v>68</v>
      </c>
      <c r="BB56" s="18">
        <v>1</v>
      </c>
      <c r="BC56" s="18" t="str">
        <f t="shared" si="62"/>
        <v>7</v>
      </c>
      <c r="BD56" s="18" t="str">
        <f t="shared" si="63"/>
        <v>B+</v>
      </c>
      <c r="BE56" s="18">
        <f t="shared" si="64"/>
        <v>7</v>
      </c>
      <c r="BF56" s="43" t="s">
        <v>35</v>
      </c>
      <c r="BG56" s="9">
        <v>43</v>
      </c>
      <c r="BH56" s="9">
        <v>33</v>
      </c>
      <c r="BI56" s="9"/>
      <c r="BJ56" s="18">
        <f t="shared" si="65"/>
        <v>76</v>
      </c>
      <c r="BK56" s="18">
        <v>1</v>
      </c>
      <c r="BL56" s="18" t="str">
        <f t="shared" si="66"/>
        <v>8</v>
      </c>
      <c r="BM56" s="18" t="str">
        <f t="shared" si="67"/>
        <v>A</v>
      </c>
      <c r="BN56" s="18">
        <f t="shared" si="68"/>
        <v>8</v>
      </c>
      <c r="BO56" s="18"/>
      <c r="BP56" s="9">
        <v>44</v>
      </c>
      <c r="BQ56" s="9">
        <v>41</v>
      </c>
      <c r="BR56" s="9"/>
      <c r="BS56" s="18">
        <f t="shared" si="69"/>
        <v>85</v>
      </c>
      <c r="BT56" s="18">
        <v>1</v>
      </c>
      <c r="BU56" s="18" t="str">
        <f t="shared" si="70"/>
        <v>9</v>
      </c>
      <c r="BV56" s="18" t="str">
        <f t="shared" si="71"/>
        <v>A+</v>
      </c>
      <c r="BW56" s="18">
        <f t="shared" si="72"/>
        <v>9</v>
      </c>
      <c r="BX56" s="18"/>
      <c r="BY56" s="18"/>
      <c r="BZ56" s="18">
        <f t="shared" si="73"/>
        <v>163</v>
      </c>
      <c r="CA56" s="19">
        <f t="shared" si="74"/>
        <v>8.15</v>
      </c>
      <c r="CB56" s="28" t="str">
        <f t="shared" si="75"/>
        <v>A+</v>
      </c>
      <c r="CC56" s="27">
        <f t="shared" si="76"/>
        <v>77.424999999999997</v>
      </c>
      <c r="CD56" s="27"/>
      <c r="CE56" s="28">
        <f t="shared" si="77"/>
        <v>611</v>
      </c>
      <c r="CF56" s="28">
        <f t="shared" si="78"/>
        <v>76.375</v>
      </c>
      <c r="CG56" s="27"/>
      <c r="CH56" s="27"/>
      <c r="CI56" s="27" t="str">
        <f t="shared" si="79"/>
        <v>FCD</v>
      </c>
    </row>
    <row r="57" spans="1:87" ht="15.75" customHeight="1" x14ac:dyDescent="0.3">
      <c r="A57" s="35">
        <f t="shared" si="80"/>
        <v>63</v>
      </c>
      <c r="B57" s="37" t="s">
        <v>317</v>
      </c>
      <c r="C57" s="44" t="s">
        <v>318</v>
      </c>
      <c r="D57" s="47" t="s">
        <v>31</v>
      </c>
      <c r="E57" s="9">
        <v>45</v>
      </c>
      <c r="F57" s="9">
        <v>28</v>
      </c>
      <c r="G57" s="9"/>
      <c r="H57" s="18">
        <f t="shared" si="41"/>
        <v>73</v>
      </c>
      <c r="I57" s="18">
        <v>4</v>
      </c>
      <c r="J57" s="18" t="str">
        <f t="shared" si="42"/>
        <v>8</v>
      </c>
      <c r="K57" s="18" t="str">
        <f t="shared" si="43"/>
        <v>A</v>
      </c>
      <c r="L57" s="18">
        <f t="shared" si="44"/>
        <v>32</v>
      </c>
      <c r="M57" s="18"/>
      <c r="N57" s="9">
        <v>43</v>
      </c>
      <c r="O57" s="9">
        <v>30</v>
      </c>
      <c r="P57" s="9"/>
      <c r="Q57" s="18">
        <f t="shared" si="45"/>
        <v>73</v>
      </c>
      <c r="R57" s="18">
        <v>4</v>
      </c>
      <c r="S57" s="18" t="str">
        <f t="shared" si="46"/>
        <v>8</v>
      </c>
      <c r="T57" s="18" t="str">
        <f t="shared" si="47"/>
        <v>A</v>
      </c>
      <c r="U57" s="18">
        <f t="shared" si="48"/>
        <v>32</v>
      </c>
      <c r="V57" s="18"/>
      <c r="W57" s="9">
        <v>47</v>
      </c>
      <c r="X57" s="9">
        <v>42</v>
      </c>
      <c r="Y57" s="18"/>
      <c r="Z57" s="18">
        <f t="shared" si="49"/>
        <v>89</v>
      </c>
      <c r="AA57" s="18">
        <v>3</v>
      </c>
      <c r="AB57" s="18" t="str">
        <f t="shared" si="50"/>
        <v>9</v>
      </c>
      <c r="AC57" s="18" t="str">
        <f t="shared" si="51"/>
        <v>A+</v>
      </c>
      <c r="AD57" s="18">
        <f t="shared" si="52"/>
        <v>27</v>
      </c>
      <c r="AE57" s="18"/>
      <c r="AF57" s="46">
        <v>38</v>
      </c>
      <c r="AG57" s="46">
        <v>33</v>
      </c>
      <c r="AH57" s="9"/>
      <c r="AI57" s="18">
        <f t="shared" si="53"/>
        <v>71</v>
      </c>
      <c r="AJ57" s="18">
        <v>3</v>
      </c>
      <c r="AK57" s="18" t="str">
        <f t="shared" si="54"/>
        <v>8</v>
      </c>
      <c r="AL57" s="18" t="str">
        <f t="shared" si="55"/>
        <v>A</v>
      </c>
      <c r="AM57" s="18">
        <f t="shared" si="56"/>
        <v>24</v>
      </c>
      <c r="AN57" s="18"/>
      <c r="AO57" s="46">
        <v>46</v>
      </c>
      <c r="AP57" s="46">
        <v>28</v>
      </c>
      <c r="AQ57" s="9"/>
      <c r="AR57" s="18">
        <f t="shared" si="57"/>
        <v>74</v>
      </c>
      <c r="AS57" s="18">
        <v>3</v>
      </c>
      <c r="AT57" s="18" t="str">
        <f t="shared" si="58"/>
        <v>8</v>
      </c>
      <c r="AU57" s="18" t="str">
        <f t="shared" si="59"/>
        <v>A</v>
      </c>
      <c r="AV57" s="18">
        <f t="shared" si="60"/>
        <v>24</v>
      </c>
      <c r="AW57" s="18"/>
      <c r="AX57" s="9">
        <v>46</v>
      </c>
      <c r="AY57" s="9">
        <v>29</v>
      </c>
      <c r="AZ57" s="9"/>
      <c r="BA57" s="18">
        <f t="shared" si="61"/>
        <v>75</v>
      </c>
      <c r="BB57" s="18">
        <v>1</v>
      </c>
      <c r="BC57" s="18" t="str">
        <f t="shared" si="62"/>
        <v>8</v>
      </c>
      <c r="BD57" s="18" t="str">
        <f t="shared" si="63"/>
        <v>A</v>
      </c>
      <c r="BE57" s="18">
        <f t="shared" si="64"/>
        <v>8</v>
      </c>
      <c r="BF57" s="43" t="s">
        <v>35</v>
      </c>
      <c r="BG57" s="9">
        <v>47</v>
      </c>
      <c r="BH57" s="9">
        <v>19</v>
      </c>
      <c r="BI57" s="9"/>
      <c r="BJ57" s="18">
        <f t="shared" si="65"/>
        <v>66</v>
      </c>
      <c r="BK57" s="18">
        <v>1</v>
      </c>
      <c r="BL57" s="18" t="str">
        <f t="shared" si="66"/>
        <v>7</v>
      </c>
      <c r="BM57" s="18" t="str">
        <f t="shared" si="67"/>
        <v>B+</v>
      </c>
      <c r="BN57" s="18">
        <f t="shared" si="68"/>
        <v>7</v>
      </c>
      <c r="BO57" s="18"/>
      <c r="BP57" s="9">
        <v>44</v>
      </c>
      <c r="BQ57" s="9">
        <v>39</v>
      </c>
      <c r="BR57" s="9"/>
      <c r="BS57" s="18">
        <f t="shared" si="69"/>
        <v>83</v>
      </c>
      <c r="BT57" s="18">
        <v>1</v>
      </c>
      <c r="BU57" s="18" t="str">
        <f t="shared" si="70"/>
        <v>9</v>
      </c>
      <c r="BV57" s="18" t="str">
        <f t="shared" si="71"/>
        <v>A+</v>
      </c>
      <c r="BW57" s="18">
        <f t="shared" si="72"/>
        <v>9</v>
      </c>
      <c r="BX57" s="18"/>
      <c r="BY57" s="18"/>
      <c r="BZ57" s="18">
        <f t="shared" si="73"/>
        <v>163</v>
      </c>
      <c r="CA57" s="19">
        <f t="shared" si="74"/>
        <v>8.15</v>
      </c>
      <c r="CB57" s="28" t="str">
        <f t="shared" si="75"/>
        <v>A+</v>
      </c>
      <c r="CC57" s="27">
        <f t="shared" si="76"/>
        <v>77.424999999999997</v>
      </c>
      <c r="CD57" s="27"/>
      <c r="CE57" s="28">
        <f t="shared" si="77"/>
        <v>604</v>
      </c>
      <c r="CF57" s="28">
        <f t="shared" si="78"/>
        <v>75.5</v>
      </c>
      <c r="CG57" s="27"/>
      <c r="CH57" s="27"/>
      <c r="CI57" s="27" t="str">
        <f t="shared" si="79"/>
        <v>FCD</v>
      </c>
    </row>
    <row r="58" spans="1:87" ht="15.75" customHeight="1" x14ac:dyDescent="0.3">
      <c r="A58" s="35">
        <f t="shared" si="80"/>
        <v>64</v>
      </c>
      <c r="B58" s="37" t="s">
        <v>319</v>
      </c>
      <c r="C58" s="44" t="s">
        <v>320</v>
      </c>
      <c r="D58" s="47" t="s">
        <v>31</v>
      </c>
      <c r="E58" s="9">
        <v>48</v>
      </c>
      <c r="F58" s="9">
        <v>22</v>
      </c>
      <c r="G58" s="9"/>
      <c r="H58" s="18">
        <f t="shared" si="41"/>
        <v>70</v>
      </c>
      <c r="I58" s="18">
        <v>4</v>
      </c>
      <c r="J58" s="18" t="str">
        <f t="shared" si="42"/>
        <v>8</v>
      </c>
      <c r="K58" s="18" t="str">
        <f t="shared" si="43"/>
        <v>A</v>
      </c>
      <c r="L58" s="18">
        <f t="shared" si="44"/>
        <v>32</v>
      </c>
      <c r="M58" s="18"/>
      <c r="N58" s="9">
        <v>44</v>
      </c>
      <c r="O58" s="9">
        <v>32</v>
      </c>
      <c r="P58" s="9"/>
      <c r="Q58" s="18">
        <f t="shared" si="45"/>
        <v>76</v>
      </c>
      <c r="R58" s="18">
        <v>4</v>
      </c>
      <c r="S58" s="18" t="str">
        <f t="shared" si="46"/>
        <v>8</v>
      </c>
      <c r="T58" s="18" t="str">
        <f t="shared" si="47"/>
        <v>A</v>
      </c>
      <c r="U58" s="18">
        <f t="shared" si="48"/>
        <v>32</v>
      </c>
      <c r="V58" s="18"/>
      <c r="W58" s="9">
        <v>40</v>
      </c>
      <c r="X58" s="9">
        <v>45</v>
      </c>
      <c r="Y58" s="18"/>
      <c r="Z58" s="18">
        <f t="shared" si="49"/>
        <v>85</v>
      </c>
      <c r="AA58" s="18">
        <v>3</v>
      </c>
      <c r="AB58" s="18" t="str">
        <f t="shared" si="50"/>
        <v>9</v>
      </c>
      <c r="AC58" s="18" t="str">
        <f t="shared" si="51"/>
        <v>A+</v>
      </c>
      <c r="AD58" s="18">
        <f t="shared" si="52"/>
        <v>27</v>
      </c>
      <c r="AE58" s="18"/>
      <c r="AF58" s="46">
        <v>40</v>
      </c>
      <c r="AG58" s="46">
        <v>35</v>
      </c>
      <c r="AH58" s="9"/>
      <c r="AI58" s="18">
        <f t="shared" si="53"/>
        <v>75</v>
      </c>
      <c r="AJ58" s="18">
        <v>3</v>
      </c>
      <c r="AK58" s="18" t="str">
        <f t="shared" si="54"/>
        <v>8</v>
      </c>
      <c r="AL58" s="18" t="str">
        <f t="shared" si="55"/>
        <v>A</v>
      </c>
      <c r="AM58" s="18">
        <f t="shared" si="56"/>
        <v>24</v>
      </c>
      <c r="AN58" s="18"/>
      <c r="AO58" s="46">
        <v>42</v>
      </c>
      <c r="AP58" s="46">
        <v>25</v>
      </c>
      <c r="AQ58" s="9"/>
      <c r="AR58" s="18">
        <f t="shared" si="57"/>
        <v>67</v>
      </c>
      <c r="AS58" s="18">
        <v>3</v>
      </c>
      <c r="AT58" s="18" t="str">
        <f t="shared" si="58"/>
        <v>7</v>
      </c>
      <c r="AU58" s="18" t="str">
        <f t="shared" si="59"/>
        <v>B+</v>
      </c>
      <c r="AV58" s="18">
        <f t="shared" si="60"/>
        <v>21</v>
      </c>
      <c r="AW58" s="18"/>
      <c r="AX58" s="9">
        <v>45</v>
      </c>
      <c r="AY58" s="9">
        <v>22</v>
      </c>
      <c r="AZ58" s="9"/>
      <c r="BA58" s="18">
        <f t="shared" si="61"/>
        <v>67</v>
      </c>
      <c r="BB58" s="18">
        <v>1</v>
      </c>
      <c r="BC58" s="18" t="str">
        <f t="shared" si="62"/>
        <v>7</v>
      </c>
      <c r="BD58" s="18" t="str">
        <f t="shared" si="63"/>
        <v>B+</v>
      </c>
      <c r="BE58" s="18">
        <f t="shared" si="64"/>
        <v>7</v>
      </c>
      <c r="BF58" s="43" t="s">
        <v>32</v>
      </c>
      <c r="BG58" s="9">
        <v>46</v>
      </c>
      <c r="BH58" s="9">
        <v>43</v>
      </c>
      <c r="BI58" s="9"/>
      <c r="BJ58" s="18">
        <f t="shared" si="65"/>
        <v>89</v>
      </c>
      <c r="BK58" s="18">
        <v>1</v>
      </c>
      <c r="BL58" s="18" t="str">
        <f t="shared" si="66"/>
        <v>9</v>
      </c>
      <c r="BM58" s="18" t="str">
        <f t="shared" si="67"/>
        <v>A+</v>
      </c>
      <c r="BN58" s="18">
        <f t="shared" si="68"/>
        <v>9</v>
      </c>
      <c r="BO58" s="18"/>
      <c r="BP58" s="9">
        <v>41</v>
      </c>
      <c r="BQ58" s="9">
        <v>37</v>
      </c>
      <c r="BR58" s="9"/>
      <c r="BS58" s="18">
        <f t="shared" si="69"/>
        <v>78</v>
      </c>
      <c r="BT58" s="18">
        <v>1</v>
      </c>
      <c r="BU58" s="18" t="str">
        <f t="shared" si="70"/>
        <v>8</v>
      </c>
      <c r="BV58" s="18" t="str">
        <f t="shared" si="71"/>
        <v>A</v>
      </c>
      <c r="BW58" s="18">
        <f t="shared" si="72"/>
        <v>8</v>
      </c>
      <c r="BX58" s="18"/>
      <c r="BY58" s="18"/>
      <c r="BZ58" s="18">
        <f t="shared" si="73"/>
        <v>160</v>
      </c>
      <c r="CA58" s="19">
        <f t="shared" si="74"/>
        <v>8</v>
      </c>
      <c r="CB58" s="28" t="str">
        <f t="shared" si="75"/>
        <v>A+</v>
      </c>
      <c r="CC58" s="27">
        <f t="shared" si="76"/>
        <v>76</v>
      </c>
      <c r="CD58" s="27"/>
      <c r="CE58" s="28">
        <f t="shared" si="77"/>
        <v>607</v>
      </c>
      <c r="CF58" s="28">
        <f t="shared" si="78"/>
        <v>75.875</v>
      </c>
      <c r="CG58" s="27"/>
      <c r="CH58" s="27"/>
      <c r="CI58" s="27" t="str">
        <f t="shared" si="79"/>
        <v>FCD</v>
      </c>
    </row>
    <row r="59" spans="1:87" ht="15.75" customHeight="1" x14ac:dyDescent="0.3">
      <c r="A59" s="35">
        <f t="shared" si="80"/>
        <v>65</v>
      </c>
      <c r="B59" s="37" t="s">
        <v>321</v>
      </c>
      <c r="C59" s="44" t="s">
        <v>322</v>
      </c>
      <c r="D59" s="47" t="s">
        <v>31</v>
      </c>
      <c r="E59" s="9">
        <v>49</v>
      </c>
      <c r="F59" s="9">
        <v>21</v>
      </c>
      <c r="G59" s="9"/>
      <c r="H59" s="18">
        <f t="shared" si="41"/>
        <v>70</v>
      </c>
      <c r="I59" s="18">
        <v>4</v>
      </c>
      <c r="J59" s="18" t="str">
        <f t="shared" si="42"/>
        <v>8</v>
      </c>
      <c r="K59" s="18" t="str">
        <f t="shared" si="43"/>
        <v>A</v>
      </c>
      <c r="L59" s="18">
        <f t="shared" si="44"/>
        <v>32</v>
      </c>
      <c r="M59" s="18"/>
      <c r="N59" s="9">
        <v>43</v>
      </c>
      <c r="O59" s="9">
        <v>23</v>
      </c>
      <c r="P59" s="9"/>
      <c r="Q59" s="18">
        <f t="shared" si="45"/>
        <v>66</v>
      </c>
      <c r="R59" s="18">
        <v>4</v>
      </c>
      <c r="S59" s="18" t="str">
        <f t="shared" si="46"/>
        <v>7</v>
      </c>
      <c r="T59" s="18" t="str">
        <f t="shared" si="47"/>
        <v>B+</v>
      </c>
      <c r="U59" s="18">
        <f t="shared" si="48"/>
        <v>28</v>
      </c>
      <c r="V59" s="18"/>
      <c r="W59" s="9">
        <v>47</v>
      </c>
      <c r="X59" s="9">
        <v>45</v>
      </c>
      <c r="Y59" s="18"/>
      <c r="Z59" s="18">
        <f t="shared" si="49"/>
        <v>92</v>
      </c>
      <c r="AA59" s="18">
        <v>3</v>
      </c>
      <c r="AB59" s="18" t="str">
        <f t="shared" si="50"/>
        <v>10</v>
      </c>
      <c r="AC59" s="18" t="str">
        <f t="shared" si="51"/>
        <v>O</v>
      </c>
      <c r="AD59" s="18">
        <f t="shared" si="52"/>
        <v>30</v>
      </c>
      <c r="AE59" s="18"/>
      <c r="AF59" s="46">
        <v>40</v>
      </c>
      <c r="AG59" s="46">
        <v>24</v>
      </c>
      <c r="AH59" s="9"/>
      <c r="AI59" s="18">
        <f t="shared" si="53"/>
        <v>64</v>
      </c>
      <c r="AJ59" s="18">
        <v>3</v>
      </c>
      <c r="AK59" s="18" t="str">
        <f t="shared" si="54"/>
        <v>7</v>
      </c>
      <c r="AL59" s="18" t="str">
        <f t="shared" si="55"/>
        <v>B+</v>
      </c>
      <c r="AM59" s="18">
        <f t="shared" si="56"/>
        <v>21</v>
      </c>
      <c r="AN59" s="18"/>
      <c r="AO59" s="46">
        <v>46</v>
      </c>
      <c r="AP59" s="46">
        <v>24</v>
      </c>
      <c r="AQ59" s="9"/>
      <c r="AR59" s="18">
        <f t="shared" si="57"/>
        <v>70</v>
      </c>
      <c r="AS59" s="18">
        <v>3</v>
      </c>
      <c r="AT59" s="18" t="str">
        <f t="shared" si="58"/>
        <v>8</v>
      </c>
      <c r="AU59" s="18" t="str">
        <f t="shared" si="59"/>
        <v>A</v>
      </c>
      <c r="AV59" s="18">
        <f t="shared" si="60"/>
        <v>24</v>
      </c>
      <c r="AW59" s="18"/>
      <c r="AX59" s="9">
        <v>44</v>
      </c>
      <c r="AY59" s="9">
        <v>29</v>
      </c>
      <c r="AZ59" s="9"/>
      <c r="BA59" s="18">
        <f t="shared" si="61"/>
        <v>73</v>
      </c>
      <c r="BB59" s="18">
        <v>1</v>
      </c>
      <c r="BC59" s="18" t="str">
        <f t="shared" si="62"/>
        <v>8</v>
      </c>
      <c r="BD59" s="18" t="str">
        <f t="shared" si="63"/>
        <v>A</v>
      </c>
      <c r="BE59" s="18">
        <f t="shared" si="64"/>
        <v>8</v>
      </c>
      <c r="BF59" s="43" t="s">
        <v>32</v>
      </c>
      <c r="BG59" s="9">
        <v>44</v>
      </c>
      <c r="BH59" s="9">
        <v>43</v>
      </c>
      <c r="BI59" s="9"/>
      <c r="BJ59" s="18">
        <f t="shared" si="65"/>
        <v>87</v>
      </c>
      <c r="BK59" s="18">
        <v>1</v>
      </c>
      <c r="BL59" s="18" t="str">
        <f t="shared" si="66"/>
        <v>9</v>
      </c>
      <c r="BM59" s="18" t="str">
        <f t="shared" si="67"/>
        <v>A+</v>
      </c>
      <c r="BN59" s="18">
        <f t="shared" si="68"/>
        <v>9</v>
      </c>
      <c r="BO59" s="18"/>
      <c r="BP59" s="9">
        <v>40</v>
      </c>
      <c r="BQ59" s="9">
        <v>38</v>
      </c>
      <c r="BR59" s="9"/>
      <c r="BS59" s="18">
        <f t="shared" si="69"/>
        <v>78</v>
      </c>
      <c r="BT59" s="18">
        <v>1</v>
      </c>
      <c r="BU59" s="18" t="str">
        <f t="shared" si="70"/>
        <v>8</v>
      </c>
      <c r="BV59" s="18" t="str">
        <f t="shared" si="71"/>
        <v>A</v>
      </c>
      <c r="BW59" s="18">
        <f t="shared" si="72"/>
        <v>8</v>
      </c>
      <c r="BX59" s="18"/>
      <c r="BY59" s="18"/>
      <c r="BZ59" s="18">
        <f t="shared" si="73"/>
        <v>160</v>
      </c>
      <c r="CA59" s="19">
        <f t="shared" si="74"/>
        <v>8</v>
      </c>
      <c r="CB59" s="28" t="str">
        <f t="shared" si="75"/>
        <v>A+</v>
      </c>
      <c r="CC59" s="27">
        <f t="shared" si="76"/>
        <v>76</v>
      </c>
      <c r="CD59" s="27"/>
      <c r="CE59" s="28">
        <f t="shared" si="77"/>
        <v>600</v>
      </c>
      <c r="CF59" s="28">
        <f t="shared" si="78"/>
        <v>75</v>
      </c>
      <c r="CG59" s="27"/>
      <c r="CH59" s="27"/>
      <c r="CI59" s="27" t="str">
        <f t="shared" si="79"/>
        <v>FCD</v>
      </c>
    </row>
    <row r="60" spans="1:87" ht="15.75" customHeight="1" x14ac:dyDescent="0.3">
      <c r="A60" s="35">
        <f t="shared" si="80"/>
        <v>66</v>
      </c>
      <c r="B60" s="37" t="s">
        <v>323</v>
      </c>
      <c r="C60" s="44" t="s">
        <v>324</v>
      </c>
      <c r="D60" s="47" t="s">
        <v>31</v>
      </c>
      <c r="E60" s="9">
        <v>44</v>
      </c>
      <c r="F60" s="9">
        <v>26</v>
      </c>
      <c r="G60" s="9"/>
      <c r="H60" s="18">
        <f t="shared" si="41"/>
        <v>70</v>
      </c>
      <c r="I60" s="18">
        <v>4</v>
      </c>
      <c r="J60" s="18" t="str">
        <f t="shared" si="42"/>
        <v>8</v>
      </c>
      <c r="K60" s="18" t="str">
        <f t="shared" si="43"/>
        <v>A</v>
      </c>
      <c r="L60" s="18">
        <f t="shared" si="44"/>
        <v>32</v>
      </c>
      <c r="M60" s="18"/>
      <c r="N60" s="9">
        <v>46</v>
      </c>
      <c r="O60" s="9">
        <v>22</v>
      </c>
      <c r="P60" s="9"/>
      <c r="Q60" s="18">
        <f t="shared" si="45"/>
        <v>68</v>
      </c>
      <c r="R60" s="18">
        <v>4</v>
      </c>
      <c r="S60" s="18" t="str">
        <f t="shared" si="46"/>
        <v>7</v>
      </c>
      <c r="T60" s="18" t="str">
        <f t="shared" si="47"/>
        <v>B+</v>
      </c>
      <c r="U60" s="18">
        <f t="shared" si="48"/>
        <v>28</v>
      </c>
      <c r="V60" s="18"/>
      <c r="W60" s="9">
        <v>40</v>
      </c>
      <c r="X60" s="9">
        <v>49</v>
      </c>
      <c r="Y60" s="18"/>
      <c r="Z60" s="18">
        <f t="shared" si="49"/>
        <v>89</v>
      </c>
      <c r="AA60" s="18">
        <v>3</v>
      </c>
      <c r="AB60" s="18" t="str">
        <f t="shared" si="50"/>
        <v>9</v>
      </c>
      <c r="AC60" s="18" t="str">
        <f t="shared" si="51"/>
        <v>A+</v>
      </c>
      <c r="AD60" s="18">
        <f t="shared" si="52"/>
        <v>27</v>
      </c>
      <c r="AE60" s="18"/>
      <c r="AF60" s="46">
        <v>35</v>
      </c>
      <c r="AG60" s="46">
        <v>27</v>
      </c>
      <c r="AH60" s="9"/>
      <c r="AI60" s="18">
        <f t="shared" si="53"/>
        <v>62</v>
      </c>
      <c r="AJ60" s="18">
        <v>3</v>
      </c>
      <c r="AK60" s="18" t="str">
        <f t="shared" si="54"/>
        <v>7</v>
      </c>
      <c r="AL60" s="18" t="str">
        <f t="shared" si="55"/>
        <v>B+</v>
      </c>
      <c r="AM60" s="18">
        <f t="shared" si="56"/>
        <v>21</v>
      </c>
      <c r="AN60" s="18"/>
      <c r="AO60" s="46">
        <v>43</v>
      </c>
      <c r="AP60" s="46">
        <v>26</v>
      </c>
      <c r="AQ60" s="9"/>
      <c r="AR60" s="18">
        <f t="shared" si="57"/>
        <v>69</v>
      </c>
      <c r="AS60" s="18">
        <v>3</v>
      </c>
      <c r="AT60" s="18" t="str">
        <f t="shared" si="58"/>
        <v>7</v>
      </c>
      <c r="AU60" s="18" t="str">
        <f t="shared" si="59"/>
        <v>B+</v>
      </c>
      <c r="AV60" s="18">
        <f t="shared" si="60"/>
        <v>21</v>
      </c>
      <c r="AW60" s="18"/>
      <c r="AX60" s="9">
        <v>47</v>
      </c>
      <c r="AY60" s="9">
        <v>37</v>
      </c>
      <c r="AZ60" s="9"/>
      <c r="BA60" s="18">
        <f t="shared" si="61"/>
        <v>84</v>
      </c>
      <c r="BB60" s="18">
        <v>1</v>
      </c>
      <c r="BC60" s="18" t="str">
        <f t="shared" si="62"/>
        <v>9</v>
      </c>
      <c r="BD60" s="18" t="str">
        <f t="shared" si="63"/>
        <v>A+</v>
      </c>
      <c r="BE60" s="18">
        <f t="shared" si="64"/>
        <v>9</v>
      </c>
      <c r="BF60" s="43" t="s">
        <v>32</v>
      </c>
      <c r="BG60" s="9">
        <v>49</v>
      </c>
      <c r="BH60" s="9">
        <v>44</v>
      </c>
      <c r="BI60" s="9"/>
      <c r="BJ60" s="18">
        <f t="shared" si="65"/>
        <v>93</v>
      </c>
      <c r="BK60" s="18">
        <v>1</v>
      </c>
      <c r="BL60" s="18" t="str">
        <f t="shared" si="66"/>
        <v>10</v>
      </c>
      <c r="BM60" s="18" t="str">
        <f t="shared" si="67"/>
        <v>O</v>
      </c>
      <c r="BN60" s="18">
        <f t="shared" si="68"/>
        <v>10</v>
      </c>
      <c r="BO60" s="18"/>
      <c r="BP60" s="9">
        <v>43</v>
      </c>
      <c r="BQ60" s="9">
        <v>37</v>
      </c>
      <c r="BR60" s="9"/>
      <c r="BS60" s="18">
        <f t="shared" si="69"/>
        <v>80</v>
      </c>
      <c r="BT60" s="18">
        <v>1</v>
      </c>
      <c r="BU60" s="18" t="str">
        <f t="shared" si="70"/>
        <v>9</v>
      </c>
      <c r="BV60" s="18" t="str">
        <f t="shared" si="71"/>
        <v>A+</v>
      </c>
      <c r="BW60" s="18">
        <f t="shared" si="72"/>
        <v>9</v>
      </c>
      <c r="BX60" s="18"/>
      <c r="BY60" s="18"/>
      <c r="BZ60" s="18">
        <f t="shared" si="73"/>
        <v>157</v>
      </c>
      <c r="CA60" s="19">
        <f t="shared" si="74"/>
        <v>7.85</v>
      </c>
      <c r="CB60" s="28" t="str">
        <f t="shared" si="75"/>
        <v>A</v>
      </c>
      <c r="CC60" s="27">
        <f t="shared" si="76"/>
        <v>74.575000000000003</v>
      </c>
      <c r="CD60" s="27"/>
      <c r="CE60" s="28">
        <f t="shared" si="77"/>
        <v>615</v>
      </c>
      <c r="CF60" s="28">
        <f t="shared" si="78"/>
        <v>76.875</v>
      </c>
      <c r="CG60" s="27"/>
      <c r="CH60" s="27"/>
      <c r="CI60" s="27" t="str">
        <f t="shared" si="79"/>
        <v>FCD</v>
      </c>
    </row>
    <row r="61" spans="1:87" ht="15.75" customHeight="1" x14ac:dyDescent="0.3">
      <c r="A61" s="35">
        <f t="shared" si="80"/>
        <v>67</v>
      </c>
      <c r="B61" s="37" t="s">
        <v>325</v>
      </c>
      <c r="C61" s="44" t="s">
        <v>326</v>
      </c>
      <c r="D61" s="47" t="s">
        <v>31</v>
      </c>
      <c r="E61" s="9">
        <v>44</v>
      </c>
      <c r="F61" s="9">
        <v>18</v>
      </c>
      <c r="G61" s="9"/>
      <c r="H61" s="18">
        <f t="shared" si="41"/>
        <v>62</v>
      </c>
      <c r="I61" s="18">
        <v>4</v>
      </c>
      <c r="J61" s="18" t="str">
        <f t="shared" si="42"/>
        <v>7</v>
      </c>
      <c r="K61" s="18" t="str">
        <f t="shared" si="43"/>
        <v>B+</v>
      </c>
      <c r="L61" s="18">
        <f t="shared" si="44"/>
        <v>28</v>
      </c>
      <c r="M61" s="18"/>
      <c r="N61" s="9">
        <v>44</v>
      </c>
      <c r="O61" s="9">
        <v>25</v>
      </c>
      <c r="P61" s="9"/>
      <c r="Q61" s="18">
        <f t="shared" si="45"/>
        <v>69</v>
      </c>
      <c r="R61" s="18">
        <v>4</v>
      </c>
      <c r="S61" s="18" t="str">
        <f t="shared" si="46"/>
        <v>7</v>
      </c>
      <c r="T61" s="18" t="str">
        <f t="shared" si="47"/>
        <v>B+</v>
      </c>
      <c r="U61" s="18">
        <f t="shared" si="48"/>
        <v>28</v>
      </c>
      <c r="V61" s="18"/>
      <c r="W61" s="9">
        <v>45</v>
      </c>
      <c r="X61" s="9">
        <v>39</v>
      </c>
      <c r="Y61" s="18"/>
      <c r="Z61" s="18">
        <f t="shared" si="49"/>
        <v>84</v>
      </c>
      <c r="AA61" s="18">
        <v>3</v>
      </c>
      <c r="AB61" s="18" t="str">
        <f t="shared" si="50"/>
        <v>9</v>
      </c>
      <c r="AC61" s="18" t="str">
        <f t="shared" si="51"/>
        <v>A+</v>
      </c>
      <c r="AD61" s="18">
        <f t="shared" si="52"/>
        <v>27</v>
      </c>
      <c r="AE61" s="18"/>
      <c r="AF61" s="46">
        <v>35</v>
      </c>
      <c r="AG61" s="46">
        <v>26</v>
      </c>
      <c r="AH61" s="9"/>
      <c r="AI61" s="18">
        <f t="shared" si="53"/>
        <v>61</v>
      </c>
      <c r="AJ61" s="18">
        <v>3</v>
      </c>
      <c r="AK61" s="18" t="str">
        <f t="shared" si="54"/>
        <v>7</v>
      </c>
      <c r="AL61" s="18" t="str">
        <f t="shared" si="55"/>
        <v>B+</v>
      </c>
      <c r="AM61" s="18">
        <f t="shared" si="56"/>
        <v>21</v>
      </c>
      <c r="AN61" s="18"/>
      <c r="AO61" s="46">
        <v>49</v>
      </c>
      <c r="AP61" s="46">
        <v>30</v>
      </c>
      <c r="AQ61" s="9"/>
      <c r="AR61" s="18">
        <f t="shared" si="57"/>
        <v>79</v>
      </c>
      <c r="AS61" s="18">
        <v>3</v>
      </c>
      <c r="AT61" s="18" t="str">
        <f t="shared" si="58"/>
        <v>8</v>
      </c>
      <c r="AU61" s="18" t="str">
        <f t="shared" si="59"/>
        <v>A</v>
      </c>
      <c r="AV61" s="18">
        <f t="shared" si="60"/>
        <v>24</v>
      </c>
      <c r="AW61" s="18"/>
      <c r="AX61" s="9">
        <v>47</v>
      </c>
      <c r="AY61" s="9">
        <v>40</v>
      </c>
      <c r="AZ61" s="9"/>
      <c r="BA61" s="18">
        <f t="shared" si="61"/>
        <v>87</v>
      </c>
      <c r="BB61" s="18">
        <v>1</v>
      </c>
      <c r="BC61" s="18" t="str">
        <f t="shared" si="62"/>
        <v>9</v>
      </c>
      <c r="BD61" s="18" t="str">
        <f t="shared" si="63"/>
        <v>A+</v>
      </c>
      <c r="BE61" s="18">
        <f t="shared" si="64"/>
        <v>9</v>
      </c>
      <c r="BF61" s="43" t="s">
        <v>32</v>
      </c>
      <c r="BG61" s="9">
        <v>48</v>
      </c>
      <c r="BH61" s="9">
        <v>49</v>
      </c>
      <c r="BI61" s="9"/>
      <c r="BJ61" s="18">
        <f t="shared" si="65"/>
        <v>97</v>
      </c>
      <c r="BK61" s="18">
        <v>1</v>
      </c>
      <c r="BL61" s="18" t="str">
        <f t="shared" si="66"/>
        <v>10</v>
      </c>
      <c r="BM61" s="18" t="str">
        <f t="shared" si="67"/>
        <v>O</v>
      </c>
      <c r="BN61" s="18">
        <f t="shared" si="68"/>
        <v>10</v>
      </c>
      <c r="BO61" s="18"/>
      <c r="BP61" s="9">
        <v>48</v>
      </c>
      <c r="BQ61" s="9">
        <v>38</v>
      </c>
      <c r="BR61" s="9"/>
      <c r="BS61" s="18">
        <f t="shared" si="69"/>
        <v>86</v>
      </c>
      <c r="BT61" s="18">
        <v>1</v>
      </c>
      <c r="BU61" s="18" t="str">
        <f t="shared" si="70"/>
        <v>9</v>
      </c>
      <c r="BV61" s="18" t="str">
        <f t="shared" si="71"/>
        <v>A+</v>
      </c>
      <c r="BW61" s="18">
        <f t="shared" si="72"/>
        <v>9</v>
      </c>
      <c r="BX61" s="18"/>
      <c r="BY61" s="18"/>
      <c r="BZ61" s="18">
        <f t="shared" si="73"/>
        <v>156</v>
      </c>
      <c r="CA61" s="19">
        <f t="shared" si="74"/>
        <v>7.8</v>
      </c>
      <c r="CB61" s="28" t="str">
        <f t="shared" si="75"/>
        <v>A</v>
      </c>
      <c r="CC61" s="27">
        <f t="shared" si="76"/>
        <v>74.099999999999994</v>
      </c>
      <c r="CD61" s="27"/>
      <c r="CE61" s="28">
        <f t="shared" si="77"/>
        <v>625</v>
      </c>
      <c r="CF61" s="28">
        <f t="shared" si="78"/>
        <v>78.125</v>
      </c>
      <c r="CG61" s="27"/>
      <c r="CH61" s="27"/>
      <c r="CI61" s="27" t="str">
        <f t="shared" si="79"/>
        <v>FCD</v>
      </c>
    </row>
    <row r="62" spans="1:87" ht="15.75" customHeight="1" x14ac:dyDescent="0.3">
      <c r="A62" s="35">
        <f t="shared" si="80"/>
        <v>68</v>
      </c>
      <c r="B62" s="37" t="s">
        <v>327</v>
      </c>
      <c r="C62" s="44" t="s">
        <v>328</v>
      </c>
      <c r="D62" s="47" t="s">
        <v>31</v>
      </c>
      <c r="E62" s="9">
        <v>45</v>
      </c>
      <c r="F62" s="9">
        <v>18</v>
      </c>
      <c r="G62" s="9"/>
      <c r="H62" s="18">
        <f t="shared" si="41"/>
        <v>63</v>
      </c>
      <c r="I62" s="18">
        <v>4</v>
      </c>
      <c r="J62" s="18" t="str">
        <f t="shared" si="42"/>
        <v>7</v>
      </c>
      <c r="K62" s="18" t="str">
        <f t="shared" si="43"/>
        <v>B+</v>
      </c>
      <c r="L62" s="18">
        <f t="shared" si="44"/>
        <v>28</v>
      </c>
      <c r="M62" s="18"/>
      <c r="N62" s="9">
        <v>43</v>
      </c>
      <c r="O62" s="9">
        <v>33</v>
      </c>
      <c r="P62" s="9"/>
      <c r="Q62" s="18">
        <f t="shared" si="45"/>
        <v>76</v>
      </c>
      <c r="R62" s="18">
        <v>4</v>
      </c>
      <c r="S62" s="18" t="str">
        <f t="shared" si="46"/>
        <v>8</v>
      </c>
      <c r="T62" s="18" t="str">
        <f t="shared" si="47"/>
        <v>A</v>
      </c>
      <c r="U62" s="18">
        <f t="shared" si="48"/>
        <v>32</v>
      </c>
      <c r="V62" s="18"/>
      <c r="W62" s="9">
        <v>42</v>
      </c>
      <c r="X62" s="9">
        <v>32</v>
      </c>
      <c r="Y62" s="18"/>
      <c r="Z62" s="18">
        <f t="shared" si="49"/>
        <v>74</v>
      </c>
      <c r="AA62" s="18">
        <v>3</v>
      </c>
      <c r="AB62" s="18" t="str">
        <f t="shared" si="50"/>
        <v>8</v>
      </c>
      <c r="AC62" s="18" t="str">
        <f t="shared" si="51"/>
        <v>A</v>
      </c>
      <c r="AD62" s="18">
        <f t="shared" si="52"/>
        <v>24</v>
      </c>
      <c r="AE62" s="18"/>
      <c r="AF62" s="46">
        <v>44</v>
      </c>
      <c r="AG62" s="46">
        <v>26</v>
      </c>
      <c r="AH62" s="9"/>
      <c r="AI62" s="18">
        <f t="shared" si="53"/>
        <v>70</v>
      </c>
      <c r="AJ62" s="18">
        <v>3</v>
      </c>
      <c r="AK62" s="18" t="str">
        <f t="shared" si="54"/>
        <v>8</v>
      </c>
      <c r="AL62" s="18" t="str">
        <f t="shared" si="55"/>
        <v>A</v>
      </c>
      <c r="AM62" s="18">
        <f t="shared" si="56"/>
        <v>24</v>
      </c>
      <c r="AN62" s="18"/>
      <c r="AO62" s="46">
        <v>42</v>
      </c>
      <c r="AP62" s="46">
        <v>21</v>
      </c>
      <c r="AQ62" s="9"/>
      <c r="AR62" s="18">
        <f t="shared" si="57"/>
        <v>63</v>
      </c>
      <c r="AS62" s="18">
        <v>3</v>
      </c>
      <c r="AT62" s="18" t="str">
        <f t="shared" si="58"/>
        <v>7</v>
      </c>
      <c r="AU62" s="18" t="str">
        <f t="shared" si="59"/>
        <v>B+</v>
      </c>
      <c r="AV62" s="18">
        <f t="shared" si="60"/>
        <v>21</v>
      </c>
      <c r="AW62" s="18"/>
      <c r="AX62" s="9">
        <v>45</v>
      </c>
      <c r="AY62" s="9">
        <v>32</v>
      </c>
      <c r="AZ62" s="9"/>
      <c r="BA62" s="18">
        <f t="shared" si="61"/>
        <v>77</v>
      </c>
      <c r="BB62" s="18">
        <v>1</v>
      </c>
      <c r="BC62" s="18" t="str">
        <f t="shared" si="62"/>
        <v>8</v>
      </c>
      <c r="BD62" s="18" t="str">
        <f t="shared" si="63"/>
        <v>A</v>
      </c>
      <c r="BE62" s="18">
        <f t="shared" si="64"/>
        <v>8</v>
      </c>
      <c r="BF62" s="43" t="s">
        <v>32</v>
      </c>
      <c r="BG62" s="9">
        <v>45</v>
      </c>
      <c r="BH62" s="9">
        <v>47</v>
      </c>
      <c r="BI62" s="9"/>
      <c r="BJ62" s="18">
        <f t="shared" si="65"/>
        <v>92</v>
      </c>
      <c r="BK62" s="18">
        <v>1</v>
      </c>
      <c r="BL62" s="18" t="str">
        <f t="shared" si="66"/>
        <v>10</v>
      </c>
      <c r="BM62" s="18" t="str">
        <f t="shared" si="67"/>
        <v>O</v>
      </c>
      <c r="BN62" s="18">
        <f t="shared" si="68"/>
        <v>10</v>
      </c>
      <c r="BO62" s="18"/>
      <c r="BP62" s="9">
        <v>40</v>
      </c>
      <c r="BQ62" s="9">
        <v>40</v>
      </c>
      <c r="BR62" s="9"/>
      <c r="BS62" s="18">
        <f t="shared" si="69"/>
        <v>80</v>
      </c>
      <c r="BT62" s="18">
        <v>1</v>
      </c>
      <c r="BU62" s="18" t="str">
        <f t="shared" si="70"/>
        <v>9</v>
      </c>
      <c r="BV62" s="18" t="str">
        <f t="shared" si="71"/>
        <v>A+</v>
      </c>
      <c r="BW62" s="18">
        <f t="shared" si="72"/>
        <v>9</v>
      </c>
      <c r="BX62" s="18"/>
      <c r="BY62" s="18"/>
      <c r="BZ62" s="18">
        <f t="shared" si="73"/>
        <v>156</v>
      </c>
      <c r="CA62" s="19">
        <f t="shared" si="74"/>
        <v>7.8</v>
      </c>
      <c r="CB62" s="28" t="str">
        <f t="shared" si="75"/>
        <v>A</v>
      </c>
      <c r="CC62" s="27">
        <f t="shared" si="76"/>
        <v>74.099999999999994</v>
      </c>
      <c r="CD62" s="27"/>
      <c r="CE62" s="28">
        <f t="shared" si="77"/>
        <v>595</v>
      </c>
      <c r="CF62" s="28">
        <f t="shared" si="78"/>
        <v>74.375</v>
      </c>
      <c r="CG62" s="27"/>
      <c r="CH62" s="27"/>
      <c r="CI62" s="27" t="str">
        <f t="shared" si="79"/>
        <v>FCD</v>
      </c>
    </row>
    <row r="63" spans="1:87" ht="15.75" customHeight="1" x14ac:dyDescent="0.3">
      <c r="A63" s="35">
        <f t="shared" si="80"/>
        <v>69</v>
      </c>
      <c r="B63" s="37" t="s">
        <v>329</v>
      </c>
      <c r="C63" s="44" t="s">
        <v>330</v>
      </c>
      <c r="D63" s="47" t="s">
        <v>31</v>
      </c>
      <c r="E63" s="9">
        <v>45</v>
      </c>
      <c r="F63" s="9">
        <v>18</v>
      </c>
      <c r="G63" s="9"/>
      <c r="H63" s="18">
        <f t="shared" si="41"/>
        <v>63</v>
      </c>
      <c r="I63" s="18">
        <v>4</v>
      </c>
      <c r="J63" s="18" t="str">
        <f t="shared" si="42"/>
        <v>7</v>
      </c>
      <c r="K63" s="18" t="str">
        <f t="shared" si="43"/>
        <v>B+</v>
      </c>
      <c r="L63" s="18">
        <f t="shared" si="44"/>
        <v>28</v>
      </c>
      <c r="M63" s="18"/>
      <c r="N63" s="9">
        <v>44</v>
      </c>
      <c r="O63" s="9">
        <v>32</v>
      </c>
      <c r="P63" s="9"/>
      <c r="Q63" s="18">
        <f t="shared" si="45"/>
        <v>76</v>
      </c>
      <c r="R63" s="18">
        <v>4</v>
      </c>
      <c r="S63" s="18" t="str">
        <f t="shared" si="46"/>
        <v>8</v>
      </c>
      <c r="T63" s="18" t="str">
        <f t="shared" si="47"/>
        <v>A</v>
      </c>
      <c r="U63" s="18">
        <f t="shared" si="48"/>
        <v>32</v>
      </c>
      <c r="V63" s="18"/>
      <c r="W63" s="9">
        <v>47</v>
      </c>
      <c r="X63" s="9">
        <v>42</v>
      </c>
      <c r="Y63" s="18"/>
      <c r="Z63" s="18">
        <f t="shared" si="49"/>
        <v>89</v>
      </c>
      <c r="AA63" s="18">
        <v>3</v>
      </c>
      <c r="AB63" s="18" t="str">
        <f t="shared" si="50"/>
        <v>9</v>
      </c>
      <c r="AC63" s="18" t="str">
        <f t="shared" si="51"/>
        <v>A+</v>
      </c>
      <c r="AD63" s="18">
        <f t="shared" si="52"/>
        <v>27</v>
      </c>
      <c r="AE63" s="18"/>
      <c r="AF63" s="46">
        <v>38</v>
      </c>
      <c r="AG63" s="46">
        <v>26</v>
      </c>
      <c r="AH63" s="9"/>
      <c r="AI63" s="18">
        <f t="shared" si="53"/>
        <v>64</v>
      </c>
      <c r="AJ63" s="18">
        <v>3</v>
      </c>
      <c r="AK63" s="18" t="str">
        <f t="shared" si="54"/>
        <v>7</v>
      </c>
      <c r="AL63" s="18" t="str">
        <f t="shared" si="55"/>
        <v>B+</v>
      </c>
      <c r="AM63" s="18">
        <f t="shared" si="56"/>
        <v>21</v>
      </c>
      <c r="AN63" s="18"/>
      <c r="AO63" s="46">
        <v>41</v>
      </c>
      <c r="AP63" s="46">
        <v>20</v>
      </c>
      <c r="AQ63" s="9"/>
      <c r="AR63" s="18">
        <f t="shared" si="57"/>
        <v>61</v>
      </c>
      <c r="AS63" s="18">
        <v>3</v>
      </c>
      <c r="AT63" s="18" t="str">
        <f t="shared" si="58"/>
        <v>7</v>
      </c>
      <c r="AU63" s="18" t="str">
        <f t="shared" si="59"/>
        <v>B+</v>
      </c>
      <c r="AV63" s="18">
        <f t="shared" si="60"/>
        <v>21</v>
      </c>
      <c r="AW63" s="18"/>
      <c r="AX63" s="9">
        <v>45</v>
      </c>
      <c r="AY63" s="9">
        <v>20</v>
      </c>
      <c r="AZ63" s="9"/>
      <c r="BA63" s="18">
        <f t="shared" si="61"/>
        <v>65</v>
      </c>
      <c r="BB63" s="18">
        <v>1</v>
      </c>
      <c r="BC63" s="18" t="str">
        <f t="shared" si="62"/>
        <v>7</v>
      </c>
      <c r="BD63" s="18" t="str">
        <f t="shared" si="63"/>
        <v>B+</v>
      </c>
      <c r="BE63" s="18">
        <f t="shared" si="64"/>
        <v>7</v>
      </c>
      <c r="BF63" s="43" t="s">
        <v>35</v>
      </c>
      <c r="BG63" s="9">
        <v>46</v>
      </c>
      <c r="BH63" s="9">
        <v>37</v>
      </c>
      <c r="BI63" s="9"/>
      <c r="BJ63" s="18">
        <f t="shared" si="65"/>
        <v>83</v>
      </c>
      <c r="BK63" s="18">
        <v>1</v>
      </c>
      <c r="BL63" s="18" t="str">
        <f t="shared" si="66"/>
        <v>9</v>
      </c>
      <c r="BM63" s="18" t="str">
        <f t="shared" si="67"/>
        <v>A+</v>
      </c>
      <c r="BN63" s="18">
        <f t="shared" si="68"/>
        <v>9</v>
      </c>
      <c r="BO63" s="18"/>
      <c r="BP63" s="9">
        <v>43</v>
      </c>
      <c r="BQ63" s="9">
        <v>38</v>
      </c>
      <c r="BR63" s="9"/>
      <c r="BS63" s="18">
        <f t="shared" si="69"/>
        <v>81</v>
      </c>
      <c r="BT63" s="18">
        <v>1</v>
      </c>
      <c r="BU63" s="18" t="str">
        <f t="shared" si="70"/>
        <v>9</v>
      </c>
      <c r="BV63" s="18" t="str">
        <f t="shared" si="71"/>
        <v>A+</v>
      </c>
      <c r="BW63" s="18">
        <f t="shared" si="72"/>
        <v>9</v>
      </c>
      <c r="BX63" s="18"/>
      <c r="BY63" s="18"/>
      <c r="BZ63" s="18">
        <f t="shared" si="73"/>
        <v>154</v>
      </c>
      <c r="CA63" s="19">
        <f t="shared" si="74"/>
        <v>7.7</v>
      </c>
      <c r="CB63" s="28" t="str">
        <f t="shared" si="75"/>
        <v>A</v>
      </c>
      <c r="CC63" s="27">
        <f t="shared" si="76"/>
        <v>73.150000000000006</v>
      </c>
      <c r="CD63" s="27"/>
      <c r="CE63" s="28">
        <f t="shared" si="77"/>
        <v>582</v>
      </c>
      <c r="CF63" s="28">
        <f t="shared" si="78"/>
        <v>72.75</v>
      </c>
      <c r="CG63" s="27"/>
      <c r="CH63" s="27"/>
      <c r="CI63" s="27" t="str">
        <f t="shared" si="79"/>
        <v>FCD</v>
      </c>
    </row>
    <row r="64" spans="1:87" ht="15.75" customHeight="1" x14ac:dyDescent="0.3">
      <c r="A64" s="35">
        <f t="shared" si="80"/>
        <v>70</v>
      </c>
      <c r="B64" s="37" t="s">
        <v>331</v>
      </c>
      <c r="C64" s="44" t="s">
        <v>332</v>
      </c>
      <c r="D64" s="47" t="s">
        <v>31</v>
      </c>
      <c r="E64" s="9">
        <v>46</v>
      </c>
      <c r="F64" s="9">
        <v>28</v>
      </c>
      <c r="G64" s="9"/>
      <c r="H64" s="18">
        <f t="shared" si="41"/>
        <v>74</v>
      </c>
      <c r="I64" s="18">
        <v>4</v>
      </c>
      <c r="J64" s="18" t="str">
        <f t="shared" si="42"/>
        <v>8</v>
      </c>
      <c r="K64" s="18" t="str">
        <f t="shared" si="43"/>
        <v>A</v>
      </c>
      <c r="L64" s="18">
        <f t="shared" si="44"/>
        <v>32</v>
      </c>
      <c r="M64" s="18"/>
      <c r="N64" s="9">
        <v>42</v>
      </c>
      <c r="O64" s="9">
        <v>21</v>
      </c>
      <c r="P64" s="9"/>
      <c r="Q64" s="18">
        <f t="shared" si="45"/>
        <v>63</v>
      </c>
      <c r="R64" s="18">
        <v>4</v>
      </c>
      <c r="S64" s="18" t="str">
        <f t="shared" si="46"/>
        <v>7</v>
      </c>
      <c r="T64" s="18" t="str">
        <f t="shared" si="47"/>
        <v>B+</v>
      </c>
      <c r="U64" s="18">
        <f t="shared" si="48"/>
        <v>28</v>
      </c>
      <c r="V64" s="18"/>
      <c r="W64" s="9">
        <v>32</v>
      </c>
      <c r="X64" s="9">
        <v>36</v>
      </c>
      <c r="Y64" s="18"/>
      <c r="Z64" s="18">
        <f t="shared" si="49"/>
        <v>68</v>
      </c>
      <c r="AA64" s="18">
        <v>3</v>
      </c>
      <c r="AB64" s="18" t="str">
        <f t="shared" si="50"/>
        <v>7</v>
      </c>
      <c r="AC64" s="18" t="str">
        <f t="shared" si="51"/>
        <v>B+</v>
      </c>
      <c r="AD64" s="18">
        <f t="shared" si="52"/>
        <v>21</v>
      </c>
      <c r="AE64" s="18"/>
      <c r="AF64" s="46">
        <v>30</v>
      </c>
      <c r="AG64" s="46">
        <v>28</v>
      </c>
      <c r="AH64" s="9"/>
      <c r="AI64" s="18">
        <f t="shared" si="53"/>
        <v>58</v>
      </c>
      <c r="AJ64" s="18">
        <v>3</v>
      </c>
      <c r="AK64" s="18" t="str">
        <f t="shared" si="54"/>
        <v>6</v>
      </c>
      <c r="AL64" s="18" t="str">
        <f t="shared" si="55"/>
        <v>B</v>
      </c>
      <c r="AM64" s="18">
        <f t="shared" si="56"/>
        <v>18</v>
      </c>
      <c r="AN64" s="18"/>
      <c r="AO64" s="46">
        <v>41</v>
      </c>
      <c r="AP64" s="46">
        <v>42</v>
      </c>
      <c r="AQ64" s="9"/>
      <c r="AR64" s="18">
        <f t="shared" si="57"/>
        <v>83</v>
      </c>
      <c r="AS64" s="18">
        <v>3</v>
      </c>
      <c r="AT64" s="18" t="str">
        <f t="shared" si="58"/>
        <v>9</v>
      </c>
      <c r="AU64" s="18" t="str">
        <f t="shared" si="59"/>
        <v>A+</v>
      </c>
      <c r="AV64" s="18">
        <f t="shared" si="60"/>
        <v>27</v>
      </c>
      <c r="AW64" s="18"/>
      <c r="AX64" s="9">
        <v>45</v>
      </c>
      <c r="AY64" s="9">
        <v>30</v>
      </c>
      <c r="AZ64" s="9"/>
      <c r="BA64" s="18">
        <f t="shared" si="61"/>
        <v>75</v>
      </c>
      <c r="BB64" s="18">
        <v>1</v>
      </c>
      <c r="BC64" s="18" t="str">
        <f t="shared" si="62"/>
        <v>8</v>
      </c>
      <c r="BD64" s="18" t="str">
        <f t="shared" si="63"/>
        <v>A</v>
      </c>
      <c r="BE64" s="18">
        <f t="shared" si="64"/>
        <v>8</v>
      </c>
      <c r="BF64" s="43" t="s">
        <v>32</v>
      </c>
      <c r="BG64" s="9">
        <v>46</v>
      </c>
      <c r="BH64" s="9">
        <v>28</v>
      </c>
      <c r="BI64" s="9"/>
      <c r="BJ64" s="18">
        <f t="shared" si="65"/>
        <v>74</v>
      </c>
      <c r="BK64" s="18">
        <v>1</v>
      </c>
      <c r="BL64" s="18" t="str">
        <f t="shared" si="66"/>
        <v>8</v>
      </c>
      <c r="BM64" s="18" t="str">
        <f t="shared" si="67"/>
        <v>A</v>
      </c>
      <c r="BN64" s="18">
        <f t="shared" si="68"/>
        <v>8</v>
      </c>
      <c r="BO64" s="18"/>
      <c r="BP64" s="9">
        <v>43</v>
      </c>
      <c r="BQ64" s="9">
        <v>39</v>
      </c>
      <c r="BR64" s="9"/>
      <c r="BS64" s="18">
        <f t="shared" si="69"/>
        <v>82</v>
      </c>
      <c r="BT64" s="18">
        <v>1</v>
      </c>
      <c r="BU64" s="18" t="str">
        <f t="shared" si="70"/>
        <v>9</v>
      </c>
      <c r="BV64" s="18" t="str">
        <f t="shared" si="71"/>
        <v>A+</v>
      </c>
      <c r="BW64" s="18">
        <f t="shared" si="72"/>
        <v>9</v>
      </c>
      <c r="BX64" s="18"/>
      <c r="BY64" s="18"/>
      <c r="BZ64" s="18">
        <f t="shared" si="73"/>
        <v>151</v>
      </c>
      <c r="CA64" s="19">
        <f t="shared" si="74"/>
        <v>7.55</v>
      </c>
      <c r="CB64" s="28" t="str">
        <f t="shared" si="75"/>
        <v>A</v>
      </c>
      <c r="CC64" s="27">
        <f t="shared" si="76"/>
        <v>71.724999999999994</v>
      </c>
      <c r="CD64" s="27"/>
      <c r="CE64" s="28">
        <f t="shared" si="77"/>
        <v>577</v>
      </c>
      <c r="CF64" s="28">
        <f t="shared" si="78"/>
        <v>72.125</v>
      </c>
      <c r="CG64" s="27"/>
      <c r="CH64" s="27"/>
      <c r="CI64" s="27" t="str">
        <f t="shared" si="79"/>
        <v>FCD</v>
      </c>
    </row>
    <row r="65" spans="1:87" ht="15.75" customHeight="1" x14ac:dyDescent="0.3">
      <c r="A65" s="35">
        <f t="shared" si="80"/>
        <v>71</v>
      </c>
      <c r="B65" s="37" t="s">
        <v>333</v>
      </c>
      <c r="C65" s="44" t="s">
        <v>334</v>
      </c>
      <c r="D65" s="47" t="s">
        <v>31</v>
      </c>
      <c r="E65" s="9">
        <v>43</v>
      </c>
      <c r="F65" s="9">
        <v>27</v>
      </c>
      <c r="G65" s="9"/>
      <c r="H65" s="18">
        <f t="shared" si="41"/>
        <v>70</v>
      </c>
      <c r="I65" s="18">
        <v>4</v>
      </c>
      <c r="J65" s="18" t="str">
        <f t="shared" si="42"/>
        <v>8</v>
      </c>
      <c r="K65" s="18" t="str">
        <f t="shared" si="43"/>
        <v>A</v>
      </c>
      <c r="L65" s="18">
        <f t="shared" si="44"/>
        <v>32</v>
      </c>
      <c r="M65" s="18"/>
      <c r="N65" s="9">
        <v>44</v>
      </c>
      <c r="O65" s="9">
        <v>20</v>
      </c>
      <c r="P65" s="9"/>
      <c r="Q65" s="18">
        <f t="shared" si="45"/>
        <v>64</v>
      </c>
      <c r="R65" s="18">
        <v>4</v>
      </c>
      <c r="S65" s="18" t="str">
        <f t="shared" si="46"/>
        <v>7</v>
      </c>
      <c r="T65" s="18" t="str">
        <f t="shared" si="47"/>
        <v>B+</v>
      </c>
      <c r="U65" s="18">
        <f t="shared" si="48"/>
        <v>28</v>
      </c>
      <c r="V65" s="18"/>
      <c r="W65" s="9">
        <v>40</v>
      </c>
      <c r="X65" s="9">
        <v>37</v>
      </c>
      <c r="Y65" s="18"/>
      <c r="Z65" s="18">
        <f t="shared" si="49"/>
        <v>77</v>
      </c>
      <c r="AA65" s="18">
        <v>3</v>
      </c>
      <c r="AB65" s="18" t="str">
        <f t="shared" si="50"/>
        <v>8</v>
      </c>
      <c r="AC65" s="18" t="str">
        <f t="shared" si="51"/>
        <v>A</v>
      </c>
      <c r="AD65" s="18">
        <f t="shared" si="52"/>
        <v>24</v>
      </c>
      <c r="AE65" s="18"/>
      <c r="AF65" s="46">
        <v>38</v>
      </c>
      <c r="AG65" s="46">
        <v>25</v>
      </c>
      <c r="AH65" s="9"/>
      <c r="AI65" s="18">
        <f t="shared" si="53"/>
        <v>63</v>
      </c>
      <c r="AJ65" s="18">
        <v>3</v>
      </c>
      <c r="AK65" s="18" t="str">
        <f t="shared" si="54"/>
        <v>7</v>
      </c>
      <c r="AL65" s="18" t="str">
        <f t="shared" si="55"/>
        <v>B+</v>
      </c>
      <c r="AM65" s="18">
        <f t="shared" si="56"/>
        <v>21</v>
      </c>
      <c r="AN65" s="18"/>
      <c r="AO65" s="46">
        <v>40</v>
      </c>
      <c r="AP65" s="46">
        <v>22</v>
      </c>
      <c r="AQ65" s="9"/>
      <c r="AR65" s="18">
        <f t="shared" si="57"/>
        <v>62</v>
      </c>
      <c r="AS65" s="18">
        <v>3</v>
      </c>
      <c r="AT65" s="18" t="str">
        <f t="shared" si="58"/>
        <v>7</v>
      </c>
      <c r="AU65" s="18" t="str">
        <f t="shared" si="59"/>
        <v>B+</v>
      </c>
      <c r="AV65" s="18">
        <f t="shared" si="60"/>
        <v>21</v>
      </c>
      <c r="AW65" s="18"/>
      <c r="AX65" s="9">
        <v>45</v>
      </c>
      <c r="AY65" s="9">
        <v>31</v>
      </c>
      <c r="AZ65" s="9"/>
      <c r="BA65" s="18">
        <f t="shared" si="61"/>
        <v>76</v>
      </c>
      <c r="BB65" s="18">
        <v>1</v>
      </c>
      <c r="BC65" s="18" t="str">
        <f t="shared" si="62"/>
        <v>8</v>
      </c>
      <c r="BD65" s="18" t="str">
        <f t="shared" si="63"/>
        <v>A</v>
      </c>
      <c r="BE65" s="18">
        <f t="shared" si="64"/>
        <v>8</v>
      </c>
      <c r="BF65" s="43" t="s">
        <v>35</v>
      </c>
      <c r="BG65" s="9">
        <v>45</v>
      </c>
      <c r="BH65" s="9">
        <v>28</v>
      </c>
      <c r="BI65" s="9"/>
      <c r="BJ65" s="18">
        <f t="shared" si="65"/>
        <v>73</v>
      </c>
      <c r="BK65" s="18">
        <v>1</v>
      </c>
      <c r="BL65" s="18" t="str">
        <f t="shared" si="66"/>
        <v>8</v>
      </c>
      <c r="BM65" s="18" t="str">
        <f t="shared" si="67"/>
        <v>A</v>
      </c>
      <c r="BN65" s="18">
        <f t="shared" si="68"/>
        <v>8</v>
      </c>
      <c r="BO65" s="18"/>
      <c r="BP65" s="9">
        <v>41</v>
      </c>
      <c r="BQ65" s="9">
        <v>38</v>
      </c>
      <c r="BR65" s="9"/>
      <c r="BS65" s="18">
        <f t="shared" si="69"/>
        <v>79</v>
      </c>
      <c r="BT65" s="18">
        <v>1</v>
      </c>
      <c r="BU65" s="18" t="str">
        <f t="shared" si="70"/>
        <v>8</v>
      </c>
      <c r="BV65" s="18" t="str">
        <f t="shared" si="71"/>
        <v>A</v>
      </c>
      <c r="BW65" s="18">
        <f t="shared" si="72"/>
        <v>8</v>
      </c>
      <c r="BX65" s="18"/>
      <c r="BY65" s="18"/>
      <c r="BZ65" s="18">
        <f t="shared" si="73"/>
        <v>150</v>
      </c>
      <c r="CA65" s="19">
        <f t="shared" si="74"/>
        <v>7.5</v>
      </c>
      <c r="CB65" s="28" t="str">
        <f t="shared" si="75"/>
        <v>A</v>
      </c>
      <c r="CC65" s="27">
        <f t="shared" si="76"/>
        <v>71.25</v>
      </c>
      <c r="CD65" s="27"/>
      <c r="CE65" s="28">
        <f t="shared" si="77"/>
        <v>564</v>
      </c>
      <c r="CF65" s="28">
        <f t="shared" si="78"/>
        <v>70.5</v>
      </c>
      <c r="CG65" s="27"/>
      <c r="CH65" s="27"/>
      <c r="CI65" s="27" t="str">
        <f t="shared" si="79"/>
        <v>FC</v>
      </c>
    </row>
    <row r="66" spans="1:87" ht="15.75" customHeight="1" x14ac:dyDescent="0.3">
      <c r="A66" s="35">
        <f t="shared" si="80"/>
        <v>72</v>
      </c>
      <c r="B66" s="37" t="s">
        <v>335</v>
      </c>
      <c r="C66" s="44" t="s">
        <v>336</v>
      </c>
      <c r="D66" s="47" t="s">
        <v>31</v>
      </c>
      <c r="E66" s="9">
        <v>44</v>
      </c>
      <c r="F66" s="9">
        <v>18</v>
      </c>
      <c r="G66" s="9"/>
      <c r="H66" s="18">
        <f t="shared" si="41"/>
        <v>62</v>
      </c>
      <c r="I66" s="18">
        <v>4</v>
      </c>
      <c r="J66" s="18" t="str">
        <f t="shared" si="42"/>
        <v>7</v>
      </c>
      <c r="K66" s="18" t="str">
        <f t="shared" si="43"/>
        <v>B+</v>
      </c>
      <c r="L66" s="18">
        <f t="shared" si="44"/>
        <v>28</v>
      </c>
      <c r="M66" s="18"/>
      <c r="N66" s="9">
        <v>43</v>
      </c>
      <c r="O66" s="9">
        <v>25</v>
      </c>
      <c r="P66" s="9"/>
      <c r="Q66" s="18">
        <f t="shared" si="45"/>
        <v>68</v>
      </c>
      <c r="R66" s="18">
        <v>4</v>
      </c>
      <c r="S66" s="18" t="str">
        <f t="shared" si="46"/>
        <v>7</v>
      </c>
      <c r="T66" s="18" t="str">
        <f t="shared" si="47"/>
        <v>B+</v>
      </c>
      <c r="U66" s="18">
        <f t="shared" si="48"/>
        <v>28</v>
      </c>
      <c r="V66" s="18"/>
      <c r="W66" s="9">
        <v>46</v>
      </c>
      <c r="X66" s="9">
        <v>34</v>
      </c>
      <c r="Y66" s="18"/>
      <c r="Z66" s="18">
        <f t="shared" si="49"/>
        <v>80</v>
      </c>
      <c r="AA66" s="18">
        <v>3</v>
      </c>
      <c r="AB66" s="18" t="str">
        <f t="shared" si="50"/>
        <v>9</v>
      </c>
      <c r="AC66" s="18" t="str">
        <f t="shared" si="51"/>
        <v>A+</v>
      </c>
      <c r="AD66" s="18">
        <f t="shared" si="52"/>
        <v>27</v>
      </c>
      <c r="AE66" s="18"/>
      <c r="AF66" s="46">
        <v>38</v>
      </c>
      <c r="AG66" s="46">
        <v>24</v>
      </c>
      <c r="AH66" s="9"/>
      <c r="AI66" s="18">
        <f t="shared" si="53"/>
        <v>62</v>
      </c>
      <c r="AJ66" s="18">
        <v>3</v>
      </c>
      <c r="AK66" s="18" t="str">
        <f t="shared" si="54"/>
        <v>7</v>
      </c>
      <c r="AL66" s="18" t="str">
        <f t="shared" si="55"/>
        <v>B+</v>
      </c>
      <c r="AM66" s="18">
        <f t="shared" si="56"/>
        <v>21</v>
      </c>
      <c r="AN66" s="18"/>
      <c r="AO66" s="46">
        <v>44</v>
      </c>
      <c r="AP66" s="46">
        <v>21</v>
      </c>
      <c r="AQ66" s="9"/>
      <c r="AR66" s="18">
        <f t="shared" si="57"/>
        <v>65</v>
      </c>
      <c r="AS66" s="18">
        <v>3</v>
      </c>
      <c r="AT66" s="18" t="str">
        <f t="shared" si="58"/>
        <v>7</v>
      </c>
      <c r="AU66" s="18" t="str">
        <f t="shared" si="59"/>
        <v>B+</v>
      </c>
      <c r="AV66" s="18">
        <f t="shared" si="60"/>
        <v>21</v>
      </c>
      <c r="AW66" s="18"/>
      <c r="AX66" s="9">
        <v>44</v>
      </c>
      <c r="AY66" s="9">
        <v>27</v>
      </c>
      <c r="AZ66" s="9"/>
      <c r="BA66" s="18">
        <f t="shared" si="61"/>
        <v>71</v>
      </c>
      <c r="BB66" s="18">
        <v>1</v>
      </c>
      <c r="BC66" s="18" t="str">
        <f t="shared" si="62"/>
        <v>8</v>
      </c>
      <c r="BD66" s="18" t="str">
        <f t="shared" si="63"/>
        <v>A</v>
      </c>
      <c r="BE66" s="18">
        <f t="shared" si="64"/>
        <v>8</v>
      </c>
      <c r="BF66" s="69" t="s">
        <v>35</v>
      </c>
      <c r="BG66" s="9">
        <v>45</v>
      </c>
      <c r="BH66" s="9">
        <v>24</v>
      </c>
      <c r="BI66" s="9"/>
      <c r="BJ66" s="18">
        <f t="shared" si="65"/>
        <v>69</v>
      </c>
      <c r="BK66" s="18">
        <v>1</v>
      </c>
      <c r="BL66" s="18" t="str">
        <f t="shared" si="66"/>
        <v>7</v>
      </c>
      <c r="BM66" s="18" t="str">
        <f t="shared" si="67"/>
        <v>B+</v>
      </c>
      <c r="BN66" s="18">
        <f t="shared" si="68"/>
        <v>7</v>
      </c>
      <c r="BO66" s="18"/>
      <c r="BP66" s="9">
        <v>46</v>
      </c>
      <c r="BQ66" s="9">
        <v>39</v>
      </c>
      <c r="BR66" s="9"/>
      <c r="BS66" s="18">
        <f t="shared" si="69"/>
        <v>85</v>
      </c>
      <c r="BT66" s="18">
        <v>1</v>
      </c>
      <c r="BU66" s="18" t="str">
        <f t="shared" si="70"/>
        <v>9</v>
      </c>
      <c r="BV66" s="18" t="str">
        <f t="shared" si="71"/>
        <v>A+</v>
      </c>
      <c r="BW66" s="18">
        <f t="shared" si="72"/>
        <v>9</v>
      </c>
      <c r="BX66" s="18"/>
      <c r="BY66" s="18"/>
      <c r="BZ66" s="18">
        <f t="shared" si="73"/>
        <v>149</v>
      </c>
      <c r="CA66" s="19">
        <f t="shared" si="74"/>
        <v>7.45</v>
      </c>
      <c r="CB66" s="28" t="str">
        <f t="shared" si="75"/>
        <v>A</v>
      </c>
      <c r="CC66" s="27">
        <f t="shared" si="76"/>
        <v>70.775000000000006</v>
      </c>
      <c r="CD66" s="27"/>
      <c r="CE66" s="28">
        <f t="shared" si="77"/>
        <v>562</v>
      </c>
      <c r="CF66" s="28">
        <f t="shared" si="78"/>
        <v>70.25</v>
      </c>
      <c r="CG66" s="27"/>
      <c r="CH66" s="27"/>
      <c r="CI66" s="27" t="str">
        <f t="shared" si="79"/>
        <v>FC</v>
      </c>
    </row>
    <row r="67" spans="1:87" ht="15.75" customHeight="1" x14ac:dyDescent="0.3">
      <c r="A67" s="35">
        <f t="shared" si="80"/>
        <v>73</v>
      </c>
      <c r="B67" s="37" t="s">
        <v>337</v>
      </c>
      <c r="C67" s="44" t="s">
        <v>338</v>
      </c>
      <c r="D67" s="47" t="s">
        <v>31</v>
      </c>
      <c r="E67" s="9">
        <v>41</v>
      </c>
      <c r="F67" s="9">
        <v>21</v>
      </c>
      <c r="G67" s="9"/>
      <c r="H67" s="18">
        <f t="shared" si="41"/>
        <v>62</v>
      </c>
      <c r="I67" s="18">
        <v>4</v>
      </c>
      <c r="J67" s="18" t="str">
        <f t="shared" si="42"/>
        <v>7</v>
      </c>
      <c r="K67" s="18" t="str">
        <f t="shared" si="43"/>
        <v>B+</v>
      </c>
      <c r="L67" s="18">
        <f t="shared" si="44"/>
        <v>28</v>
      </c>
      <c r="M67" s="18"/>
      <c r="N67" s="9">
        <v>40</v>
      </c>
      <c r="O67" s="9">
        <v>26</v>
      </c>
      <c r="P67" s="9"/>
      <c r="Q67" s="18">
        <f t="shared" si="45"/>
        <v>66</v>
      </c>
      <c r="R67" s="18">
        <v>4</v>
      </c>
      <c r="S67" s="18" t="str">
        <f t="shared" si="46"/>
        <v>7</v>
      </c>
      <c r="T67" s="18" t="str">
        <f t="shared" si="47"/>
        <v>B+</v>
      </c>
      <c r="U67" s="18">
        <f t="shared" si="48"/>
        <v>28</v>
      </c>
      <c r="V67" s="18"/>
      <c r="W67" s="9">
        <v>38</v>
      </c>
      <c r="X67" s="9">
        <v>20</v>
      </c>
      <c r="Y67" s="18"/>
      <c r="Z67" s="18">
        <f t="shared" si="49"/>
        <v>58</v>
      </c>
      <c r="AA67" s="18">
        <v>3</v>
      </c>
      <c r="AB67" s="18" t="str">
        <f t="shared" si="50"/>
        <v>6</v>
      </c>
      <c r="AC67" s="18" t="str">
        <f t="shared" si="51"/>
        <v>B</v>
      </c>
      <c r="AD67" s="18">
        <f t="shared" si="52"/>
        <v>18</v>
      </c>
      <c r="AE67" s="18"/>
      <c r="AF67" s="46">
        <v>40</v>
      </c>
      <c r="AG67" s="46">
        <v>31</v>
      </c>
      <c r="AH67" s="9"/>
      <c r="AI67" s="18">
        <f t="shared" si="53"/>
        <v>71</v>
      </c>
      <c r="AJ67" s="18">
        <v>3</v>
      </c>
      <c r="AK67" s="18" t="str">
        <f t="shared" si="54"/>
        <v>8</v>
      </c>
      <c r="AL67" s="18" t="str">
        <f t="shared" si="55"/>
        <v>A</v>
      </c>
      <c r="AM67" s="18">
        <f t="shared" si="56"/>
        <v>24</v>
      </c>
      <c r="AN67" s="18"/>
      <c r="AO67" s="46">
        <v>42</v>
      </c>
      <c r="AP67" s="46">
        <v>29</v>
      </c>
      <c r="AQ67" s="9"/>
      <c r="AR67" s="18">
        <f t="shared" si="57"/>
        <v>71</v>
      </c>
      <c r="AS67" s="18">
        <v>3</v>
      </c>
      <c r="AT67" s="18" t="str">
        <f t="shared" si="58"/>
        <v>8</v>
      </c>
      <c r="AU67" s="18" t="str">
        <f t="shared" si="59"/>
        <v>A</v>
      </c>
      <c r="AV67" s="18">
        <f t="shared" si="60"/>
        <v>24</v>
      </c>
      <c r="AW67" s="18"/>
      <c r="AX67" s="9">
        <v>45</v>
      </c>
      <c r="AY67" s="9">
        <v>26</v>
      </c>
      <c r="AZ67" s="9"/>
      <c r="BA67" s="18">
        <f t="shared" si="61"/>
        <v>71</v>
      </c>
      <c r="BB67" s="18">
        <v>1</v>
      </c>
      <c r="BC67" s="18" t="str">
        <f t="shared" si="62"/>
        <v>8</v>
      </c>
      <c r="BD67" s="18" t="str">
        <f t="shared" si="63"/>
        <v>A</v>
      </c>
      <c r="BE67" s="18">
        <f t="shared" si="64"/>
        <v>8</v>
      </c>
      <c r="BF67" s="43" t="s">
        <v>35</v>
      </c>
      <c r="BG67" s="9">
        <v>44</v>
      </c>
      <c r="BH67" s="9">
        <v>33</v>
      </c>
      <c r="BI67" s="9"/>
      <c r="BJ67" s="18">
        <f t="shared" si="65"/>
        <v>77</v>
      </c>
      <c r="BK67" s="18">
        <v>1</v>
      </c>
      <c r="BL67" s="18" t="str">
        <f t="shared" si="66"/>
        <v>8</v>
      </c>
      <c r="BM67" s="18" t="str">
        <f t="shared" si="67"/>
        <v>A</v>
      </c>
      <c r="BN67" s="18">
        <f t="shared" si="68"/>
        <v>8</v>
      </c>
      <c r="BO67" s="18"/>
      <c r="BP67" s="9">
        <v>45</v>
      </c>
      <c r="BQ67" s="9">
        <v>39</v>
      </c>
      <c r="BR67" s="9"/>
      <c r="BS67" s="18">
        <f t="shared" si="69"/>
        <v>84</v>
      </c>
      <c r="BT67" s="18">
        <v>1</v>
      </c>
      <c r="BU67" s="18" t="str">
        <f t="shared" si="70"/>
        <v>9</v>
      </c>
      <c r="BV67" s="18" t="str">
        <f t="shared" si="71"/>
        <v>A+</v>
      </c>
      <c r="BW67" s="18">
        <f t="shared" si="72"/>
        <v>9</v>
      </c>
      <c r="BX67" s="18"/>
      <c r="BY67" s="18"/>
      <c r="BZ67" s="18">
        <f t="shared" si="73"/>
        <v>147</v>
      </c>
      <c r="CA67" s="19">
        <f t="shared" si="74"/>
        <v>7.35</v>
      </c>
      <c r="CB67" s="28" t="str">
        <f t="shared" si="75"/>
        <v>A</v>
      </c>
      <c r="CC67" s="27">
        <f t="shared" si="76"/>
        <v>69.825000000000003</v>
      </c>
      <c r="CD67" s="27"/>
      <c r="CE67" s="28">
        <f t="shared" si="77"/>
        <v>560</v>
      </c>
      <c r="CF67" s="28">
        <f t="shared" si="78"/>
        <v>70</v>
      </c>
      <c r="CG67" s="27"/>
      <c r="CH67" s="27"/>
      <c r="CI67" s="27" t="str">
        <f t="shared" si="79"/>
        <v>FC</v>
      </c>
    </row>
    <row r="68" spans="1:87" ht="15.75" customHeight="1" x14ac:dyDescent="0.3">
      <c r="A68" s="35">
        <f t="shared" si="80"/>
        <v>74</v>
      </c>
      <c r="B68" s="37" t="s">
        <v>339</v>
      </c>
      <c r="C68" s="44" t="s">
        <v>340</v>
      </c>
      <c r="D68" s="47" t="s">
        <v>31</v>
      </c>
      <c r="E68" s="9">
        <v>46</v>
      </c>
      <c r="F68" s="9">
        <v>18</v>
      </c>
      <c r="G68" s="9"/>
      <c r="H68" s="18">
        <f t="shared" si="41"/>
        <v>64</v>
      </c>
      <c r="I68" s="18">
        <v>4</v>
      </c>
      <c r="J68" s="18" t="str">
        <f t="shared" si="42"/>
        <v>7</v>
      </c>
      <c r="K68" s="18" t="str">
        <f t="shared" si="43"/>
        <v>B+</v>
      </c>
      <c r="L68" s="18">
        <f t="shared" si="44"/>
        <v>28</v>
      </c>
      <c r="M68" s="18"/>
      <c r="N68" s="9">
        <v>44</v>
      </c>
      <c r="O68" s="9">
        <v>24</v>
      </c>
      <c r="P68" s="9"/>
      <c r="Q68" s="18">
        <f t="shared" si="45"/>
        <v>68</v>
      </c>
      <c r="R68" s="18">
        <v>4</v>
      </c>
      <c r="S68" s="18" t="str">
        <f t="shared" si="46"/>
        <v>7</v>
      </c>
      <c r="T68" s="18" t="str">
        <f t="shared" si="47"/>
        <v>B+</v>
      </c>
      <c r="U68" s="18">
        <f t="shared" si="48"/>
        <v>28</v>
      </c>
      <c r="V68" s="18"/>
      <c r="W68" s="9">
        <v>40</v>
      </c>
      <c r="X68" s="9">
        <v>36</v>
      </c>
      <c r="Y68" s="18"/>
      <c r="Z68" s="18">
        <f t="shared" si="49"/>
        <v>76</v>
      </c>
      <c r="AA68" s="18">
        <v>3</v>
      </c>
      <c r="AB68" s="18" t="str">
        <f t="shared" si="50"/>
        <v>8</v>
      </c>
      <c r="AC68" s="18" t="str">
        <f t="shared" si="51"/>
        <v>A</v>
      </c>
      <c r="AD68" s="18">
        <f t="shared" si="52"/>
        <v>24</v>
      </c>
      <c r="AE68" s="18"/>
      <c r="AF68" s="46">
        <v>40</v>
      </c>
      <c r="AG68" s="46">
        <v>22</v>
      </c>
      <c r="AH68" s="9"/>
      <c r="AI68" s="18">
        <f t="shared" si="53"/>
        <v>62</v>
      </c>
      <c r="AJ68" s="18">
        <v>3</v>
      </c>
      <c r="AK68" s="18" t="str">
        <f t="shared" si="54"/>
        <v>7</v>
      </c>
      <c r="AL68" s="18" t="str">
        <f t="shared" si="55"/>
        <v>B+</v>
      </c>
      <c r="AM68" s="18">
        <f t="shared" si="56"/>
        <v>21</v>
      </c>
      <c r="AN68" s="18"/>
      <c r="AO68" s="46">
        <v>40</v>
      </c>
      <c r="AP68" s="46">
        <v>19</v>
      </c>
      <c r="AQ68" s="9"/>
      <c r="AR68" s="18">
        <f t="shared" si="57"/>
        <v>59</v>
      </c>
      <c r="AS68" s="18">
        <v>3</v>
      </c>
      <c r="AT68" s="18" t="str">
        <f t="shared" si="58"/>
        <v>6</v>
      </c>
      <c r="AU68" s="18" t="str">
        <f t="shared" si="59"/>
        <v>B</v>
      </c>
      <c r="AV68" s="18">
        <f t="shared" si="60"/>
        <v>18</v>
      </c>
      <c r="AW68" s="18"/>
      <c r="AX68" s="9">
        <v>45</v>
      </c>
      <c r="AY68" s="9">
        <v>40</v>
      </c>
      <c r="AZ68" s="9"/>
      <c r="BA68" s="18">
        <f t="shared" si="61"/>
        <v>85</v>
      </c>
      <c r="BB68" s="18">
        <v>1</v>
      </c>
      <c r="BC68" s="18" t="str">
        <f t="shared" si="62"/>
        <v>9</v>
      </c>
      <c r="BD68" s="18" t="str">
        <f t="shared" si="63"/>
        <v>A+</v>
      </c>
      <c r="BE68" s="18">
        <f t="shared" si="64"/>
        <v>9</v>
      </c>
      <c r="BF68" s="43" t="s">
        <v>35</v>
      </c>
      <c r="BG68" s="9">
        <v>46</v>
      </c>
      <c r="BH68" s="9">
        <v>37</v>
      </c>
      <c r="BI68" s="9"/>
      <c r="BJ68" s="18">
        <f t="shared" si="65"/>
        <v>83</v>
      </c>
      <c r="BK68" s="18">
        <v>1</v>
      </c>
      <c r="BL68" s="18" t="str">
        <f t="shared" si="66"/>
        <v>9</v>
      </c>
      <c r="BM68" s="18" t="str">
        <f t="shared" si="67"/>
        <v>A+</v>
      </c>
      <c r="BN68" s="18">
        <f t="shared" si="68"/>
        <v>9</v>
      </c>
      <c r="BO68" s="18"/>
      <c r="BP68" s="9">
        <v>45</v>
      </c>
      <c r="BQ68" s="9">
        <v>38</v>
      </c>
      <c r="BR68" s="9"/>
      <c r="BS68" s="18">
        <f t="shared" si="69"/>
        <v>83</v>
      </c>
      <c r="BT68" s="18">
        <v>1</v>
      </c>
      <c r="BU68" s="18" t="str">
        <f t="shared" si="70"/>
        <v>9</v>
      </c>
      <c r="BV68" s="18" t="str">
        <f t="shared" si="71"/>
        <v>A+</v>
      </c>
      <c r="BW68" s="18">
        <f t="shared" si="72"/>
        <v>9</v>
      </c>
      <c r="BX68" s="18"/>
      <c r="BY68" s="18"/>
      <c r="BZ68" s="18">
        <f t="shared" si="73"/>
        <v>146</v>
      </c>
      <c r="CA68" s="19">
        <f t="shared" si="74"/>
        <v>7.3</v>
      </c>
      <c r="CB68" s="28" t="str">
        <f t="shared" si="75"/>
        <v>A</v>
      </c>
      <c r="CC68" s="27">
        <f t="shared" si="76"/>
        <v>69.349999999999994</v>
      </c>
      <c r="CD68" s="27"/>
      <c r="CE68" s="28">
        <f t="shared" si="77"/>
        <v>580</v>
      </c>
      <c r="CF68" s="28">
        <f t="shared" si="78"/>
        <v>72.5</v>
      </c>
      <c r="CG68" s="27"/>
      <c r="CH68" s="27"/>
      <c r="CI68" s="27" t="str">
        <f t="shared" si="79"/>
        <v>FC</v>
      </c>
    </row>
    <row r="69" spans="1:87" ht="15.75" customHeight="1" x14ac:dyDescent="0.3">
      <c r="A69" s="49">
        <f t="shared" si="80"/>
        <v>75</v>
      </c>
      <c r="B69" s="50" t="s">
        <v>341</v>
      </c>
      <c r="C69" s="51" t="s">
        <v>342</v>
      </c>
      <c r="D69" s="52" t="s">
        <v>31</v>
      </c>
      <c r="E69" s="53">
        <v>40</v>
      </c>
      <c r="F69" s="53">
        <v>10</v>
      </c>
      <c r="G69" s="53"/>
      <c r="H69" s="54">
        <f t="shared" si="41"/>
        <v>50</v>
      </c>
      <c r="I69" s="54">
        <v>4</v>
      </c>
      <c r="J69" s="54" t="str">
        <f t="shared" si="42"/>
        <v>0</v>
      </c>
      <c r="K69" s="54" t="str">
        <f t="shared" si="43"/>
        <v>F</v>
      </c>
      <c r="L69" s="54">
        <f t="shared" si="44"/>
        <v>0</v>
      </c>
      <c r="M69" s="54"/>
      <c r="N69" s="53">
        <v>42</v>
      </c>
      <c r="O69" s="53">
        <v>32</v>
      </c>
      <c r="P69" s="53"/>
      <c r="Q69" s="54">
        <f t="shared" si="45"/>
        <v>74</v>
      </c>
      <c r="R69" s="54">
        <v>4</v>
      </c>
      <c r="S69" s="54" t="str">
        <f t="shared" si="46"/>
        <v>8</v>
      </c>
      <c r="T69" s="54" t="str">
        <f t="shared" si="47"/>
        <v>A</v>
      </c>
      <c r="U69" s="54">
        <f t="shared" si="48"/>
        <v>32</v>
      </c>
      <c r="V69" s="54"/>
      <c r="W69" s="53">
        <v>45</v>
      </c>
      <c r="X69" s="53">
        <v>45</v>
      </c>
      <c r="Y69" s="54"/>
      <c r="Z69" s="54">
        <f t="shared" si="49"/>
        <v>90</v>
      </c>
      <c r="AA69" s="54">
        <v>3</v>
      </c>
      <c r="AB69" s="54" t="str">
        <f t="shared" si="50"/>
        <v>10</v>
      </c>
      <c r="AC69" s="54" t="str">
        <f t="shared" si="51"/>
        <v>O</v>
      </c>
      <c r="AD69" s="54">
        <f t="shared" si="52"/>
        <v>30</v>
      </c>
      <c r="AE69" s="54"/>
      <c r="AF69" s="55">
        <v>33</v>
      </c>
      <c r="AG69" s="55">
        <v>21</v>
      </c>
      <c r="AH69" s="53"/>
      <c r="AI69" s="54">
        <f t="shared" si="53"/>
        <v>54</v>
      </c>
      <c r="AJ69" s="54">
        <v>3</v>
      </c>
      <c r="AK69" s="54" t="str">
        <f t="shared" si="54"/>
        <v>5</v>
      </c>
      <c r="AL69" s="54" t="str">
        <f t="shared" si="55"/>
        <v>C</v>
      </c>
      <c r="AM69" s="54">
        <f t="shared" si="56"/>
        <v>15</v>
      </c>
      <c r="AN69" s="54"/>
      <c r="AO69" s="55">
        <v>45</v>
      </c>
      <c r="AP69" s="55">
        <v>24</v>
      </c>
      <c r="AQ69" s="53"/>
      <c r="AR69" s="54">
        <f t="shared" si="57"/>
        <v>69</v>
      </c>
      <c r="AS69" s="54">
        <v>3</v>
      </c>
      <c r="AT69" s="54" t="str">
        <f t="shared" si="58"/>
        <v>7</v>
      </c>
      <c r="AU69" s="54" t="str">
        <f t="shared" si="59"/>
        <v>B+</v>
      </c>
      <c r="AV69" s="54">
        <f t="shared" si="60"/>
        <v>21</v>
      </c>
      <c r="AW69" s="54"/>
      <c r="AX69" s="53">
        <v>46</v>
      </c>
      <c r="AY69" s="53">
        <v>36</v>
      </c>
      <c r="AZ69" s="53"/>
      <c r="BA69" s="54">
        <f t="shared" si="61"/>
        <v>82</v>
      </c>
      <c r="BB69" s="54">
        <v>1</v>
      </c>
      <c r="BC69" s="54" t="str">
        <f t="shared" si="62"/>
        <v>9</v>
      </c>
      <c r="BD69" s="54" t="str">
        <f t="shared" si="63"/>
        <v>A+</v>
      </c>
      <c r="BE69" s="54">
        <f t="shared" si="64"/>
        <v>9</v>
      </c>
      <c r="BF69" s="43" t="s">
        <v>35</v>
      </c>
      <c r="BG69" s="53">
        <v>41</v>
      </c>
      <c r="BH69" s="53">
        <v>37</v>
      </c>
      <c r="BI69" s="53"/>
      <c r="BJ69" s="54">
        <f t="shared" si="65"/>
        <v>78</v>
      </c>
      <c r="BK69" s="54">
        <v>1</v>
      </c>
      <c r="BL69" s="54" t="str">
        <f t="shared" si="66"/>
        <v>8</v>
      </c>
      <c r="BM69" s="54" t="str">
        <f t="shared" si="67"/>
        <v>A</v>
      </c>
      <c r="BN69" s="54">
        <f t="shared" si="68"/>
        <v>8</v>
      </c>
      <c r="BO69" s="54"/>
      <c r="BP69" s="53">
        <v>45</v>
      </c>
      <c r="BQ69" s="53">
        <v>29</v>
      </c>
      <c r="BR69" s="53"/>
      <c r="BS69" s="54">
        <f t="shared" si="69"/>
        <v>74</v>
      </c>
      <c r="BT69" s="54">
        <v>1</v>
      </c>
      <c r="BU69" s="54" t="str">
        <f t="shared" si="70"/>
        <v>8</v>
      </c>
      <c r="BV69" s="54" t="str">
        <f t="shared" si="71"/>
        <v>A</v>
      </c>
      <c r="BW69" s="54">
        <f t="shared" si="72"/>
        <v>8</v>
      </c>
      <c r="BX69" s="54"/>
      <c r="BY69" s="54"/>
      <c r="BZ69" s="54">
        <f t="shared" si="73"/>
        <v>123</v>
      </c>
      <c r="CA69" s="56">
        <f t="shared" si="74"/>
        <v>6.15</v>
      </c>
      <c r="CB69" s="57" t="str">
        <f t="shared" si="75"/>
        <v>F</v>
      </c>
      <c r="CC69" s="58">
        <f t="shared" si="76"/>
        <v>58.425000000000004</v>
      </c>
      <c r="CD69" s="58"/>
      <c r="CE69" s="57">
        <f t="shared" si="77"/>
        <v>571</v>
      </c>
      <c r="CF69" s="57">
        <f t="shared" si="78"/>
        <v>71.375</v>
      </c>
      <c r="CG69" s="58"/>
      <c r="CH69" s="58"/>
      <c r="CI69" s="58" t="s">
        <v>40</v>
      </c>
    </row>
    <row r="70" spans="1:87" ht="15.75" customHeight="1" x14ac:dyDescent="0.3">
      <c r="A70" s="49">
        <f t="shared" si="80"/>
        <v>76</v>
      </c>
      <c r="B70" s="50" t="s">
        <v>343</v>
      </c>
      <c r="C70" s="51" t="s">
        <v>344</v>
      </c>
      <c r="D70" s="52" t="s">
        <v>31</v>
      </c>
      <c r="E70" s="53">
        <v>41</v>
      </c>
      <c r="F70" s="53">
        <v>11</v>
      </c>
      <c r="G70" s="53"/>
      <c r="H70" s="54">
        <f t="shared" si="41"/>
        <v>52</v>
      </c>
      <c r="I70" s="54">
        <v>4</v>
      </c>
      <c r="J70" s="54" t="str">
        <f t="shared" si="42"/>
        <v>0</v>
      </c>
      <c r="K70" s="54" t="str">
        <f t="shared" si="43"/>
        <v>F</v>
      </c>
      <c r="L70" s="54">
        <f t="shared" si="44"/>
        <v>0</v>
      </c>
      <c r="M70" s="54"/>
      <c r="N70" s="53">
        <v>45</v>
      </c>
      <c r="O70" s="53">
        <v>13</v>
      </c>
      <c r="P70" s="53"/>
      <c r="Q70" s="54">
        <f t="shared" si="45"/>
        <v>58</v>
      </c>
      <c r="R70" s="54">
        <v>4</v>
      </c>
      <c r="S70" s="54" t="str">
        <f t="shared" si="46"/>
        <v>0</v>
      </c>
      <c r="T70" s="54" t="str">
        <f t="shared" si="47"/>
        <v>F</v>
      </c>
      <c r="U70" s="54">
        <f t="shared" si="48"/>
        <v>0</v>
      </c>
      <c r="V70" s="54"/>
      <c r="W70" s="53">
        <v>45</v>
      </c>
      <c r="X70" s="53">
        <v>36</v>
      </c>
      <c r="Y70" s="54"/>
      <c r="Z70" s="54">
        <f t="shared" si="49"/>
        <v>81</v>
      </c>
      <c r="AA70" s="54">
        <v>3</v>
      </c>
      <c r="AB70" s="54" t="str">
        <f t="shared" si="50"/>
        <v>9</v>
      </c>
      <c r="AC70" s="54" t="str">
        <f t="shared" si="51"/>
        <v>A+</v>
      </c>
      <c r="AD70" s="54">
        <f t="shared" si="52"/>
        <v>27</v>
      </c>
      <c r="AE70" s="54"/>
      <c r="AF70" s="55">
        <v>40</v>
      </c>
      <c r="AG70" s="55">
        <v>23</v>
      </c>
      <c r="AH70" s="53"/>
      <c r="AI70" s="54">
        <f t="shared" si="53"/>
        <v>63</v>
      </c>
      <c r="AJ70" s="54">
        <v>3</v>
      </c>
      <c r="AK70" s="54" t="str">
        <f t="shared" si="54"/>
        <v>7</v>
      </c>
      <c r="AL70" s="54" t="str">
        <f t="shared" si="55"/>
        <v>B+</v>
      </c>
      <c r="AM70" s="54">
        <f t="shared" si="56"/>
        <v>21</v>
      </c>
      <c r="AN70" s="54"/>
      <c r="AO70" s="55">
        <v>42</v>
      </c>
      <c r="AP70" s="55">
        <v>11</v>
      </c>
      <c r="AQ70" s="53"/>
      <c r="AR70" s="54">
        <f t="shared" si="57"/>
        <v>53</v>
      </c>
      <c r="AS70" s="54">
        <v>3</v>
      </c>
      <c r="AT70" s="54" t="str">
        <f t="shared" si="58"/>
        <v>0</v>
      </c>
      <c r="AU70" s="54" t="str">
        <f t="shared" si="59"/>
        <v>F</v>
      </c>
      <c r="AV70" s="54">
        <f t="shared" si="60"/>
        <v>0</v>
      </c>
      <c r="AW70" s="54"/>
      <c r="AX70" s="53">
        <v>45</v>
      </c>
      <c r="AY70" s="53">
        <v>20</v>
      </c>
      <c r="AZ70" s="53"/>
      <c r="BA70" s="54">
        <f t="shared" si="61"/>
        <v>65</v>
      </c>
      <c r="BB70" s="54">
        <v>1</v>
      </c>
      <c r="BC70" s="54" t="str">
        <f t="shared" si="62"/>
        <v>7</v>
      </c>
      <c r="BD70" s="54" t="str">
        <f t="shared" si="63"/>
        <v>B+</v>
      </c>
      <c r="BE70" s="54">
        <f t="shared" si="64"/>
        <v>7</v>
      </c>
      <c r="BF70" s="43" t="s">
        <v>35</v>
      </c>
      <c r="BG70" s="53">
        <v>46</v>
      </c>
      <c r="BH70" s="53">
        <v>23</v>
      </c>
      <c r="BI70" s="53"/>
      <c r="BJ70" s="54">
        <f t="shared" si="65"/>
        <v>69</v>
      </c>
      <c r="BK70" s="54">
        <v>1</v>
      </c>
      <c r="BL70" s="54" t="str">
        <f t="shared" si="66"/>
        <v>7</v>
      </c>
      <c r="BM70" s="54" t="str">
        <f t="shared" si="67"/>
        <v>B+</v>
      </c>
      <c r="BN70" s="54">
        <f t="shared" si="68"/>
        <v>7</v>
      </c>
      <c r="BO70" s="54"/>
      <c r="BP70" s="53">
        <v>45</v>
      </c>
      <c r="BQ70" s="53">
        <v>36</v>
      </c>
      <c r="BR70" s="53"/>
      <c r="BS70" s="54">
        <f t="shared" si="69"/>
        <v>81</v>
      </c>
      <c r="BT70" s="54">
        <v>1</v>
      </c>
      <c r="BU70" s="54" t="str">
        <f t="shared" si="70"/>
        <v>9</v>
      </c>
      <c r="BV70" s="54" t="str">
        <f t="shared" si="71"/>
        <v>A+</v>
      </c>
      <c r="BW70" s="54">
        <f t="shared" si="72"/>
        <v>9</v>
      </c>
      <c r="BX70" s="54"/>
      <c r="BY70" s="54"/>
      <c r="BZ70" s="54">
        <f t="shared" si="73"/>
        <v>71</v>
      </c>
      <c r="CA70" s="56">
        <f t="shared" si="74"/>
        <v>3.55</v>
      </c>
      <c r="CB70" s="57" t="str">
        <f t="shared" si="75"/>
        <v>F</v>
      </c>
      <c r="CC70" s="58">
        <f t="shared" si="76"/>
        <v>33.725000000000001</v>
      </c>
      <c r="CD70" s="58"/>
      <c r="CE70" s="57">
        <f t="shared" si="77"/>
        <v>522</v>
      </c>
      <c r="CF70" s="57">
        <f t="shared" si="78"/>
        <v>65.25</v>
      </c>
      <c r="CG70" s="58"/>
      <c r="CH70" s="58"/>
      <c r="CI70" s="58" t="str">
        <f>IF(CA70&lt;=4,"F",IF(CA70&lt;=6,"PASS",IF(CA70&lt;=6.5,"SC",IF(CA70&lt;=7.5,"FC",IF(CA70&lt;="10","FCD")))))</f>
        <v>F</v>
      </c>
    </row>
    <row r="71" spans="1:87" ht="13.8" x14ac:dyDescent="0.25">
      <c r="A71" s="70"/>
      <c r="B71" s="4"/>
      <c r="C71" s="4"/>
      <c r="D71" s="71"/>
      <c r="E71" s="15"/>
      <c r="F71" s="4"/>
      <c r="G71" s="4"/>
      <c r="H71" s="4"/>
      <c r="I71" s="4"/>
      <c r="J71" s="4"/>
      <c r="K71" s="4"/>
      <c r="L71" s="16"/>
      <c r="M71" s="17"/>
      <c r="N71" s="15"/>
      <c r="O71" s="4"/>
      <c r="P71" s="4"/>
      <c r="Q71" s="4"/>
      <c r="R71" s="4"/>
      <c r="S71" s="4"/>
      <c r="T71" s="4"/>
      <c r="U71" s="16"/>
      <c r="V71" s="17"/>
      <c r="W71" s="15"/>
      <c r="X71" s="4"/>
      <c r="Y71" s="4"/>
      <c r="Z71" s="4"/>
      <c r="AA71" s="4"/>
      <c r="AB71" s="4"/>
      <c r="AC71" s="4"/>
      <c r="AD71" s="16"/>
      <c r="AE71" s="17"/>
      <c r="AF71" s="72"/>
      <c r="AG71" s="73"/>
      <c r="AH71" s="4"/>
      <c r="AI71" s="4"/>
      <c r="AJ71" s="4"/>
      <c r="AK71" s="4"/>
      <c r="AL71" s="4"/>
      <c r="AM71" s="16"/>
      <c r="AN71" s="17"/>
      <c r="AO71" s="72"/>
      <c r="AP71" s="73"/>
      <c r="AQ71" s="4"/>
      <c r="AR71" s="4"/>
      <c r="AS71" s="4"/>
      <c r="AT71" s="4"/>
      <c r="AU71" s="4"/>
      <c r="AV71" s="16"/>
      <c r="AW71" s="17"/>
      <c r="AX71" s="15"/>
      <c r="AY71" s="4"/>
      <c r="AZ71" s="4"/>
      <c r="BA71" s="4"/>
      <c r="BB71" s="4"/>
      <c r="BC71" s="4"/>
      <c r="BD71" s="4"/>
      <c r="BE71" s="16"/>
      <c r="BG71" s="15"/>
      <c r="BH71" s="4"/>
      <c r="BI71" s="4"/>
      <c r="BJ71" s="4"/>
      <c r="BK71" s="4"/>
      <c r="BL71" s="4"/>
      <c r="BM71" s="4"/>
      <c r="BN71" s="16"/>
      <c r="BO71" s="17"/>
      <c r="BP71" s="15"/>
      <c r="BQ71" s="4"/>
      <c r="BR71" s="4"/>
      <c r="BS71" s="4"/>
      <c r="BT71" s="4"/>
      <c r="BU71" s="4"/>
      <c r="BV71" s="4"/>
      <c r="BW71" s="16"/>
      <c r="BX71" s="16"/>
      <c r="BY71" s="17"/>
      <c r="BZ71" s="17"/>
      <c r="CA71" s="17"/>
      <c r="CB71" s="48"/>
      <c r="CC71" s="23"/>
      <c r="CE71" s="48"/>
      <c r="CF71" s="48"/>
    </row>
    <row r="72" spans="1:87" ht="15.75" customHeight="1" x14ac:dyDescent="0.3">
      <c r="D72" s="1"/>
      <c r="E72" s="104" t="s">
        <v>141</v>
      </c>
      <c r="F72" s="98"/>
      <c r="G72" s="98"/>
      <c r="H72" s="98"/>
      <c r="I72" s="98"/>
      <c r="J72" s="98"/>
      <c r="K72" s="98"/>
      <c r="L72" s="98"/>
      <c r="M72" s="27"/>
      <c r="N72" s="105" t="s">
        <v>142</v>
      </c>
      <c r="O72" s="98"/>
      <c r="P72" s="98"/>
      <c r="Q72" s="98"/>
      <c r="R72" s="98"/>
      <c r="S72" s="98"/>
      <c r="T72" s="98"/>
      <c r="U72" s="98"/>
      <c r="V72" s="27"/>
      <c r="W72" s="105" t="s">
        <v>143</v>
      </c>
      <c r="X72" s="98"/>
      <c r="Y72" s="98"/>
      <c r="Z72" s="98"/>
      <c r="AA72" s="98"/>
      <c r="AB72" s="98"/>
      <c r="AC72" s="98"/>
      <c r="AD72" s="98"/>
      <c r="AE72" s="27"/>
      <c r="AF72" s="105" t="s">
        <v>144</v>
      </c>
      <c r="AG72" s="98"/>
      <c r="AH72" s="98"/>
      <c r="AI72" s="98"/>
      <c r="AJ72" s="98"/>
      <c r="AK72" s="98"/>
      <c r="AL72" s="98"/>
      <c r="AM72" s="98"/>
      <c r="AN72" s="27"/>
      <c r="AO72" s="105" t="s">
        <v>145</v>
      </c>
      <c r="AP72" s="98"/>
      <c r="AQ72" s="98"/>
      <c r="AR72" s="98"/>
      <c r="AS72" s="98"/>
      <c r="AT72" s="98"/>
      <c r="AU72" s="98"/>
      <c r="AV72" s="98"/>
      <c r="AW72" s="27"/>
      <c r="AX72" s="105" t="s">
        <v>146</v>
      </c>
      <c r="AY72" s="98"/>
      <c r="AZ72" s="98"/>
      <c r="BA72" s="98"/>
      <c r="BB72" s="98"/>
      <c r="BC72" s="98"/>
      <c r="BD72" s="98"/>
      <c r="BE72" s="98"/>
      <c r="BF72" s="27"/>
      <c r="BG72" s="105" t="s">
        <v>147</v>
      </c>
      <c r="BH72" s="98"/>
      <c r="BI72" s="98"/>
      <c r="BJ72" s="98"/>
      <c r="BK72" s="98"/>
      <c r="BL72" s="98"/>
      <c r="BM72" s="98"/>
      <c r="BN72" s="98"/>
      <c r="BO72" s="27"/>
      <c r="BP72" s="105" t="s">
        <v>148</v>
      </c>
      <c r="BQ72" s="98"/>
      <c r="BR72" s="98"/>
      <c r="BS72" s="98"/>
      <c r="BT72" s="98"/>
      <c r="BU72" s="98"/>
      <c r="BV72" s="98"/>
      <c r="BW72" s="98"/>
      <c r="BX72" s="27"/>
      <c r="BY72" s="27"/>
      <c r="BZ72" s="27"/>
      <c r="CA72" s="27"/>
      <c r="CB72" s="28"/>
      <c r="CC72" s="27"/>
      <c r="CD72" s="27"/>
      <c r="CE72" s="28"/>
      <c r="CF72" s="28"/>
      <c r="CG72" s="27"/>
      <c r="CH72" s="27"/>
      <c r="CI72" s="27"/>
    </row>
    <row r="73" spans="1:87" ht="15.75" customHeight="1" x14ac:dyDescent="0.3">
      <c r="C73" s="1" t="s">
        <v>149</v>
      </c>
      <c r="D73" s="1"/>
      <c r="E73" s="28"/>
      <c r="F73" s="28"/>
      <c r="G73" s="28"/>
      <c r="H73" s="28"/>
      <c r="I73" s="28"/>
      <c r="J73" s="27" t="s">
        <v>150</v>
      </c>
      <c r="K73" s="27">
        <f>COUNTIF(K9:K71,"O")</f>
        <v>17</v>
      </c>
      <c r="L73" s="27"/>
      <c r="M73" s="27"/>
      <c r="N73" s="28"/>
      <c r="O73" s="28"/>
      <c r="P73" s="28"/>
      <c r="Q73" s="28"/>
      <c r="R73" s="28"/>
      <c r="S73" s="27" t="s">
        <v>150</v>
      </c>
      <c r="T73" s="27">
        <f>COUNTIF(T9:T71,"O")</f>
        <v>6</v>
      </c>
      <c r="U73" s="27"/>
      <c r="V73" s="27"/>
      <c r="W73" s="27"/>
      <c r="X73" s="27"/>
      <c r="Y73" s="27"/>
      <c r="Z73" s="27"/>
      <c r="AA73" s="27"/>
      <c r="AB73" s="27" t="s">
        <v>150</v>
      </c>
      <c r="AC73" s="27">
        <f>COUNTIF(AC9:AC71,"O")</f>
        <v>31</v>
      </c>
      <c r="AD73" s="27"/>
      <c r="AE73" s="27"/>
      <c r="AF73" s="27"/>
      <c r="AG73" s="27"/>
      <c r="AH73" s="27"/>
      <c r="AI73" s="27"/>
      <c r="AJ73" s="27"/>
      <c r="AK73" s="27" t="s">
        <v>150</v>
      </c>
      <c r="AL73" s="27">
        <f>COUNTIF(AL9:AL71,"O")</f>
        <v>8</v>
      </c>
      <c r="AM73" s="27"/>
      <c r="AN73" s="27"/>
      <c r="AO73" s="27"/>
      <c r="AP73" s="27"/>
      <c r="AQ73" s="27"/>
      <c r="AR73" s="27"/>
      <c r="AS73" s="27"/>
      <c r="AT73" s="27" t="s">
        <v>150</v>
      </c>
      <c r="AU73" s="27">
        <f>COUNTIF(AU9:AU71,"O")</f>
        <v>4</v>
      </c>
      <c r="AV73" s="27"/>
      <c r="AW73" s="27"/>
      <c r="AX73" s="27"/>
      <c r="AY73" s="27"/>
      <c r="AZ73" s="27"/>
      <c r="BA73" s="27"/>
      <c r="BB73" s="27"/>
      <c r="BC73" s="27" t="s">
        <v>150</v>
      </c>
      <c r="BD73" s="27">
        <f>COUNTIF(BD9:BD71,"O")</f>
        <v>3</v>
      </c>
      <c r="BE73" s="27"/>
      <c r="BF73" s="27"/>
      <c r="BG73" s="27"/>
      <c r="BH73" s="27"/>
      <c r="BI73" s="27"/>
      <c r="BJ73" s="27"/>
      <c r="BK73" s="27"/>
      <c r="BL73" s="27" t="s">
        <v>150</v>
      </c>
      <c r="BM73" s="27">
        <f>COUNTIF(BM9:BM71,"O")</f>
        <v>21</v>
      </c>
      <c r="BN73" s="27"/>
      <c r="BO73" s="27"/>
      <c r="BP73" s="27"/>
      <c r="BQ73" s="27"/>
      <c r="BR73" s="27"/>
      <c r="BS73" s="27"/>
      <c r="BT73" s="27"/>
      <c r="BU73" s="27" t="s">
        <v>150</v>
      </c>
      <c r="BV73" s="27">
        <f>COUNTIF(BV9:BV71,"O")</f>
        <v>10</v>
      </c>
      <c r="BW73" s="27"/>
      <c r="BX73" s="27"/>
      <c r="BY73" s="27"/>
      <c r="BZ73" s="27"/>
      <c r="CA73" s="27" t="s">
        <v>150</v>
      </c>
      <c r="CB73" s="28">
        <f>COUNTIF(CB9:CB71,"O")</f>
        <v>18</v>
      </c>
      <c r="CC73" s="27"/>
      <c r="CD73" s="27"/>
      <c r="CE73" s="28"/>
      <c r="CF73" s="28"/>
      <c r="CG73" s="27"/>
      <c r="CH73" s="27" t="s">
        <v>151</v>
      </c>
      <c r="CI73" s="27">
        <f>COUNTIF(CI9:CI71,"FCD")</f>
        <v>56</v>
      </c>
    </row>
    <row r="74" spans="1:87" ht="15.75" customHeight="1" x14ac:dyDescent="0.3">
      <c r="C74" s="1" t="s">
        <v>149</v>
      </c>
      <c r="D74" s="1"/>
      <c r="E74" s="28"/>
      <c r="F74" s="28"/>
      <c r="G74" s="28"/>
      <c r="H74" s="28"/>
      <c r="I74" s="28"/>
      <c r="J74" s="27" t="s">
        <v>152</v>
      </c>
      <c r="K74" s="27">
        <f>COUNTIF(K9:K71,"A+")</f>
        <v>14</v>
      </c>
      <c r="L74" s="27"/>
      <c r="M74" s="27"/>
      <c r="N74" s="28"/>
      <c r="O74" s="28"/>
      <c r="P74" s="28"/>
      <c r="Q74" s="28"/>
      <c r="R74" s="28"/>
      <c r="S74" s="27" t="s">
        <v>152</v>
      </c>
      <c r="T74" s="27">
        <f>COUNTIF(T9:T71,"A+")</f>
        <v>24</v>
      </c>
      <c r="U74" s="27"/>
      <c r="V74" s="27"/>
      <c r="W74" s="27"/>
      <c r="X74" s="27"/>
      <c r="Y74" s="27"/>
      <c r="Z74" s="27"/>
      <c r="AA74" s="27"/>
      <c r="AB74" s="27" t="s">
        <v>152</v>
      </c>
      <c r="AC74" s="27">
        <f>COUNTIF(AC9:AC71,"A+")</f>
        <v>23</v>
      </c>
      <c r="AD74" s="27"/>
      <c r="AE74" s="27"/>
      <c r="AF74" s="27"/>
      <c r="AG74" s="27"/>
      <c r="AH74" s="27"/>
      <c r="AI74" s="27"/>
      <c r="AJ74" s="27"/>
      <c r="AK74" s="27" t="s">
        <v>152</v>
      </c>
      <c r="AL74" s="27">
        <f>COUNTIF(AL9:AL71,"A+")</f>
        <v>22</v>
      </c>
      <c r="AM74" s="27"/>
      <c r="AN74" s="27"/>
      <c r="AO74" s="27"/>
      <c r="AP74" s="27"/>
      <c r="AQ74" s="27"/>
      <c r="AR74" s="27"/>
      <c r="AS74" s="27"/>
      <c r="AT74" s="27" t="s">
        <v>152</v>
      </c>
      <c r="AU74" s="27">
        <f>COUNTIF(AU9:AU71,"A+")</f>
        <v>17</v>
      </c>
      <c r="AV74" s="27"/>
      <c r="AW74" s="27"/>
      <c r="AX74" s="27"/>
      <c r="AY74" s="27"/>
      <c r="AZ74" s="27"/>
      <c r="BA74" s="27"/>
      <c r="BB74" s="27"/>
      <c r="BC74" s="27" t="s">
        <v>152</v>
      </c>
      <c r="BD74" s="27">
        <f>COUNTIF(BD9:BD71,"A+")</f>
        <v>21</v>
      </c>
      <c r="BE74" s="27"/>
      <c r="BF74" s="27"/>
      <c r="BG74" s="27"/>
      <c r="BH74" s="27"/>
      <c r="BI74" s="27"/>
      <c r="BJ74" s="27"/>
      <c r="BK74" s="27"/>
      <c r="BL74" s="27" t="s">
        <v>152</v>
      </c>
      <c r="BM74" s="27">
        <f>COUNTIF(BM9:BM71,"A+")</f>
        <v>20</v>
      </c>
      <c r="BN74" s="27"/>
      <c r="BO74" s="27"/>
      <c r="BP74" s="27"/>
      <c r="BQ74" s="27"/>
      <c r="BR74" s="27"/>
      <c r="BS74" s="27"/>
      <c r="BT74" s="27"/>
      <c r="BU74" s="27" t="s">
        <v>152</v>
      </c>
      <c r="BV74" s="27">
        <f>COUNTIF(BV9:BV71,"A+")</f>
        <v>47</v>
      </c>
      <c r="BW74" s="27"/>
      <c r="BX74" s="27"/>
      <c r="BY74" s="27"/>
      <c r="BZ74" s="27"/>
      <c r="CA74" s="27" t="s">
        <v>152</v>
      </c>
      <c r="CB74" s="28">
        <f>COUNTIF(CB9:CB71,"A+")</f>
        <v>33</v>
      </c>
      <c r="CC74" s="27"/>
      <c r="CD74" s="27"/>
      <c r="CE74" s="28"/>
      <c r="CF74" s="28"/>
      <c r="CG74" s="27"/>
      <c r="CH74" s="27" t="s">
        <v>153</v>
      </c>
      <c r="CI74" s="27">
        <f>COUNTIF(CI9:CI71,"FC")</f>
        <v>4</v>
      </c>
    </row>
    <row r="75" spans="1:87" ht="15.75" customHeight="1" x14ac:dyDescent="0.3">
      <c r="C75" s="1" t="s">
        <v>149</v>
      </c>
      <c r="D75" s="1"/>
      <c r="E75" s="28"/>
      <c r="F75" s="28"/>
      <c r="G75" s="28"/>
      <c r="H75" s="28"/>
      <c r="I75" s="28"/>
      <c r="J75" s="27" t="s">
        <v>154</v>
      </c>
      <c r="K75" s="27">
        <f>COUNTIF(K9:K71,"A")</f>
        <v>19</v>
      </c>
      <c r="L75" s="27"/>
      <c r="M75" s="27"/>
      <c r="N75" s="28"/>
      <c r="O75" s="28"/>
      <c r="P75" s="28"/>
      <c r="Q75" s="28"/>
      <c r="R75" s="28"/>
      <c r="S75" s="27" t="s">
        <v>154</v>
      </c>
      <c r="T75" s="27">
        <f>COUNTIF(T9:T71,"A")</f>
        <v>21</v>
      </c>
      <c r="U75" s="27"/>
      <c r="V75" s="27"/>
      <c r="W75" s="27"/>
      <c r="X75" s="27"/>
      <c r="Y75" s="27"/>
      <c r="Z75" s="27"/>
      <c r="AA75" s="27"/>
      <c r="AB75" s="27" t="s">
        <v>154</v>
      </c>
      <c r="AC75" s="27">
        <f>COUNTIF(AC9:AC71,"A")</f>
        <v>6</v>
      </c>
      <c r="AD75" s="27"/>
      <c r="AE75" s="27"/>
      <c r="AF75" s="27"/>
      <c r="AG75" s="27"/>
      <c r="AH75" s="27"/>
      <c r="AI75" s="27"/>
      <c r="AJ75" s="27"/>
      <c r="AK75" s="27" t="s">
        <v>154</v>
      </c>
      <c r="AL75" s="27">
        <f>COUNTIF(AL9:AL71,"A")</f>
        <v>20</v>
      </c>
      <c r="AM75" s="27"/>
      <c r="AN75" s="27"/>
      <c r="AO75" s="27"/>
      <c r="AP75" s="27"/>
      <c r="AQ75" s="27"/>
      <c r="AR75" s="27"/>
      <c r="AS75" s="27"/>
      <c r="AT75" s="27" t="s">
        <v>154</v>
      </c>
      <c r="AU75" s="27">
        <f>COUNTIF(AU9:AU71,"A")</f>
        <v>27</v>
      </c>
      <c r="AV75" s="27"/>
      <c r="AW75" s="27"/>
      <c r="AX75" s="27"/>
      <c r="AY75" s="27"/>
      <c r="AZ75" s="27"/>
      <c r="BA75" s="27"/>
      <c r="BB75" s="27"/>
      <c r="BC75" s="27" t="s">
        <v>154</v>
      </c>
      <c r="BD75" s="27">
        <f>COUNTIF(BD9:BD71,"A")</f>
        <v>32</v>
      </c>
      <c r="BE75" s="27"/>
      <c r="BF75" s="27"/>
      <c r="BG75" s="27"/>
      <c r="BH75" s="27"/>
      <c r="BI75" s="27"/>
      <c r="BJ75" s="27"/>
      <c r="BK75" s="27"/>
      <c r="BL75" s="27" t="s">
        <v>154</v>
      </c>
      <c r="BM75" s="27">
        <f>COUNTIF(BM9:BM71,"A")</f>
        <v>17</v>
      </c>
      <c r="BN75" s="27"/>
      <c r="BO75" s="27"/>
      <c r="BP75" s="27"/>
      <c r="BQ75" s="27"/>
      <c r="BR75" s="27"/>
      <c r="BS75" s="27"/>
      <c r="BT75" s="27"/>
      <c r="BU75" s="27" t="s">
        <v>154</v>
      </c>
      <c r="BV75" s="27">
        <f>COUNTIF(BV9:BV71,"A")</f>
        <v>5</v>
      </c>
      <c r="BW75" s="27"/>
      <c r="BX75" s="27"/>
      <c r="BY75" s="27"/>
      <c r="BZ75" s="27"/>
      <c r="CA75" s="27" t="s">
        <v>154</v>
      </c>
      <c r="CB75" s="28">
        <f>COUNTIF(CB9:CB71,"A")</f>
        <v>9</v>
      </c>
      <c r="CC75" s="27"/>
      <c r="CD75" s="27"/>
      <c r="CE75" s="28"/>
      <c r="CF75" s="28"/>
      <c r="CG75" s="27"/>
      <c r="CH75" s="27" t="s">
        <v>155</v>
      </c>
      <c r="CI75" s="27">
        <f>COUNTIF(CI9:CI71,"SC")</f>
        <v>0</v>
      </c>
    </row>
    <row r="76" spans="1:87" ht="15.75" customHeight="1" x14ac:dyDescent="0.3">
      <c r="C76" s="1" t="s">
        <v>149</v>
      </c>
      <c r="D76" s="1"/>
      <c r="E76" s="28"/>
      <c r="F76" s="28"/>
      <c r="G76" s="28"/>
      <c r="H76" s="28"/>
      <c r="I76" s="28"/>
      <c r="J76" s="27" t="s">
        <v>156</v>
      </c>
      <c r="K76" s="27">
        <f>COUNTIF(K9:K71,"B+")</f>
        <v>10</v>
      </c>
      <c r="L76" s="27"/>
      <c r="M76" s="27"/>
      <c r="N76" s="28"/>
      <c r="O76" s="28"/>
      <c r="P76" s="28"/>
      <c r="Q76" s="28"/>
      <c r="R76" s="28"/>
      <c r="S76" s="27" t="s">
        <v>156</v>
      </c>
      <c r="T76" s="27">
        <f>COUNTIF(T9:T71,"B+")</f>
        <v>10</v>
      </c>
      <c r="U76" s="27"/>
      <c r="V76" s="27"/>
      <c r="W76" s="27"/>
      <c r="X76" s="27"/>
      <c r="Y76" s="27"/>
      <c r="Z76" s="27"/>
      <c r="AA76" s="27"/>
      <c r="AB76" s="27" t="s">
        <v>156</v>
      </c>
      <c r="AC76" s="27">
        <f>COUNTIF(AC9:AC71,"B+")</f>
        <v>1</v>
      </c>
      <c r="AD76" s="27"/>
      <c r="AE76" s="27"/>
      <c r="AF76" s="27"/>
      <c r="AG76" s="27"/>
      <c r="AH76" s="27"/>
      <c r="AI76" s="27"/>
      <c r="AJ76" s="27"/>
      <c r="AK76" s="27" t="s">
        <v>156</v>
      </c>
      <c r="AL76" s="27">
        <f>COUNTIF(AL9:AL71,"B+")</f>
        <v>10</v>
      </c>
      <c r="AM76" s="27"/>
      <c r="AN76" s="27"/>
      <c r="AO76" s="27"/>
      <c r="AP76" s="27"/>
      <c r="AQ76" s="27"/>
      <c r="AR76" s="27"/>
      <c r="AS76" s="27"/>
      <c r="AT76" s="27" t="s">
        <v>156</v>
      </c>
      <c r="AU76" s="27">
        <f>COUNTIF(AU9:AU71,"B+")</f>
        <v>12</v>
      </c>
      <c r="AV76" s="27"/>
      <c r="AW76" s="27"/>
      <c r="AX76" s="27"/>
      <c r="AY76" s="27"/>
      <c r="AZ76" s="27"/>
      <c r="BA76" s="27"/>
      <c r="BB76" s="27"/>
      <c r="BC76" s="27" t="s">
        <v>156</v>
      </c>
      <c r="BD76" s="27">
        <f>COUNTIF(BD9:BD71,"B+")</f>
        <v>6</v>
      </c>
      <c r="BE76" s="27"/>
      <c r="BF76" s="27"/>
      <c r="BG76" s="27"/>
      <c r="BH76" s="27"/>
      <c r="BI76" s="27"/>
      <c r="BJ76" s="27"/>
      <c r="BK76" s="27"/>
      <c r="BL76" s="27" t="s">
        <v>156</v>
      </c>
      <c r="BM76" s="27">
        <f>COUNTIF(BM9:BM71,"B+")</f>
        <v>4</v>
      </c>
      <c r="BN76" s="27"/>
      <c r="BO76" s="27"/>
      <c r="BP76" s="27"/>
      <c r="BQ76" s="27"/>
      <c r="BR76" s="27"/>
      <c r="BS76" s="27"/>
      <c r="BT76" s="27"/>
      <c r="BU76" s="27" t="s">
        <v>156</v>
      </c>
      <c r="BV76" s="27">
        <f>COUNTIF(BV9:BV71,"B+")</f>
        <v>0</v>
      </c>
      <c r="BW76" s="27"/>
      <c r="BX76" s="27"/>
      <c r="BY76" s="27"/>
      <c r="BZ76" s="27"/>
      <c r="CA76" s="27" t="s">
        <v>156</v>
      </c>
      <c r="CB76" s="28">
        <f>COUNTIF(CB9:CB71,"B+")</f>
        <v>0</v>
      </c>
      <c r="CC76" s="27"/>
      <c r="CD76" s="27"/>
      <c r="CE76" s="28"/>
      <c r="CF76" s="28"/>
      <c r="CG76" s="27"/>
      <c r="CH76" s="27" t="s">
        <v>157</v>
      </c>
      <c r="CI76" s="27">
        <f>COUNTIF(CI9:CI71,"PASS")</f>
        <v>0</v>
      </c>
    </row>
    <row r="77" spans="1:87" ht="15.75" customHeight="1" x14ac:dyDescent="0.3">
      <c r="C77" s="1" t="s">
        <v>149</v>
      </c>
      <c r="D77" s="1"/>
      <c r="E77" s="28"/>
      <c r="F77" s="28"/>
      <c r="G77" s="28"/>
      <c r="H77" s="28"/>
      <c r="I77" s="28"/>
      <c r="J77" s="27" t="s">
        <v>158</v>
      </c>
      <c r="K77" s="27">
        <f>COUNTIF(K9:K71,"B")</f>
        <v>0</v>
      </c>
      <c r="L77" s="27"/>
      <c r="M77" s="27"/>
      <c r="N77" s="28"/>
      <c r="O77" s="28"/>
      <c r="P77" s="28"/>
      <c r="Q77" s="28"/>
      <c r="R77" s="28"/>
      <c r="S77" s="27" t="s">
        <v>158</v>
      </c>
      <c r="T77" s="27">
        <f>COUNTIF(T9:T71,"B")</f>
        <v>0</v>
      </c>
      <c r="U77" s="27"/>
      <c r="V77" s="27"/>
      <c r="W77" s="27"/>
      <c r="X77" s="27"/>
      <c r="Y77" s="27"/>
      <c r="Z77" s="27"/>
      <c r="AA77" s="27"/>
      <c r="AB77" s="27" t="s">
        <v>158</v>
      </c>
      <c r="AC77" s="27">
        <f>COUNTIF(AC9:AC71,"B")</f>
        <v>1</v>
      </c>
      <c r="AD77" s="27"/>
      <c r="AE77" s="27"/>
      <c r="AF77" s="27"/>
      <c r="AG77" s="27"/>
      <c r="AH77" s="27"/>
      <c r="AI77" s="27"/>
      <c r="AJ77" s="27"/>
      <c r="AK77" s="27" t="s">
        <v>158</v>
      </c>
      <c r="AL77" s="27">
        <f>COUNTIF(AL9:AL71,"B")</f>
        <v>1</v>
      </c>
      <c r="AM77" s="27"/>
      <c r="AN77" s="27"/>
      <c r="AO77" s="27"/>
      <c r="AP77" s="27"/>
      <c r="AQ77" s="27"/>
      <c r="AR77" s="27"/>
      <c r="AS77" s="27"/>
      <c r="AT77" s="27" t="s">
        <v>158</v>
      </c>
      <c r="AU77" s="27">
        <f>COUNTIF(AU9:AU71,"B")</f>
        <v>1</v>
      </c>
      <c r="AV77" s="27"/>
      <c r="AW77" s="27"/>
      <c r="AX77" s="27"/>
      <c r="AY77" s="27"/>
      <c r="AZ77" s="27"/>
      <c r="BA77" s="27"/>
      <c r="BB77" s="27"/>
      <c r="BC77" s="27" t="s">
        <v>158</v>
      </c>
      <c r="BD77" s="27">
        <f>COUNTIF(BD9:BD71,"B")</f>
        <v>0</v>
      </c>
      <c r="BE77" s="27"/>
      <c r="BF77" s="27"/>
      <c r="BG77" s="27"/>
      <c r="BH77" s="27"/>
      <c r="BI77" s="27"/>
      <c r="BJ77" s="27"/>
      <c r="BK77" s="27"/>
      <c r="BL77" s="27" t="s">
        <v>158</v>
      </c>
      <c r="BM77" s="27">
        <f>COUNTIF(BM9:BM71,"B")</f>
        <v>0</v>
      </c>
      <c r="BN77" s="27"/>
      <c r="BO77" s="27"/>
      <c r="BP77" s="27"/>
      <c r="BQ77" s="27"/>
      <c r="BR77" s="27"/>
      <c r="BS77" s="27"/>
      <c r="BT77" s="27"/>
      <c r="BU77" s="27" t="s">
        <v>158</v>
      </c>
      <c r="BV77" s="27">
        <f>COUNTIF(BV9:BV71,"B")</f>
        <v>0</v>
      </c>
      <c r="BW77" s="27"/>
      <c r="BX77" s="27"/>
      <c r="BY77" s="27"/>
      <c r="BZ77" s="27"/>
      <c r="CA77" s="27" t="s">
        <v>158</v>
      </c>
      <c r="CB77" s="28">
        <f>COUNTIF(CB9:CB71,"B")</f>
        <v>0</v>
      </c>
      <c r="CC77" s="27"/>
      <c r="CD77" s="27"/>
      <c r="CE77" s="28"/>
      <c r="CF77" s="28"/>
      <c r="CG77" s="27"/>
      <c r="CH77" s="27" t="s">
        <v>159</v>
      </c>
      <c r="CI77" s="27">
        <f>COUNTIF(CI9:CI71,"F")</f>
        <v>2</v>
      </c>
    </row>
    <row r="78" spans="1:87" ht="15.75" customHeight="1" x14ac:dyDescent="0.3">
      <c r="C78" s="1" t="s">
        <v>149</v>
      </c>
      <c r="D78" s="1"/>
      <c r="E78" s="28"/>
      <c r="F78" s="28"/>
      <c r="G78" s="28"/>
      <c r="H78" s="28"/>
      <c r="I78" s="28"/>
      <c r="J78" s="27" t="s">
        <v>160</v>
      </c>
      <c r="K78" s="27">
        <f>COUNTIF(K9:K71,"C")</f>
        <v>0</v>
      </c>
      <c r="L78" s="27"/>
      <c r="M78" s="27"/>
      <c r="N78" s="28"/>
      <c r="O78" s="28"/>
      <c r="P78" s="28"/>
      <c r="Q78" s="28"/>
      <c r="R78" s="28"/>
      <c r="S78" s="27" t="s">
        <v>160</v>
      </c>
      <c r="T78" s="27">
        <f>COUNTIF(T9:T71,"C")</f>
        <v>0</v>
      </c>
      <c r="U78" s="27"/>
      <c r="V78" s="27"/>
      <c r="W78" s="27"/>
      <c r="X78" s="27"/>
      <c r="Y78" s="27"/>
      <c r="Z78" s="27"/>
      <c r="AA78" s="27"/>
      <c r="AB78" s="27" t="s">
        <v>160</v>
      </c>
      <c r="AC78" s="27">
        <f>COUNTIF(AC9:AC71,"C")</f>
        <v>0</v>
      </c>
      <c r="AD78" s="27"/>
      <c r="AE78" s="27"/>
      <c r="AF78" s="27"/>
      <c r="AG78" s="27"/>
      <c r="AH78" s="27"/>
      <c r="AI78" s="27"/>
      <c r="AJ78" s="27"/>
      <c r="AK78" s="27" t="s">
        <v>160</v>
      </c>
      <c r="AL78" s="27">
        <f>COUNTIF(AL9:AL71,"C")</f>
        <v>1</v>
      </c>
      <c r="AM78" s="27"/>
      <c r="AN78" s="27"/>
      <c r="AO78" s="27"/>
      <c r="AP78" s="27"/>
      <c r="AQ78" s="27"/>
      <c r="AR78" s="27"/>
      <c r="AS78" s="27"/>
      <c r="AT78" s="27" t="s">
        <v>160</v>
      </c>
      <c r="AU78" s="27">
        <f>COUNTIF(AU9:AU71,"C")</f>
        <v>0</v>
      </c>
      <c r="AV78" s="27"/>
      <c r="AW78" s="27"/>
      <c r="AX78" s="27"/>
      <c r="AY78" s="27"/>
      <c r="AZ78" s="27"/>
      <c r="BA78" s="27"/>
      <c r="BB78" s="27"/>
      <c r="BC78" s="27" t="s">
        <v>160</v>
      </c>
      <c r="BD78" s="27">
        <f>COUNTIF(BD9:BD71,"C")</f>
        <v>0</v>
      </c>
      <c r="BE78" s="27"/>
      <c r="BF78" s="27"/>
      <c r="BG78" s="27"/>
      <c r="BH78" s="27"/>
      <c r="BI78" s="27"/>
      <c r="BJ78" s="27"/>
      <c r="BK78" s="27"/>
      <c r="BL78" s="27" t="s">
        <v>160</v>
      </c>
      <c r="BM78" s="27">
        <f>COUNTIF(BM9:BM71,"C")</f>
        <v>0</v>
      </c>
      <c r="BN78" s="27"/>
      <c r="BO78" s="27"/>
      <c r="BP78" s="27"/>
      <c r="BQ78" s="27"/>
      <c r="BR78" s="27"/>
      <c r="BS78" s="27"/>
      <c r="BT78" s="27"/>
      <c r="BU78" s="27" t="s">
        <v>160</v>
      </c>
      <c r="BV78" s="27">
        <f>COUNTIF(BV9:BV71,"C")</f>
        <v>0</v>
      </c>
      <c r="BW78" s="27"/>
      <c r="BX78" s="27"/>
      <c r="BY78" s="27"/>
      <c r="BZ78" s="27"/>
      <c r="CA78" s="27" t="s">
        <v>160</v>
      </c>
      <c r="CB78" s="28">
        <f>COUNTIF(CB9:CB71,"C")</f>
        <v>0</v>
      </c>
      <c r="CC78" s="27"/>
      <c r="CD78" s="27"/>
      <c r="CE78" s="28"/>
      <c r="CF78" s="28"/>
      <c r="CG78" s="27"/>
      <c r="CH78" s="27"/>
      <c r="CI78" s="27"/>
    </row>
    <row r="79" spans="1:87" ht="15.75" customHeight="1" x14ac:dyDescent="0.3">
      <c r="C79" s="1" t="s">
        <v>149</v>
      </c>
      <c r="D79" s="1"/>
      <c r="E79" s="28"/>
      <c r="F79" s="28"/>
      <c r="G79" s="28"/>
      <c r="H79" s="28"/>
      <c r="I79" s="28"/>
      <c r="J79" s="27" t="s">
        <v>161</v>
      </c>
      <c r="K79" s="27">
        <f>COUNTIF(K9:K71,"P")</f>
        <v>0</v>
      </c>
      <c r="L79" s="27"/>
      <c r="M79" s="27"/>
      <c r="N79" s="28"/>
      <c r="O79" s="28"/>
      <c r="P79" s="28"/>
      <c r="Q79" s="28"/>
      <c r="R79" s="28"/>
      <c r="S79" s="27" t="s">
        <v>161</v>
      </c>
      <c r="T79" s="27">
        <f>COUNTIF(T9:T71,"P")</f>
        <v>0</v>
      </c>
      <c r="U79" s="27"/>
      <c r="V79" s="27"/>
      <c r="W79" s="27"/>
      <c r="X79" s="27"/>
      <c r="Y79" s="27"/>
      <c r="Z79" s="27"/>
      <c r="AA79" s="27"/>
      <c r="AB79" s="27" t="s">
        <v>161</v>
      </c>
      <c r="AC79" s="27">
        <f>COUNTIF(AC9:AC71,"P")</f>
        <v>0</v>
      </c>
      <c r="AD79" s="27"/>
      <c r="AE79" s="27"/>
      <c r="AF79" s="27"/>
      <c r="AG79" s="27"/>
      <c r="AH79" s="27"/>
      <c r="AI79" s="27"/>
      <c r="AJ79" s="27"/>
      <c r="AK79" s="27" t="s">
        <v>161</v>
      </c>
      <c r="AL79" s="27">
        <f>COUNTIF(AL9:AL71,"P")</f>
        <v>0</v>
      </c>
      <c r="AM79" s="27"/>
      <c r="AN79" s="27"/>
      <c r="AO79" s="27"/>
      <c r="AP79" s="27"/>
      <c r="AQ79" s="27"/>
      <c r="AR79" s="27"/>
      <c r="AS79" s="27"/>
      <c r="AT79" s="27" t="s">
        <v>161</v>
      </c>
      <c r="AU79" s="27">
        <f>COUNTIF(AU9:AU71,"P")</f>
        <v>0</v>
      </c>
      <c r="AV79" s="27"/>
      <c r="AW79" s="27"/>
      <c r="AX79" s="27"/>
      <c r="AY79" s="27"/>
      <c r="AZ79" s="27"/>
      <c r="BA79" s="27"/>
      <c r="BB79" s="27"/>
      <c r="BC79" s="27" t="s">
        <v>161</v>
      </c>
      <c r="BD79" s="27">
        <f>COUNTIF(BD9:BD71,"P")</f>
        <v>0</v>
      </c>
      <c r="BE79" s="27"/>
      <c r="BF79" s="27"/>
      <c r="BG79" s="27"/>
      <c r="BH79" s="27"/>
      <c r="BI79" s="27"/>
      <c r="BJ79" s="27"/>
      <c r="BK79" s="27"/>
      <c r="BL79" s="27" t="s">
        <v>161</v>
      </c>
      <c r="BM79" s="27">
        <f>COUNTIF(BM9:BM71,"P")</f>
        <v>0</v>
      </c>
      <c r="BN79" s="27"/>
      <c r="BO79" s="27"/>
      <c r="BP79" s="27"/>
      <c r="BQ79" s="27"/>
      <c r="BR79" s="27"/>
      <c r="BS79" s="27"/>
      <c r="BT79" s="27"/>
      <c r="BU79" s="27" t="s">
        <v>161</v>
      </c>
      <c r="BV79" s="27">
        <f>COUNTIF(BV9:BV71,"P")</f>
        <v>0</v>
      </c>
      <c r="BW79" s="27"/>
      <c r="BX79" s="27"/>
      <c r="BY79" s="27"/>
      <c r="BZ79" s="27"/>
      <c r="CA79" s="27" t="s">
        <v>161</v>
      </c>
      <c r="CB79" s="28">
        <f>COUNTIF(CB9:CB71,"P")</f>
        <v>0</v>
      </c>
      <c r="CC79" s="27"/>
      <c r="CD79" s="27"/>
      <c r="CE79" s="28"/>
      <c r="CF79" s="28"/>
      <c r="CG79" s="27"/>
      <c r="CH79" s="27"/>
      <c r="CI79" s="27"/>
    </row>
    <row r="80" spans="1:87" ht="15.75" customHeight="1" x14ac:dyDescent="0.3">
      <c r="C80" s="1" t="s">
        <v>149</v>
      </c>
      <c r="D80" s="1"/>
      <c r="E80" s="28"/>
      <c r="F80" s="28"/>
      <c r="G80" s="28"/>
      <c r="H80" s="28"/>
      <c r="I80" s="28"/>
      <c r="J80" s="27" t="s">
        <v>40</v>
      </c>
      <c r="K80" s="27">
        <f>COUNTIF(K9:K71,"F")</f>
        <v>2</v>
      </c>
      <c r="L80" s="27"/>
      <c r="M80" s="27"/>
      <c r="N80" s="28"/>
      <c r="O80" s="28"/>
      <c r="P80" s="28"/>
      <c r="Q80" s="28"/>
      <c r="R80" s="28"/>
      <c r="S80" s="27" t="s">
        <v>40</v>
      </c>
      <c r="T80" s="27">
        <f>COUNTIF(T9:T71,"F")</f>
        <v>1</v>
      </c>
      <c r="U80" s="27"/>
      <c r="V80" s="27"/>
      <c r="W80" s="27"/>
      <c r="X80" s="27"/>
      <c r="Y80" s="27"/>
      <c r="Z80" s="27"/>
      <c r="AA80" s="27"/>
      <c r="AB80" s="27" t="s">
        <v>40</v>
      </c>
      <c r="AC80" s="27">
        <f>COUNTIF(AC9:AC71,"F")</f>
        <v>0</v>
      </c>
      <c r="AD80" s="27"/>
      <c r="AE80" s="27"/>
      <c r="AF80" s="27"/>
      <c r="AG80" s="27"/>
      <c r="AH80" s="27"/>
      <c r="AI80" s="27"/>
      <c r="AJ80" s="27"/>
      <c r="AK80" s="27" t="s">
        <v>40</v>
      </c>
      <c r="AL80" s="27">
        <f>COUNTIF(AL9:AL71,"F")</f>
        <v>0</v>
      </c>
      <c r="AM80" s="27"/>
      <c r="AN80" s="27"/>
      <c r="AO80" s="27"/>
      <c r="AP80" s="27"/>
      <c r="AQ80" s="27"/>
      <c r="AR80" s="27"/>
      <c r="AS80" s="27"/>
      <c r="AT80" s="27" t="s">
        <v>40</v>
      </c>
      <c r="AU80" s="27">
        <f>COUNTIF(AU9:AU71,"F")</f>
        <v>1</v>
      </c>
      <c r="AV80" s="27"/>
      <c r="AW80" s="27"/>
      <c r="AX80" s="27"/>
      <c r="AY80" s="27"/>
      <c r="AZ80" s="27"/>
      <c r="BA80" s="27"/>
      <c r="BB80" s="27"/>
      <c r="BC80" s="27" t="s">
        <v>40</v>
      </c>
      <c r="BD80" s="27">
        <f>COUNTIF(BD9:BD71,"F")</f>
        <v>0</v>
      </c>
      <c r="BE80" s="27"/>
      <c r="BF80" s="27"/>
      <c r="BG80" s="27"/>
      <c r="BH80" s="27"/>
      <c r="BI80" s="27"/>
      <c r="BJ80" s="27"/>
      <c r="BK80" s="27"/>
      <c r="BL80" s="27" t="s">
        <v>40</v>
      </c>
      <c r="BM80" s="27">
        <f>COUNTIF(BM9:BM71,"F")</f>
        <v>0</v>
      </c>
      <c r="BN80" s="27"/>
      <c r="BO80" s="27"/>
      <c r="BP80" s="27"/>
      <c r="BQ80" s="27"/>
      <c r="BR80" s="27"/>
      <c r="BS80" s="27"/>
      <c r="BT80" s="27"/>
      <c r="BU80" s="27" t="s">
        <v>40</v>
      </c>
      <c r="BV80" s="27">
        <f>COUNTIF(BV9:BV71,"F")</f>
        <v>0</v>
      </c>
      <c r="BW80" s="27"/>
      <c r="BX80" s="27"/>
      <c r="BY80" s="27"/>
      <c r="BZ80" s="27"/>
      <c r="CA80" s="27" t="s">
        <v>40</v>
      </c>
      <c r="CB80" s="28">
        <f>COUNTIF(CB9:CB71,"F")</f>
        <v>2</v>
      </c>
      <c r="CC80" s="27"/>
      <c r="CD80" s="27"/>
      <c r="CE80" s="28"/>
      <c r="CF80" s="28"/>
      <c r="CG80" s="27"/>
      <c r="CH80" s="27"/>
      <c r="CI80" s="27"/>
    </row>
    <row r="81" spans="3:87" ht="15.75" customHeight="1" x14ac:dyDescent="0.3">
      <c r="C81" s="1" t="s">
        <v>149</v>
      </c>
      <c r="D81" s="1"/>
      <c r="E81" s="28"/>
      <c r="F81" s="28"/>
      <c r="G81" s="28"/>
      <c r="H81" s="28"/>
      <c r="I81" s="28"/>
      <c r="J81" s="27" t="s">
        <v>162</v>
      </c>
      <c r="K81" s="27">
        <f>COUNTIF(K9:K71,"AB")</f>
        <v>0</v>
      </c>
      <c r="L81" s="27"/>
      <c r="M81" s="27"/>
      <c r="N81" s="28"/>
      <c r="O81" s="28"/>
      <c r="P81" s="28"/>
      <c r="Q81" s="28"/>
      <c r="R81" s="28"/>
      <c r="S81" s="27" t="s">
        <v>162</v>
      </c>
      <c r="T81" s="27">
        <f>COUNTIF(T9:T71,"AB")</f>
        <v>0</v>
      </c>
      <c r="U81" s="27"/>
      <c r="V81" s="27"/>
      <c r="W81" s="27"/>
      <c r="X81" s="27"/>
      <c r="Y81" s="27"/>
      <c r="Z81" s="27"/>
      <c r="AA81" s="27"/>
      <c r="AB81" s="27" t="s">
        <v>162</v>
      </c>
      <c r="AC81" s="27">
        <f>COUNTIF(AC9:AC71,"AB")</f>
        <v>0</v>
      </c>
      <c r="AD81" s="27"/>
      <c r="AE81" s="27"/>
      <c r="AF81" s="27"/>
      <c r="AG81" s="27"/>
      <c r="AH81" s="27"/>
      <c r="AI81" s="27"/>
      <c r="AJ81" s="27"/>
      <c r="AK81" s="27" t="s">
        <v>162</v>
      </c>
      <c r="AL81" s="27">
        <f>COUNTIF(AL9:AL71,"AB")</f>
        <v>0</v>
      </c>
      <c r="AM81" s="27"/>
      <c r="AN81" s="27"/>
      <c r="AO81" s="27"/>
      <c r="AP81" s="27"/>
      <c r="AQ81" s="27"/>
      <c r="AR81" s="27"/>
      <c r="AS81" s="27"/>
      <c r="AT81" s="27" t="s">
        <v>162</v>
      </c>
      <c r="AU81" s="27">
        <f>COUNTIF(AU9:AU71,"AB")</f>
        <v>0</v>
      </c>
      <c r="AV81" s="27"/>
      <c r="AW81" s="27"/>
      <c r="AX81" s="27"/>
      <c r="AY81" s="27"/>
      <c r="AZ81" s="27"/>
      <c r="BA81" s="27"/>
      <c r="BB81" s="27"/>
      <c r="BC81" s="27" t="s">
        <v>162</v>
      </c>
      <c r="BD81" s="27">
        <f>COUNTIF(BD9:BD71,"AB")</f>
        <v>0</v>
      </c>
      <c r="BE81" s="27"/>
      <c r="BF81" s="27"/>
      <c r="BG81" s="27"/>
      <c r="BH81" s="27"/>
      <c r="BI81" s="27"/>
      <c r="BJ81" s="27"/>
      <c r="BK81" s="27"/>
      <c r="BL81" s="27" t="s">
        <v>162</v>
      </c>
      <c r="BM81" s="27">
        <f>COUNTIF(BM9:BM71,"AB")</f>
        <v>0</v>
      </c>
      <c r="BN81" s="27"/>
      <c r="BO81" s="27"/>
      <c r="BP81" s="27"/>
      <c r="BQ81" s="27"/>
      <c r="BR81" s="27"/>
      <c r="BS81" s="27"/>
      <c r="BT81" s="27"/>
      <c r="BU81" s="27" t="s">
        <v>162</v>
      </c>
      <c r="BV81" s="27">
        <f>COUNTIF(BV9:BV71,"AB")</f>
        <v>0</v>
      </c>
      <c r="BW81" s="27"/>
      <c r="BX81" s="27"/>
      <c r="BY81" s="27"/>
      <c r="BZ81" s="27"/>
      <c r="CA81" s="27" t="s">
        <v>162</v>
      </c>
      <c r="CB81" s="28">
        <f>COUNTIF(CB9:CB71,"AB")</f>
        <v>0</v>
      </c>
      <c r="CC81" s="27"/>
      <c r="CD81" s="27"/>
      <c r="CE81" s="28"/>
      <c r="CF81" s="28"/>
      <c r="CG81" s="27"/>
      <c r="CH81" s="27"/>
      <c r="CI81" s="27"/>
    </row>
    <row r="82" spans="3:87" ht="15.75" customHeight="1" x14ac:dyDescent="0.3">
      <c r="D82" s="1"/>
      <c r="E82" s="28"/>
      <c r="F82" s="28"/>
      <c r="G82" s="28"/>
      <c r="H82" s="28"/>
      <c r="I82" s="28"/>
      <c r="J82" s="27"/>
      <c r="K82" s="27"/>
      <c r="L82" s="27"/>
      <c r="M82" s="27"/>
      <c r="N82" s="28"/>
      <c r="O82" s="28"/>
      <c r="P82" s="28"/>
      <c r="Q82" s="28"/>
      <c r="R82" s="28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8"/>
      <c r="CC82" s="27"/>
      <c r="CD82" s="27"/>
      <c r="CE82" s="28"/>
      <c r="CF82" s="28"/>
      <c r="CG82" s="27"/>
      <c r="CH82" s="27"/>
      <c r="CI82" s="27"/>
    </row>
    <row r="83" spans="3:87" ht="15.75" customHeight="1" x14ac:dyDescent="0.3">
      <c r="C83" s="1" t="s">
        <v>163</v>
      </c>
      <c r="D83" s="1"/>
      <c r="E83" s="28"/>
      <c r="F83" s="28"/>
      <c r="G83" s="28"/>
      <c r="H83" s="28"/>
      <c r="I83" s="28"/>
      <c r="J83" s="28"/>
      <c r="K83" s="27">
        <v>63</v>
      </c>
      <c r="L83" s="27"/>
      <c r="M83" s="27"/>
      <c r="N83" s="28"/>
      <c r="O83" s="28"/>
      <c r="P83" s="28"/>
      <c r="Q83" s="28"/>
      <c r="R83" s="28"/>
      <c r="S83" s="28"/>
      <c r="T83" s="27">
        <v>63</v>
      </c>
      <c r="U83" s="27"/>
      <c r="V83" s="27"/>
      <c r="W83" s="27"/>
      <c r="X83" s="27"/>
      <c r="Y83" s="27"/>
      <c r="Z83" s="27"/>
      <c r="AA83" s="27"/>
      <c r="AB83" s="28"/>
      <c r="AC83" s="27">
        <v>63</v>
      </c>
      <c r="AD83" s="27"/>
      <c r="AE83" s="27"/>
      <c r="AF83" s="27"/>
      <c r="AG83" s="27"/>
      <c r="AH83" s="27"/>
      <c r="AI83" s="27"/>
      <c r="AJ83" s="27"/>
      <c r="AK83" s="28"/>
      <c r="AL83" s="27">
        <v>63</v>
      </c>
      <c r="AM83" s="27"/>
      <c r="AN83" s="27"/>
      <c r="AO83" s="27"/>
      <c r="AP83" s="27"/>
      <c r="AQ83" s="27"/>
      <c r="AR83" s="27"/>
      <c r="AS83" s="27"/>
      <c r="AT83" s="28"/>
      <c r="AU83" s="27">
        <v>63</v>
      </c>
      <c r="AV83" s="27"/>
      <c r="AW83" s="27"/>
      <c r="AX83" s="27"/>
      <c r="AY83" s="27"/>
      <c r="AZ83" s="27"/>
      <c r="BA83" s="27"/>
      <c r="BB83" s="27"/>
      <c r="BC83" s="28"/>
      <c r="BD83" s="27">
        <v>63</v>
      </c>
      <c r="BE83" s="27"/>
      <c r="BF83" s="27"/>
      <c r="BG83" s="27"/>
      <c r="BH83" s="27"/>
      <c r="BI83" s="27"/>
      <c r="BJ83" s="27"/>
      <c r="BK83" s="27"/>
      <c r="BL83" s="28"/>
      <c r="BM83" s="27">
        <v>63</v>
      </c>
      <c r="BN83" s="27"/>
      <c r="BO83" s="27"/>
      <c r="BP83" s="27"/>
      <c r="BQ83" s="27"/>
      <c r="BR83" s="27"/>
      <c r="BS83" s="27"/>
      <c r="BT83" s="27"/>
      <c r="BU83" s="28"/>
      <c r="BV83" s="27">
        <v>63</v>
      </c>
      <c r="BW83" s="27"/>
      <c r="BX83" s="27"/>
      <c r="BY83" s="27"/>
      <c r="BZ83" s="27"/>
      <c r="CA83" s="27"/>
      <c r="CB83" s="28">
        <v>63</v>
      </c>
      <c r="CC83" s="27"/>
      <c r="CD83" s="27"/>
      <c r="CE83" s="28"/>
      <c r="CF83" s="28"/>
      <c r="CG83" s="27"/>
      <c r="CH83" s="27"/>
      <c r="CI83" s="27"/>
    </row>
    <row r="84" spans="3:87" ht="15.75" customHeight="1" x14ac:dyDescent="0.3">
      <c r="C84" s="1" t="s">
        <v>164</v>
      </c>
      <c r="D84" s="1"/>
      <c r="E84" s="28"/>
      <c r="F84" s="28"/>
      <c r="G84" s="28"/>
      <c r="H84" s="28"/>
      <c r="I84" s="28"/>
      <c r="J84" s="28"/>
      <c r="K84" s="27">
        <f>K83-K80</f>
        <v>61</v>
      </c>
      <c r="L84" s="27"/>
      <c r="M84" s="27"/>
      <c r="N84" s="27"/>
      <c r="O84" s="27"/>
      <c r="P84" s="27"/>
      <c r="Q84" s="27"/>
      <c r="R84" s="27"/>
      <c r="S84" s="27"/>
      <c r="T84" s="27">
        <f>T83-T80</f>
        <v>62</v>
      </c>
      <c r="U84" s="27"/>
      <c r="V84" s="27"/>
      <c r="W84" s="27"/>
      <c r="X84" s="27"/>
      <c r="Y84" s="27"/>
      <c r="Z84" s="27"/>
      <c r="AA84" s="27"/>
      <c r="AB84" s="27"/>
      <c r="AC84" s="27">
        <f>AC83-AC80</f>
        <v>63</v>
      </c>
      <c r="AD84" s="27"/>
      <c r="AE84" s="27"/>
      <c r="AF84" s="27"/>
      <c r="AG84" s="27"/>
      <c r="AH84" s="27"/>
      <c r="AI84" s="27"/>
      <c r="AJ84" s="27"/>
      <c r="AK84" s="27"/>
      <c r="AL84" s="27">
        <f>AL83-AL80</f>
        <v>63</v>
      </c>
      <c r="AM84" s="27"/>
      <c r="AN84" s="27"/>
      <c r="AO84" s="27"/>
      <c r="AP84" s="27"/>
      <c r="AQ84" s="27"/>
      <c r="AR84" s="27"/>
      <c r="AS84" s="27"/>
      <c r="AT84" s="27"/>
      <c r="AU84" s="27">
        <f>AU83-AU80</f>
        <v>62</v>
      </c>
      <c r="AV84" s="27"/>
      <c r="AW84" s="27"/>
      <c r="AX84" s="27"/>
      <c r="AY84" s="27"/>
      <c r="AZ84" s="27"/>
      <c r="BA84" s="27"/>
      <c r="BB84" s="27"/>
      <c r="BC84" s="27"/>
      <c r="BD84" s="27">
        <f>BD83-BD80</f>
        <v>63</v>
      </c>
      <c r="BE84" s="27"/>
      <c r="BF84" s="27"/>
      <c r="BG84" s="27"/>
      <c r="BH84" s="27"/>
      <c r="BI84" s="27"/>
      <c r="BJ84" s="27"/>
      <c r="BK84" s="27"/>
      <c r="BL84" s="27"/>
      <c r="BM84" s="27">
        <f>BM83-BM80</f>
        <v>63</v>
      </c>
      <c r="BN84" s="27"/>
      <c r="BO84" s="27"/>
      <c r="BP84" s="27"/>
      <c r="BQ84" s="27"/>
      <c r="BR84" s="27"/>
      <c r="BS84" s="27"/>
      <c r="BT84" s="27"/>
      <c r="BU84" s="27"/>
      <c r="BV84" s="27">
        <f>BV83-BV80</f>
        <v>63</v>
      </c>
      <c r="BW84" s="27"/>
      <c r="BX84" s="27"/>
      <c r="BY84" s="27"/>
      <c r="BZ84" s="27"/>
      <c r="CA84" s="27"/>
      <c r="CB84" s="28">
        <f>CB83-CB80</f>
        <v>61</v>
      </c>
      <c r="CC84" s="27"/>
      <c r="CD84" s="27"/>
      <c r="CE84" s="28"/>
      <c r="CF84" s="28"/>
      <c r="CG84" s="27"/>
      <c r="CH84" s="27"/>
      <c r="CI84" s="27"/>
    </row>
    <row r="85" spans="3:87" ht="15.75" customHeight="1" x14ac:dyDescent="0.3">
      <c r="D85" s="1"/>
      <c r="E85" s="28"/>
      <c r="F85" s="28"/>
      <c r="G85" s="28"/>
      <c r="H85" s="28"/>
      <c r="I85" s="28"/>
      <c r="J85" s="28"/>
      <c r="K85" s="27"/>
      <c r="L85" s="27"/>
      <c r="M85" s="27"/>
      <c r="N85" s="28"/>
      <c r="O85" s="28"/>
      <c r="P85" s="28"/>
      <c r="Q85" s="28"/>
      <c r="R85" s="28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8"/>
      <c r="CC85" s="27"/>
      <c r="CD85" s="27"/>
      <c r="CE85" s="28"/>
      <c r="CF85" s="28"/>
      <c r="CG85" s="27"/>
      <c r="CH85" s="27"/>
      <c r="CI85" s="27"/>
    </row>
    <row r="86" spans="3:87" ht="15.75" customHeight="1" x14ac:dyDescent="0.3">
      <c r="D86" s="1"/>
      <c r="E86" s="28"/>
      <c r="F86" s="28"/>
      <c r="G86" s="28"/>
      <c r="H86" s="28"/>
      <c r="I86" s="28"/>
      <c r="J86" s="28"/>
      <c r="K86" s="27"/>
      <c r="L86" s="27"/>
      <c r="M86" s="27"/>
      <c r="N86" s="28"/>
      <c r="O86" s="28"/>
      <c r="P86" s="28"/>
      <c r="Q86" s="28"/>
      <c r="R86" s="28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1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8"/>
      <c r="CC86" s="27"/>
      <c r="CD86" s="27"/>
      <c r="CE86" s="28"/>
      <c r="CF86" s="28"/>
      <c r="CG86" s="27"/>
      <c r="CH86" s="27"/>
      <c r="CI86" s="27"/>
    </row>
    <row r="87" spans="3:87" ht="15.75" customHeight="1" x14ac:dyDescent="0.3">
      <c r="D87" s="1"/>
      <c r="E87" s="28"/>
      <c r="F87" s="28"/>
      <c r="G87" s="28"/>
      <c r="H87" s="28"/>
      <c r="I87" s="28"/>
      <c r="J87" s="28"/>
      <c r="K87" s="27"/>
      <c r="L87" s="27"/>
      <c r="M87" s="27"/>
      <c r="N87" s="28"/>
      <c r="O87" s="28"/>
      <c r="P87" s="28"/>
      <c r="Q87" s="28"/>
      <c r="R87" s="28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1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8"/>
      <c r="CC87" s="27"/>
      <c r="CD87" s="27"/>
      <c r="CE87" s="28"/>
      <c r="CF87" s="28"/>
      <c r="CG87" s="27"/>
      <c r="CH87" s="27"/>
      <c r="CI87" s="27"/>
    </row>
    <row r="88" spans="3:87" ht="15.75" customHeight="1" x14ac:dyDescent="0.25">
      <c r="D88" s="1"/>
      <c r="AM88" s="21"/>
    </row>
    <row r="89" spans="3:87" ht="15.75" customHeight="1" x14ac:dyDescent="0.25">
      <c r="D89" s="1"/>
      <c r="AM89" s="21"/>
    </row>
    <row r="90" spans="3:87" ht="15.75" customHeight="1" x14ac:dyDescent="0.25">
      <c r="D90" s="1"/>
      <c r="AM90" s="21"/>
    </row>
    <row r="91" spans="3:87" ht="15.75" customHeight="1" x14ac:dyDescent="0.25">
      <c r="D91" s="1"/>
      <c r="AM91" s="21"/>
    </row>
    <row r="92" spans="3:87" ht="13.8" x14ac:dyDescent="0.25">
      <c r="D92" s="1"/>
    </row>
    <row r="93" spans="3:87" ht="13.8" x14ac:dyDescent="0.25">
      <c r="D93" s="1"/>
      <c r="E93" s="1"/>
      <c r="F93" s="1"/>
      <c r="G93" s="1"/>
      <c r="H93" s="1"/>
      <c r="I93" s="1"/>
      <c r="J93" s="1"/>
      <c r="N93" s="1"/>
      <c r="O93" s="1"/>
      <c r="P93" s="1"/>
      <c r="Q93" s="1"/>
      <c r="R93" s="1"/>
    </row>
    <row r="94" spans="3:87" ht="13.8" x14ac:dyDescent="0.25">
      <c r="D94" s="1"/>
      <c r="E94" s="1"/>
      <c r="F94" s="1"/>
      <c r="G94" s="1"/>
      <c r="H94" s="1"/>
      <c r="I94" s="1"/>
      <c r="J94" s="1"/>
      <c r="N94" s="1"/>
      <c r="O94" s="1"/>
      <c r="P94" s="1"/>
      <c r="Q94" s="1"/>
      <c r="R94" s="1"/>
    </row>
    <row r="95" spans="3:87" ht="13.8" x14ac:dyDescent="0.25">
      <c r="D95" s="1"/>
      <c r="E95" s="1"/>
      <c r="F95" s="1"/>
      <c r="G95" s="1"/>
      <c r="H95" s="1"/>
      <c r="I95" s="1"/>
      <c r="J95" s="1"/>
      <c r="N95" s="1"/>
      <c r="O95" s="1"/>
      <c r="P95" s="1"/>
      <c r="Q95" s="1"/>
      <c r="R95" s="1"/>
    </row>
    <row r="96" spans="3:87" ht="13.8" x14ac:dyDescent="0.25">
      <c r="D96" s="1"/>
      <c r="E96" s="1"/>
      <c r="F96" s="1"/>
      <c r="G96" s="1"/>
      <c r="H96" s="1"/>
      <c r="I96" s="1"/>
      <c r="J96" s="1"/>
      <c r="N96" s="1"/>
      <c r="O96" s="1"/>
      <c r="P96" s="1"/>
      <c r="Q96" s="1"/>
      <c r="R96" s="1"/>
    </row>
    <row r="97" spans="4:84" ht="13.8" x14ac:dyDescent="0.25">
      <c r="D97" s="1"/>
      <c r="E97" s="1"/>
      <c r="F97" s="1"/>
      <c r="G97" s="1"/>
      <c r="H97" s="1"/>
      <c r="I97" s="1"/>
      <c r="J97" s="1"/>
      <c r="N97" s="1"/>
      <c r="O97" s="1"/>
      <c r="P97" s="1"/>
      <c r="Q97" s="1"/>
      <c r="R97" s="1"/>
    </row>
    <row r="98" spans="4:84" ht="13.8" x14ac:dyDescent="0.25">
      <c r="D98" s="1"/>
      <c r="E98" s="1"/>
      <c r="F98" s="1"/>
      <c r="G98" s="1"/>
      <c r="H98" s="1"/>
      <c r="I98" s="1"/>
      <c r="J98" s="1"/>
      <c r="N98" s="1"/>
      <c r="O98" s="1"/>
      <c r="P98" s="1"/>
      <c r="Q98" s="1"/>
      <c r="R98" s="1"/>
      <c r="CB98" s="1"/>
      <c r="CE98" s="1"/>
      <c r="CF98" s="1"/>
    </row>
    <row r="99" spans="4:84" ht="13.8" x14ac:dyDescent="0.25">
      <c r="D99" s="1"/>
      <c r="E99" s="1"/>
      <c r="F99" s="1"/>
      <c r="G99" s="1"/>
      <c r="H99" s="1"/>
      <c r="I99" s="1"/>
      <c r="J99" s="1"/>
      <c r="N99" s="1"/>
      <c r="O99" s="1"/>
      <c r="P99" s="1"/>
      <c r="Q99" s="1"/>
      <c r="R99" s="1"/>
      <c r="CB99" s="1"/>
      <c r="CE99" s="1"/>
      <c r="CF99" s="1"/>
    </row>
    <row r="100" spans="4:84" ht="13.8" x14ac:dyDescent="0.25">
      <c r="D100" s="1"/>
      <c r="E100" s="1"/>
      <c r="F100" s="1"/>
      <c r="G100" s="1"/>
      <c r="H100" s="1"/>
      <c r="I100" s="1"/>
      <c r="J100" s="1"/>
      <c r="N100" s="1"/>
      <c r="O100" s="1"/>
      <c r="P100" s="1"/>
      <c r="Q100" s="1"/>
      <c r="R100" s="1"/>
      <c r="CB100" s="1"/>
      <c r="CE100" s="1"/>
      <c r="CF100" s="1"/>
    </row>
    <row r="101" spans="4:84" ht="13.8" x14ac:dyDescent="0.25">
      <c r="D101" s="1"/>
      <c r="E101" s="1"/>
      <c r="F101" s="1"/>
      <c r="G101" s="1"/>
      <c r="H101" s="1"/>
      <c r="I101" s="1"/>
      <c r="J101" s="1"/>
      <c r="N101" s="1"/>
      <c r="O101" s="1"/>
      <c r="P101" s="1"/>
      <c r="Q101" s="1"/>
      <c r="R101" s="1"/>
      <c r="CB101" s="1"/>
      <c r="CE101" s="1"/>
      <c r="CF101" s="1"/>
    </row>
    <row r="102" spans="4:84" ht="13.8" x14ac:dyDescent="0.25">
      <c r="D102" s="22"/>
      <c r="E102" s="1"/>
      <c r="F102" s="1"/>
      <c r="G102" s="1"/>
      <c r="H102" s="1"/>
      <c r="I102" s="1"/>
      <c r="J102" s="1"/>
      <c r="N102" s="1"/>
      <c r="O102" s="1"/>
      <c r="P102" s="1"/>
      <c r="Q102" s="1"/>
      <c r="R102" s="1"/>
      <c r="CB102" s="1"/>
      <c r="CE102" s="1"/>
      <c r="CF102" s="1"/>
    </row>
    <row r="103" spans="4:84" ht="13.8" x14ac:dyDescent="0.25">
      <c r="E103" s="1"/>
      <c r="F103" s="1"/>
      <c r="G103" s="1"/>
      <c r="H103" s="1"/>
      <c r="I103" s="1"/>
      <c r="J103" s="1"/>
      <c r="N103" s="1"/>
      <c r="O103" s="1"/>
      <c r="P103" s="1"/>
      <c r="Q103" s="1"/>
      <c r="R103" s="1"/>
      <c r="CB103" s="1"/>
      <c r="CE103" s="1"/>
      <c r="CF103" s="1"/>
    </row>
    <row r="104" spans="4:84" ht="13.8" x14ac:dyDescent="0.25">
      <c r="E104" s="1"/>
      <c r="F104" s="1"/>
      <c r="G104" s="1"/>
      <c r="H104" s="1"/>
      <c r="I104" s="1"/>
      <c r="J104" s="1"/>
      <c r="N104" s="1"/>
      <c r="O104" s="1"/>
      <c r="P104" s="1"/>
      <c r="Q104" s="1"/>
      <c r="R104" s="1"/>
      <c r="CB104" s="1"/>
      <c r="CE104" s="1"/>
      <c r="CF104" s="1"/>
    </row>
    <row r="105" spans="4:84" ht="13.8" x14ac:dyDescent="0.25">
      <c r="E105" s="1"/>
      <c r="F105" s="1"/>
      <c r="G105" s="1"/>
      <c r="H105" s="1"/>
      <c r="I105" s="1"/>
      <c r="J105" s="1"/>
      <c r="N105" s="1"/>
      <c r="O105" s="1"/>
      <c r="P105" s="1"/>
      <c r="Q105" s="1"/>
      <c r="R105" s="1"/>
      <c r="CB105" s="1"/>
      <c r="CE105" s="1"/>
      <c r="CF105" s="1"/>
    </row>
    <row r="106" spans="4:84" ht="13.8" x14ac:dyDescent="0.25">
      <c r="E106" s="1"/>
      <c r="F106" s="1"/>
      <c r="G106" s="1"/>
      <c r="H106" s="1"/>
      <c r="I106" s="1"/>
      <c r="J106" s="1"/>
      <c r="N106" s="1"/>
      <c r="O106" s="1"/>
      <c r="P106" s="1"/>
      <c r="Q106" s="1"/>
      <c r="R106" s="1"/>
      <c r="CB106" s="1"/>
      <c r="CE106" s="1"/>
      <c r="CF106" s="1"/>
    </row>
    <row r="107" spans="4:84" ht="13.8" x14ac:dyDescent="0.25">
      <c r="E107" s="1"/>
      <c r="F107" s="1"/>
      <c r="G107" s="1"/>
      <c r="H107" s="1"/>
      <c r="I107" s="1"/>
      <c r="J107" s="1"/>
      <c r="N107" s="1"/>
      <c r="O107" s="1"/>
      <c r="P107" s="1"/>
      <c r="Q107" s="1"/>
      <c r="R107" s="1"/>
      <c r="CB107" s="1"/>
      <c r="CE107" s="1"/>
      <c r="CF107" s="1"/>
    </row>
    <row r="108" spans="4:84" ht="13.8" x14ac:dyDescent="0.25">
      <c r="E108" s="1"/>
      <c r="F108" s="1"/>
      <c r="G108" s="1"/>
      <c r="H108" s="1"/>
      <c r="I108" s="1"/>
      <c r="J108" s="1"/>
      <c r="N108" s="1"/>
      <c r="O108" s="1"/>
      <c r="P108" s="1"/>
      <c r="Q108" s="1"/>
      <c r="R108" s="1"/>
      <c r="CB108" s="1"/>
      <c r="CE108" s="1"/>
      <c r="CF108" s="1"/>
    </row>
    <row r="109" spans="4:84" ht="13.8" x14ac:dyDescent="0.25">
      <c r="D109" s="1"/>
      <c r="E109" s="1"/>
      <c r="F109" s="1"/>
      <c r="G109" s="1"/>
      <c r="H109" s="1"/>
      <c r="I109" s="1"/>
      <c r="J109" s="1"/>
      <c r="N109" s="1"/>
      <c r="O109" s="1"/>
      <c r="P109" s="1"/>
      <c r="Q109" s="1"/>
      <c r="R109" s="1"/>
      <c r="CB109" s="1"/>
      <c r="CE109" s="1"/>
      <c r="CF109" s="1"/>
    </row>
    <row r="110" spans="4:84" ht="13.8" x14ac:dyDescent="0.25">
      <c r="D110" s="1"/>
      <c r="E110" s="1"/>
      <c r="F110" s="1"/>
      <c r="G110" s="1"/>
      <c r="H110" s="1"/>
      <c r="I110" s="1"/>
      <c r="J110" s="1"/>
      <c r="N110" s="1"/>
      <c r="O110" s="1"/>
      <c r="P110" s="1"/>
      <c r="Q110" s="1"/>
      <c r="R110" s="1"/>
      <c r="CB110" s="1"/>
      <c r="CE110" s="1"/>
      <c r="CF110" s="1"/>
    </row>
    <row r="111" spans="4:84" ht="13.8" x14ac:dyDescent="0.25">
      <c r="D111" s="1"/>
      <c r="E111" s="1"/>
      <c r="F111" s="1"/>
      <c r="G111" s="1"/>
      <c r="H111" s="1"/>
      <c r="I111" s="1"/>
      <c r="J111" s="1"/>
      <c r="N111" s="1"/>
      <c r="O111" s="1"/>
      <c r="P111" s="1"/>
      <c r="Q111" s="1"/>
      <c r="R111" s="1"/>
      <c r="CB111" s="1"/>
      <c r="CE111" s="1"/>
      <c r="CF111" s="1"/>
    </row>
    <row r="112" spans="4:84" ht="13.8" x14ac:dyDescent="0.25">
      <c r="D112" s="1"/>
      <c r="E112" s="1"/>
      <c r="F112" s="1"/>
      <c r="G112" s="1"/>
      <c r="H112" s="1"/>
      <c r="I112" s="1"/>
      <c r="J112" s="1"/>
      <c r="N112" s="1"/>
      <c r="O112" s="1"/>
      <c r="P112" s="1"/>
      <c r="Q112" s="1"/>
      <c r="R112" s="1"/>
      <c r="CB112" s="1"/>
      <c r="CE112" s="1"/>
      <c r="CF112" s="1"/>
    </row>
    <row r="113" s="1" customFormat="1" ht="13.8" x14ac:dyDescent="0.25"/>
    <row r="114" s="1" customFormat="1" ht="13.8" x14ac:dyDescent="0.25"/>
    <row r="115" s="1" customFormat="1" ht="13.8" x14ac:dyDescent="0.25"/>
    <row r="116" s="1" customFormat="1" ht="13.8" x14ac:dyDescent="0.25"/>
    <row r="117" s="1" customFormat="1" ht="13.8" x14ac:dyDescent="0.25"/>
    <row r="118" s="1" customFormat="1" ht="13.8" x14ac:dyDescent="0.25"/>
    <row r="119" s="1" customFormat="1" ht="13.8" x14ac:dyDescent="0.25"/>
    <row r="120" s="1" customFormat="1" ht="13.8" x14ac:dyDescent="0.25"/>
    <row r="121" s="1" customFormat="1" ht="13.8" x14ac:dyDescent="0.25"/>
    <row r="122" s="1" customFormat="1" ht="13.8" x14ac:dyDescent="0.25"/>
    <row r="123" s="1" customFormat="1" ht="13.8" x14ac:dyDescent="0.25"/>
    <row r="124" s="1" customFormat="1" ht="13.8" x14ac:dyDescent="0.25"/>
    <row r="125" s="1" customFormat="1" ht="13.8" x14ac:dyDescent="0.25"/>
    <row r="126" s="1" customFormat="1" ht="13.8" x14ac:dyDescent="0.25"/>
    <row r="127" s="1" customFormat="1" ht="13.8" x14ac:dyDescent="0.25"/>
    <row r="128" s="1" customFormat="1" ht="13.8" x14ac:dyDescent="0.25"/>
    <row r="129" s="1" customFormat="1" ht="13.8" x14ac:dyDescent="0.25"/>
    <row r="130" s="1" customFormat="1" ht="13.8" x14ac:dyDescent="0.25"/>
    <row r="131" s="1" customFormat="1" ht="13.8" x14ac:dyDescent="0.25"/>
    <row r="132" s="1" customFormat="1" ht="13.8" x14ac:dyDescent="0.25"/>
    <row r="133" s="1" customFormat="1" ht="13.8" x14ac:dyDescent="0.25"/>
    <row r="134" s="1" customFormat="1" ht="13.8" x14ac:dyDescent="0.25"/>
    <row r="135" s="1" customFormat="1" ht="13.8" x14ac:dyDescent="0.25"/>
    <row r="136" s="1" customFormat="1" ht="13.8" x14ac:dyDescent="0.25"/>
    <row r="137" s="1" customFormat="1" ht="13.8" x14ac:dyDescent="0.25"/>
    <row r="138" s="1" customFormat="1" ht="13.8" x14ac:dyDescent="0.25"/>
    <row r="139" s="1" customFormat="1" ht="13.8" x14ac:dyDescent="0.25"/>
    <row r="140" s="1" customFormat="1" ht="13.8" x14ac:dyDescent="0.25"/>
    <row r="141" s="1" customFormat="1" ht="13.8" x14ac:dyDescent="0.25"/>
    <row r="142" s="1" customFormat="1" ht="13.8" x14ac:dyDescent="0.25"/>
    <row r="143" s="1" customFormat="1" ht="13.8" x14ac:dyDescent="0.25"/>
    <row r="144" s="1" customFormat="1" ht="13.8" x14ac:dyDescent="0.25"/>
    <row r="145" s="1" customFormat="1" ht="13.8" x14ac:dyDescent="0.25"/>
    <row r="146" s="1" customFormat="1" ht="13.8" x14ac:dyDescent="0.25"/>
    <row r="147" s="1" customFormat="1" ht="13.8" x14ac:dyDescent="0.25"/>
    <row r="148" s="1" customFormat="1" ht="13.8" x14ac:dyDescent="0.25"/>
    <row r="149" s="1" customFormat="1" ht="13.8" x14ac:dyDescent="0.25"/>
    <row r="150" s="1" customFormat="1" ht="13.8" x14ac:dyDescent="0.25"/>
    <row r="151" s="1" customFormat="1" ht="13.8" x14ac:dyDescent="0.25"/>
    <row r="152" s="1" customFormat="1" ht="13.8" x14ac:dyDescent="0.25"/>
    <row r="153" s="1" customFormat="1" ht="13.8" x14ac:dyDescent="0.25"/>
    <row r="154" s="1" customFormat="1" ht="13.8" x14ac:dyDescent="0.25"/>
    <row r="155" s="1" customFormat="1" ht="13.8" x14ac:dyDescent="0.25"/>
    <row r="156" s="1" customFormat="1" ht="13.8" x14ac:dyDescent="0.25"/>
    <row r="157" s="1" customFormat="1" ht="13.8" x14ac:dyDescent="0.25"/>
    <row r="158" s="1" customFormat="1" ht="13.8" x14ac:dyDescent="0.25"/>
    <row r="159" s="1" customFormat="1" ht="13.8" x14ac:dyDescent="0.25"/>
    <row r="160" s="1" customFormat="1" ht="13.8" x14ac:dyDescent="0.25"/>
    <row r="161" s="1" customFormat="1" ht="13.8" x14ac:dyDescent="0.25"/>
    <row r="162" s="1" customFormat="1" ht="13.8" x14ac:dyDescent="0.25"/>
    <row r="163" s="1" customFormat="1" ht="13.8" x14ac:dyDescent="0.25"/>
    <row r="164" s="1" customFormat="1" ht="13.8" x14ac:dyDescent="0.25"/>
    <row r="165" s="1" customFormat="1" ht="13.8" x14ac:dyDescent="0.25"/>
    <row r="166" s="1" customFormat="1" ht="13.8" x14ac:dyDescent="0.25"/>
    <row r="167" s="1" customFormat="1" ht="13.8" x14ac:dyDescent="0.25"/>
    <row r="168" s="1" customFormat="1" ht="13.8" x14ac:dyDescent="0.25"/>
    <row r="169" s="1" customFormat="1" ht="13.8" x14ac:dyDescent="0.25"/>
    <row r="170" s="1" customFormat="1" ht="13.8" x14ac:dyDescent="0.25"/>
    <row r="171" s="1" customFormat="1" ht="13.8" x14ac:dyDescent="0.25"/>
    <row r="172" s="1" customFormat="1" ht="13.8" x14ac:dyDescent="0.25"/>
    <row r="173" s="1" customFormat="1" ht="13.8" x14ac:dyDescent="0.25"/>
    <row r="174" s="1" customFormat="1" ht="13.8" x14ac:dyDescent="0.25"/>
    <row r="175" s="1" customFormat="1" ht="13.8" x14ac:dyDescent="0.25"/>
    <row r="176" s="1" customFormat="1" ht="13.8" x14ac:dyDescent="0.25"/>
    <row r="177" s="1" customFormat="1" ht="13.8" x14ac:dyDescent="0.25"/>
    <row r="178" s="1" customFormat="1" ht="13.8" x14ac:dyDescent="0.25"/>
    <row r="179" s="1" customFormat="1" ht="13.8" x14ac:dyDescent="0.25"/>
    <row r="180" s="1" customFormat="1" ht="13.8" x14ac:dyDescent="0.25"/>
    <row r="181" s="1" customFormat="1" ht="13.8" x14ac:dyDescent="0.25"/>
    <row r="182" s="1" customFormat="1" ht="13.8" x14ac:dyDescent="0.25"/>
    <row r="183" s="1" customFormat="1" ht="13.8" x14ac:dyDescent="0.25"/>
    <row r="184" s="1" customFormat="1" ht="13.8" x14ac:dyDescent="0.25"/>
    <row r="185" s="1" customFormat="1" ht="13.8" x14ac:dyDescent="0.25"/>
    <row r="186" s="1" customFormat="1" ht="13.8" x14ac:dyDescent="0.25"/>
    <row r="187" s="1" customFormat="1" ht="13.8" x14ac:dyDescent="0.25"/>
    <row r="188" s="1" customFormat="1" ht="13.8" x14ac:dyDescent="0.25"/>
    <row r="189" s="1" customFormat="1" ht="13.8" x14ac:dyDescent="0.25"/>
    <row r="190" s="1" customFormat="1" ht="13.8" x14ac:dyDescent="0.25"/>
    <row r="191" s="1" customFormat="1" ht="13.8" x14ac:dyDescent="0.25"/>
    <row r="192" s="1" customFormat="1" ht="13.8" x14ac:dyDescent="0.25"/>
    <row r="193" s="1" customFormat="1" ht="13.8" x14ac:dyDescent="0.25"/>
    <row r="194" s="1" customFormat="1" ht="13.8" x14ac:dyDescent="0.25"/>
    <row r="195" s="1" customFormat="1" ht="13.8" x14ac:dyDescent="0.25"/>
    <row r="196" s="1" customFormat="1" ht="13.8" x14ac:dyDescent="0.25"/>
    <row r="197" s="1" customFormat="1" ht="13.8" x14ac:dyDescent="0.25"/>
    <row r="198" s="1" customFormat="1" ht="13.8" x14ac:dyDescent="0.25"/>
    <row r="199" s="1" customFormat="1" ht="13.8" x14ac:dyDescent="0.25"/>
    <row r="200" s="1" customFormat="1" ht="13.8" x14ac:dyDescent="0.25"/>
    <row r="201" s="1" customFormat="1" ht="13.8" x14ac:dyDescent="0.25"/>
    <row r="202" s="1" customFormat="1" ht="13.8" x14ac:dyDescent="0.25"/>
    <row r="203" s="1" customFormat="1" ht="13.8" x14ac:dyDescent="0.25"/>
    <row r="204" s="1" customFormat="1" ht="13.8" x14ac:dyDescent="0.25"/>
    <row r="205" s="1" customFormat="1" ht="13.8" x14ac:dyDescent="0.25"/>
    <row r="206" s="1" customFormat="1" ht="13.8" x14ac:dyDescent="0.25"/>
    <row r="207" s="1" customFormat="1" ht="13.8" x14ac:dyDescent="0.25"/>
    <row r="208" s="1" customFormat="1" ht="13.8" x14ac:dyDescent="0.25"/>
    <row r="209" s="1" customFormat="1" ht="13.8" x14ac:dyDescent="0.25"/>
    <row r="210" s="1" customFormat="1" ht="13.8" x14ac:dyDescent="0.25"/>
    <row r="211" s="1" customFormat="1" ht="13.8" x14ac:dyDescent="0.25"/>
    <row r="212" s="1" customFormat="1" ht="13.8" x14ac:dyDescent="0.25"/>
    <row r="213" s="1" customFormat="1" ht="13.8" x14ac:dyDescent="0.25"/>
    <row r="214" s="1" customFormat="1" ht="13.8" x14ac:dyDescent="0.25"/>
    <row r="215" s="1" customFormat="1" ht="13.8" x14ac:dyDescent="0.25"/>
    <row r="216" s="1" customFormat="1" ht="13.8" x14ac:dyDescent="0.25"/>
    <row r="217" s="1" customFormat="1" ht="13.8" x14ac:dyDescent="0.25"/>
    <row r="218" s="1" customFormat="1" ht="13.8" x14ac:dyDescent="0.25"/>
    <row r="219" s="1" customFormat="1" ht="13.8" x14ac:dyDescent="0.25"/>
    <row r="220" s="1" customFormat="1" ht="13.8" x14ac:dyDescent="0.25"/>
    <row r="221" s="1" customFormat="1" ht="13.8" x14ac:dyDescent="0.25"/>
    <row r="222" s="1" customFormat="1" ht="13.8" x14ac:dyDescent="0.25"/>
    <row r="223" s="1" customFormat="1" ht="13.8" x14ac:dyDescent="0.25"/>
    <row r="224" s="1" customFormat="1" ht="13.8" x14ac:dyDescent="0.25"/>
    <row r="225" s="1" customFormat="1" ht="13.8" x14ac:dyDescent="0.25"/>
    <row r="226" s="1" customFormat="1" ht="13.8" x14ac:dyDescent="0.25"/>
    <row r="227" s="1" customFormat="1" ht="13.8" x14ac:dyDescent="0.25"/>
    <row r="228" s="1" customFormat="1" ht="13.8" x14ac:dyDescent="0.25"/>
    <row r="229" s="1" customFormat="1" ht="13.8" x14ac:dyDescent="0.25"/>
    <row r="230" s="1" customFormat="1" ht="13.8" x14ac:dyDescent="0.25"/>
    <row r="231" s="1" customFormat="1" ht="13.8" x14ac:dyDescent="0.25"/>
    <row r="232" s="1" customFormat="1" ht="13.8" x14ac:dyDescent="0.25"/>
    <row r="233" s="1" customFormat="1" ht="13.8" x14ac:dyDescent="0.25"/>
    <row r="234" s="1" customFormat="1" ht="13.8" x14ac:dyDescent="0.25"/>
    <row r="235" s="1" customFormat="1" ht="13.8" x14ac:dyDescent="0.25"/>
    <row r="236" s="1" customFormat="1" ht="13.8" x14ac:dyDescent="0.25"/>
    <row r="237" s="1" customFormat="1" ht="13.8" x14ac:dyDescent="0.25"/>
    <row r="238" s="1" customFormat="1" ht="13.8" x14ac:dyDescent="0.25"/>
    <row r="239" s="1" customFormat="1" ht="13.8" x14ac:dyDescent="0.25"/>
    <row r="240" s="1" customFormat="1" ht="13.8" x14ac:dyDescent="0.25"/>
    <row r="241" s="1" customFormat="1" ht="13.8" x14ac:dyDescent="0.25"/>
    <row r="242" s="1" customFormat="1" ht="13.8" x14ac:dyDescent="0.25"/>
    <row r="243" s="1" customFormat="1" ht="13.8" x14ac:dyDescent="0.25"/>
    <row r="244" s="1" customFormat="1" ht="13.8" x14ac:dyDescent="0.25"/>
    <row r="245" s="1" customFormat="1" ht="13.8" x14ac:dyDescent="0.25"/>
    <row r="246" s="1" customFormat="1" ht="13.8" x14ac:dyDescent="0.25"/>
    <row r="247" s="1" customFormat="1" ht="13.8" x14ac:dyDescent="0.25"/>
    <row r="248" s="1" customFormat="1" ht="13.8" x14ac:dyDescent="0.25"/>
    <row r="249" s="1" customFormat="1" ht="13.8" x14ac:dyDescent="0.25"/>
    <row r="250" s="1" customFormat="1" ht="13.8" x14ac:dyDescent="0.25"/>
    <row r="251" s="1" customFormat="1" ht="13.8" x14ac:dyDescent="0.25"/>
    <row r="252" s="1" customFormat="1" ht="13.8" x14ac:dyDescent="0.25"/>
    <row r="253" s="1" customFormat="1" ht="13.8" x14ac:dyDescent="0.25"/>
    <row r="254" s="1" customFormat="1" ht="13.8" x14ac:dyDescent="0.25"/>
    <row r="255" s="1" customFormat="1" ht="13.8" x14ac:dyDescent="0.25"/>
    <row r="256" s="1" customFormat="1" ht="13.8" x14ac:dyDescent="0.25"/>
    <row r="257" s="1" customFormat="1" ht="13.8" x14ac:dyDescent="0.25"/>
    <row r="258" s="1" customFormat="1" ht="13.8" x14ac:dyDescent="0.25"/>
    <row r="259" s="1" customFormat="1" ht="13.8" x14ac:dyDescent="0.25"/>
    <row r="260" s="1" customFormat="1" ht="13.8" x14ac:dyDescent="0.25"/>
    <row r="261" s="1" customFormat="1" ht="13.8" x14ac:dyDescent="0.25"/>
    <row r="262" s="1" customFormat="1" ht="13.8" x14ac:dyDescent="0.25"/>
    <row r="263" s="1" customFormat="1" ht="13.8" x14ac:dyDescent="0.25"/>
    <row r="264" s="1" customFormat="1" ht="13.8" x14ac:dyDescent="0.25"/>
    <row r="265" s="1" customFormat="1" ht="13.8" x14ac:dyDescent="0.25"/>
    <row r="266" s="1" customFormat="1" ht="13.8" x14ac:dyDescent="0.25"/>
    <row r="267" s="1" customFormat="1" ht="13.8" x14ac:dyDescent="0.25"/>
    <row r="268" s="1" customFormat="1" ht="13.8" x14ac:dyDescent="0.25"/>
    <row r="269" s="1" customFormat="1" ht="13.8" x14ac:dyDescent="0.25"/>
    <row r="270" s="1" customFormat="1" ht="13.8" x14ac:dyDescent="0.25"/>
    <row r="271" s="1" customFormat="1" ht="13.8" x14ac:dyDescent="0.25"/>
    <row r="272" s="1" customFormat="1" ht="13.8" x14ac:dyDescent="0.25"/>
    <row r="273" s="1" customFormat="1" ht="13.8" x14ac:dyDescent="0.25"/>
    <row r="274" s="1" customFormat="1" ht="13.8" x14ac:dyDescent="0.25"/>
    <row r="275" s="1" customFormat="1" ht="13.8" x14ac:dyDescent="0.25"/>
    <row r="276" s="1" customFormat="1" ht="13.8" x14ac:dyDescent="0.25"/>
    <row r="277" s="1" customFormat="1" ht="13.8" x14ac:dyDescent="0.25"/>
    <row r="278" s="1" customFormat="1" ht="13.8" x14ac:dyDescent="0.25"/>
    <row r="279" s="1" customFormat="1" ht="13.8" x14ac:dyDescent="0.25"/>
    <row r="280" s="1" customFormat="1" ht="13.8" x14ac:dyDescent="0.25"/>
    <row r="281" s="1" customFormat="1" ht="13.8" x14ac:dyDescent="0.25"/>
    <row r="282" s="1" customFormat="1" ht="13.8" x14ac:dyDescent="0.25"/>
    <row r="283" s="1" customFormat="1" ht="13.8" x14ac:dyDescent="0.25"/>
    <row r="284" s="1" customFormat="1" ht="13.8" x14ac:dyDescent="0.25"/>
    <row r="285" s="1" customFormat="1" ht="13.8" x14ac:dyDescent="0.25"/>
    <row r="286" s="1" customFormat="1" ht="13.8" x14ac:dyDescent="0.25"/>
    <row r="287" s="1" customFormat="1" ht="13.8" x14ac:dyDescent="0.25"/>
    <row r="288" s="1" customFormat="1" ht="13.8" x14ac:dyDescent="0.25"/>
    <row r="289" s="1" customFormat="1" ht="13.8" x14ac:dyDescent="0.25"/>
    <row r="290" s="1" customFormat="1" ht="13.8" x14ac:dyDescent="0.25"/>
    <row r="291" s="1" customFormat="1" ht="13.8" x14ac:dyDescent="0.25"/>
    <row r="292" s="1" customFormat="1" ht="13.8" x14ac:dyDescent="0.25"/>
    <row r="293" s="1" customFormat="1" ht="13.8" x14ac:dyDescent="0.25"/>
    <row r="294" s="1" customFormat="1" ht="13.8" x14ac:dyDescent="0.25"/>
    <row r="295" s="1" customFormat="1" ht="13.8" x14ac:dyDescent="0.25"/>
    <row r="296" s="1" customFormat="1" ht="13.8" x14ac:dyDescent="0.25"/>
    <row r="297" s="1" customFormat="1" ht="13.8" x14ac:dyDescent="0.25"/>
    <row r="298" s="1" customFormat="1" ht="13.8" x14ac:dyDescent="0.25"/>
    <row r="299" s="1" customFormat="1" ht="13.8" x14ac:dyDescent="0.25"/>
    <row r="300" s="1" customFormat="1" ht="13.8" x14ac:dyDescent="0.25"/>
    <row r="301" s="1" customFormat="1" ht="13.8" x14ac:dyDescent="0.25"/>
    <row r="302" s="1" customFormat="1" ht="13.8" x14ac:dyDescent="0.25"/>
    <row r="303" s="1" customFormat="1" ht="13.8" x14ac:dyDescent="0.25"/>
    <row r="304" s="1" customFormat="1" ht="13.8" x14ac:dyDescent="0.25"/>
    <row r="305" s="1" customFormat="1" ht="13.8" x14ac:dyDescent="0.25"/>
    <row r="306" s="1" customFormat="1" ht="13.8" x14ac:dyDescent="0.25"/>
    <row r="307" s="1" customFormat="1" ht="13.8" x14ac:dyDescent="0.25"/>
    <row r="308" s="1" customFormat="1" ht="13.8" x14ac:dyDescent="0.25"/>
    <row r="309" s="1" customFormat="1" ht="13.8" x14ac:dyDescent="0.25"/>
    <row r="310" s="1" customFormat="1" ht="13.8" x14ac:dyDescent="0.25"/>
    <row r="311" s="1" customFormat="1" ht="13.8" x14ac:dyDescent="0.25"/>
    <row r="312" s="1" customFormat="1" ht="13.8" x14ac:dyDescent="0.25"/>
    <row r="313" s="1" customFormat="1" ht="13.8" x14ac:dyDescent="0.25"/>
    <row r="314" s="1" customFormat="1" ht="13.8" x14ac:dyDescent="0.25"/>
    <row r="315" s="1" customFormat="1" ht="13.8" x14ac:dyDescent="0.25"/>
    <row r="316" s="1" customFormat="1" ht="13.8" x14ac:dyDescent="0.25"/>
    <row r="317" s="1" customFormat="1" ht="13.8" x14ac:dyDescent="0.25"/>
    <row r="318" s="1" customFormat="1" ht="13.8" x14ac:dyDescent="0.25"/>
    <row r="319" s="1" customFormat="1" ht="13.8" x14ac:dyDescent="0.25"/>
    <row r="320" s="1" customFormat="1" ht="13.8" x14ac:dyDescent="0.25"/>
    <row r="321" s="1" customFormat="1" ht="13.8" x14ac:dyDescent="0.25"/>
    <row r="322" s="1" customFormat="1" ht="13.8" x14ac:dyDescent="0.25"/>
    <row r="323" s="1" customFormat="1" ht="13.8" x14ac:dyDescent="0.25"/>
    <row r="324" s="1" customFormat="1" ht="13.8" x14ac:dyDescent="0.25"/>
    <row r="325" s="1" customFormat="1" ht="13.8" x14ac:dyDescent="0.25"/>
    <row r="326" s="1" customFormat="1" ht="13.8" x14ac:dyDescent="0.25"/>
    <row r="327" s="1" customFormat="1" ht="13.8" x14ac:dyDescent="0.25"/>
    <row r="328" s="1" customFormat="1" ht="13.8" x14ac:dyDescent="0.25"/>
    <row r="329" s="1" customFormat="1" ht="13.8" x14ac:dyDescent="0.25"/>
    <row r="330" s="1" customFormat="1" ht="13.8" x14ac:dyDescent="0.25"/>
    <row r="331" s="1" customFormat="1" ht="13.8" x14ac:dyDescent="0.25"/>
    <row r="332" s="1" customFormat="1" ht="13.8" x14ac:dyDescent="0.25"/>
    <row r="333" s="1" customFormat="1" ht="13.8" x14ac:dyDescent="0.25"/>
    <row r="334" s="1" customFormat="1" ht="13.8" x14ac:dyDescent="0.25"/>
    <row r="335" s="1" customFormat="1" ht="13.8" x14ac:dyDescent="0.25"/>
    <row r="336" s="1" customFormat="1" ht="13.8" x14ac:dyDescent="0.25"/>
    <row r="337" s="1" customFormat="1" ht="13.8" x14ac:dyDescent="0.25"/>
    <row r="338" s="1" customFormat="1" ht="13.8" x14ac:dyDescent="0.25"/>
    <row r="339" s="1" customFormat="1" ht="13.8" x14ac:dyDescent="0.25"/>
    <row r="340" s="1" customFormat="1" ht="13.8" x14ac:dyDescent="0.25"/>
    <row r="341" s="1" customFormat="1" ht="13.8" x14ac:dyDescent="0.25"/>
    <row r="342" s="1" customFormat="1" ht="13.8" x14ac:dyDescent="0.25"/>
    <row r="343" s="1" customFormat="1" ht="13.8" x14ac:dyDescent="0.25"/>
    <row r="344" s="1" customFormat="1" ht="13.8" x14ac:dyDescent="0.25"/>
    <row r="345" s="1" customFormat="1" ht="13.8" x14ac:dyDescent="0.25"/>
    <row r="346" s="1" customFormat="1" ht="13.8" x14ac:dyDescent="0.25"/>
    <row r="347" s="1" customFormat="1" ht="13.8" x14ac:dyDescent="0.25"/>
    <row r="348" s="1" customFormat="1" ht="13.8" x14ac:dyDescent="0.25"/>
    <row r="349" s="1" customFormat="1" ht="13.8" x14ac:dyDescent="0.25"/>
    <row r="350" s="1" customFormat="1" ht="13.8" x14ac:dyDescent="0.25"/>
    <row r="351" s="1" customFormat="1" ht="13.8" x14ac:dyDescent="0.25"/>
    <row r="352" s="1" customFormat="1" ht="13.8" x14ac:dyDescent="0.25"/>
    <row r="353" s="1" customFormat="1" ht="13.8" x14ac:dyDescent="0.25"/>
    <row r="354" s="1" customFormat="1" ht="13.8" x14ac:dyDescent="0.25"/>
    <row r="355" s="1" customFormat="1" ht="13.8" x14ac:dyDescent="0.25"/>
    <row r="356" s="1" customFormat="1" ht="13.8" x14ac:dyDescent="0.25"/>
    <row r="357" s="1" customFormat="1" ht="13.8" x14ac:dyDescent="0.25"/>
    <row r="358" s="1" customFormat="1" ht="13.8" x14ac:dyDescent="0.25"/>
    <row r="359" s="1" customFormat="1" ht="13.8" x14ac:dyDescent="0.25"/>
    <row r="360" s="1" customFormat="1" ht="13.8" x14ac:dyDescent="0.25"/>
    <row r="361" s="1" customFormat="1" ht="13.8" x14ac:dyDescent="0.25"/>
    <row r="362" s="1" customFormat="1" ht="13.8" x14ac:dyDescent="0.25"/>
    <row r="363" s="1" customFormat="1" ht="13.8" x14ac:dyDescent="0.25"/>
    <row r="364" s="1" customFormat="1" ht="13.8" x14ac:dyDescent="0.25"/>
    <row r="365" s="1" customFormat="1" ht="13.8" x14ac:dyDescent="0.25"/>
    <row r="366" s="1" customFormat="1" ht="13.8" x14ac:dyDescent="0.25"/>
    <row r="367" s="1" customFormat="1" ht="13.8" x14ac:dyDescent="0.25"/>
    <row r="368" s="1" customFormat="1" ht="13.8" x14ac:dyDescent="0.25"/>
    <row r="369" s="1" customFormat="1" ht="13.8" x14ac:dyDescent="0.25"/>
    <row r="370" s="1" customFormat="1" ht="13.8" x14ac:dyDescent="0.25"/>
    <row r="371" s="1" customFormat="1" ht="13.8" x14ac:dyDescent="0.25"/>
    <row r="372" s="1" customFormat="1" ht="13.8" x14ac:dyDescent="0.25"/>
    <row r="373" s="1" customFormat="1" ht="13.8" x14ac:dyDescent="0.25"/>
    <row r="374" s="1" customFormat="1" ht="13.8" x14ac:dyDescent="0.25"/>
    <row r="375" s="1" customFormat="1" ht="13.8" x14ac:dyDescent="0.25"/>
    <row r="376" s="1" customFormat="1" ht="13.8" x14ac:dyDescent="0.25"/>
    <row r="377" s="1" customFormat="1" ht="13.8" x14ac:dyDescent="0.25"/>
    <row r="378" s="1" customFormat="1" ht="13.8" x14ac:dyDescent="0.25"/>
    <row r="379" s="1" customFormat="1" ht="13.8" x14ac:dyDescent="0.25"/>
    <row r="380" s="1" customFormat="1" ht="13.8" x14ac:dyDescent="0.25"/>
    <row r="381" s="1" customFormat="1" ht="13.8" x14ac:dyDescent="0.25"/>
    <row r="382" s="1" customFormat="1" ht="13.8" x14ac:dyDescent="0.25"/>
    <row r="383" s="1" customFormat="1" ht="13.8" x14ac:dyDescent="0.25"/>
    <row r="384" s="1" customFormat="1" ht="13.8" x14ac:dyDescent="0.25"/>
    <row r="385" s="1" customFormat="1" ht="13.8" x14ac:dyDescent="0.25"/>
    <row r="386" s="1" customFormat="1" ht="13.8" x14ac:dyDescent="0.25"/>
    <row r="387" s="1" customFormat="1" ht="13.8" x14ac:dyDescent="0.25"/>
    <row r="388" s="1" customFormat="1" ht="13.8" x14ac:dyDescent="0.25"/>
    <row r="389" s="1" customFormat="1" ht="13.8" x14ac:dyDescent="0.25"/>
    <row r="390" s="1" customFormat="1" ht="13.8" x14ac:dyDescent="0.25"/>
    <row r="391" s="1" customFormat="1" ht="13.8" x14ac:dyDescent="0.25"/>
    <row r="392" s="1" customFormat="1" ht="13.8" x14ac:dyDescent="0.25"/>
    <row r="393" s="1" customFormat="1" ht="13.8" x14ac:dyDescent="0.25"/>
    <row r="394" s="1" customFormat="1" ht="13.8" x14ac:dyDescent="0.25"/>
    <row r="395" s="1" customFormat="1" ht="13.8" x14ac:dyDescent="0.25"/>
    <row r="396" s="1" customFormat="1" ht="13.8" x14ac:dyDescent="0.25"/>
    <row r="397" s="1" customFormat="1" ht="13.8" x14ac:dyDescent="0.25"/>
    <row r="398" s="1" customFormat="1" ht="13.8" x14ac:dyDescent="0.25"/>
    <row r="399" s="1" customFormat="1" ht="13.8" x14ac:dyDescent="0.25"/>
    <row r="400" s="1" customFormat="1" ht="13.8" x14ac:dyDescent="0.25"/>
    <row r="401" s="1" customFormat="1" ht="13.8" x14ac:dyDescent="0.25"/>
    <row r="402" s="1" customFormat="1" ht="13.8" x14ac:dyDescent="0.25"/>
    <row r="403" s="1" customFormat="1" ht="13.8" x14ac:dyDescent="0.25"/>
    <row r="404" s="1" customFormat="1" ht="13.8" x14ac:dyDescent="0.25"/>
    <row r="405" s="1" customFormat="1" ht="13.8" x14ac:dyDescent="0.25"/>
    <row r="406" s="1" customFormat="1" ht="13.8" x14ac:dyDescent="0.25"/>
    <row r="407" s="1" customFormat="1" ht="13.8" x14ac:dyDescent="0.25"/>
    <row r="408" s="1" customFormat="1" ht="13.8" x14ac:dyDescent="0.25"/>
    <row r="409" s="1" customFormat="1" ht="13.8" x14ac:dyDescent="0.25"/>
    <row r="410" s="1" customFormat="1" ht="13.8" x14ac:dyDescent="0.25"/>
    <row r="411" s="1" customFormat="1" ht="13.8" x14ac:dyDescent="0.25"/>
    <row r="412" s="1" customFormat="1" ht="13.8" x14ac:dyDescent="0.25"/>
    <row r="413" s="1" customFormat="1" ht="13.8" x14ac:dyDescent="0.25"/>
    <row r="414" s="1" customFormat="1" ht="13.8" x14ac:dyDescent="0.25"/>
    <row r="415" s="1" customFormat="1" ht="13.8" x14ac:dyDescent="0.25"/>
    <row r="416" s="1" customFormat="1" ht="13.8" x14ac:dyDescent="0.25"/>
    <row r="417" s="1" customFormat="1" ht="13.8" x14ac:dyDescent="0.25"/>
    <row r="418" s="1" customFormat="1" ht="13.8" x14ac:dyDescent="0.25"/>
    <row r="419" s="1" customFormat="1" ht="13.8" x14ac:dyDescent="0.25"/>
    <row r="420" s="1" customFormat="1" ht="13.8" x14ac:dyDescent="0.25"/>
    <row r="421" s="1" customFormat="1" ht="13.8" x14ac:dyDescent="0.25"/>
    <row r="422" s="1" customFormat="1" ht="13.8" x14ac:dyDescent="0.25"/>
    <row r="423" s="1" customFormat="1" ht="13.8" x14ac:dyDescent="0.25"/>
    <row r="424" s="1" customFormat="1" ht="13.8" x14ac:dyDescent="0.25"/>
    <row r="425" s="1" customFormat="1" ht="13.8" x14ac:dyDescent="0.25"/>
    <row r="426" s="1" customFormat="1" ht="13.8" x14ac:dyDescent="0.25"/>
    <row r="427" s="1" customFormat="1" ht="13.8" x14ac:dyDescent="0.25"/>
    <row r="428" s="1" customFormat="1" ht="13.8" x14ac:dyDescent="0.25"/>
    <row r="429" s="1" customFormat="1" ht="13.8" x14ac:dyDescent="0.25"/>
    <row r="430" s="1" customFormat="1" ht="13.8" x14ac:dyDescent="0.25"/>
    <row r="431" s="1" customFormat="1" ht="13.8" x14ac:dyDescent="0.25"/>
    <row r="432" s="1" customFormat="1" ht="13.8" x14ac:dyDescent="0.25"/>
    <row r="433" s="1" customFormat="1" ht="13.8" x14ac:dyDescent="0.25"/>
    <row r="434" s="1" customFormat="1" ht="13.8" x14ac:dyDescent="0.25"/>
    <row r="435" s="1" customFormat="1" ht="13.8" x14ac:dyDescent="0.25"/>
    <row r="436" s="1" customFormat="1" ht="13.8" x14ac:dyDescent="0.25"/>
    <row r="437" s="1" customFormat="1" ht="13.8" x14ac:dyDescent="0.25"/>
    <row r="438" s="1" customFormat="1" ht="13.8" x14ac:dyDescent="0.25"/>
    <row r="439" s="1" customFormat="1" ht="13.8" x14ac:dyDescent="0.25"/>
    <row r="440" s="1" customFormat="1" ht="13.8" x14ac:dyDescent="0.25"/>
    <row r="441" s="1" customFormat="1" ht="13.8" x14ac:dyDescent="0.25"/>
    <row r="442" s="1" customFormat="1" ht="13.8" x14ac:dyDescent="0.25"/>
    <row r="443" s="1" customFormat="1" ht="13.8" x14ac:dyDescent="0.25"/>
    <row r="444" s="1" customFormat="1" ht="13.8" x14ac:dyDescent="0.25"/>
    <row r="445" s="1" customFormat="1" ht="13.8" x14ac:dyDescent="0.25"/>
    <row r="446" s="1" customFormat="1" ht="13.8" x14ac:dyDescent="0.25"/>
    <row r="447" s="1" customFormat="1" ht="13.8" x14ac:dyDescent="0.25"/>
    <row r="448" s="1" customFormat="1" ht="13.8" x14ac:dyDescent="0.25"/>
    <row r="449" s="1" customFormat="1" ht="13.8" x14ac:dyDescent="0.25"/>
    <row r="450" s="1" customFormat="1" ht="13.8" x14ac:dyDescent="0.25"/>
    <row r="451" s="1" customFormat="1" ht="13.8" x14ac:dyDescent="0.25"/>
    <row r="452" s="1" customFormat="1" ht="13.8" x14ac:dyDescent="0.25"/>
    <row r="453" s="1" customFormat="1" ht="13.8" x14ac:dyDescent="0.25"/>
    <row r="454" s="1" customFormat="1" ht="13.8" x14ac:dyDescent="0.25"/>
    <row r="455" s="1" customFormat="1" ht="13.8" x14ac:dyDescent="0.25"/>
    <row r="456" s="1" customFormat="1" ht="13.8" x14ac:dyDescent="0.25"/>
    <row r="457" s="1" customFormat="1" ht="13.8" x14ac:dyDescent="0.25"/>
    <row r="458" s="1" customFormat="1" ht="13.8" x14ac:dyDescent="0.25"/>
    <row r="459" s="1" customFormat="1" ht="13.8" x14ac:dyDescent="0.25"/>
    <row r="460" s="1" customFormat="1" ht="13.8" x14ac:dyDescent="0.25"/>
    <row r="461" s="1" customFormat="1" ht="13.8" x14ac:dyDescent="0.25"/>
    <row r="462" s="1" customFormat="1" ht="13.8" x14ac:dyDescent="0.25"/>
    <row r="463" s="1" customFormat="1" ht="13.8" x14ac:dyDescent="0.25"/>
    <row r="464" s="1" customFormat="1" ht="13.8" x14ac:dyDescent="0.25"/>
    <row r="465" s="1" customFormat="1" ht="13.8" x14ac:dyDescent="0.25"/>
    <row r="466" s="1" customFormat="1" ht="13.8" x14ac:dyDescent="0.25"/>
    <row r="467" s="1" customFormat="1" ht="13.8" x14ac:dyDescent="0.25"/>
    <row r="468" s="1" customFormat="1" ht="13.8" x14ac:dyDescent="0.25"/>
    <row r="469" s="1" customFormat="1" ht="13.8" x14ac:dyDescent="0.25"/>
    <row r="470" s="1" customFormat="1" ht="13.8" x14ac:dyDescent="0.25"/>
    <row r="471" s="1" customFormat="1" ht="13.8" x14ac:dyDescent="0.25"/>
    <row r="472" s="1" customFormat="1" ht="13.8" x14ac:dyDescent="0.25"/>
    <row r="473" s="1" customFormat="1" ht="13.8" x14ac:dyDescent="0.25"/>
    <row r="474" s="1" customFormat="1" ht="13.8" x14ac:dyDescent="0.25"/>
    <row r="475" s="1" customFormat="1" ht="13.8" x14ac:dyDescent="0.25"/>
    <row r="476" s="1" customFormat="1" ht="13.8" x14ac:dyDescent="0.25"/>
    <row r="477" s="1" customFormat="1" ht="13.8" x14ac:dyDescent="0.25"/>
    <row r="478" s="1" customFormat="1" ht="13.8" x14ac:dyDescent="0.25"/>
    <row r="479" s="1" customFormat="1" ht="13.8" x14ac:dyDescent="0.25"/>
    <row r="480" s="1" customFormat="1" ht="13.8" x14ac:dyDescent="0.25"/>
    <row r="481" s="1" customFormat="1" ht="13.8" x14ac:dyDescent="0.25"/>
    <row r="482" s="1" customFormat="1" ht="13.8" x14ac:dyDescent="0.25"/>
    <row r="483" s="1" customFormat="1" ht="13.8" x14ac:dyDescent="0.25"/>
    <row r="484" s="1" customFormat="1" ht="13.8" x14ac:dyDescent="0.25"/>
    <row r="485" s="1" customFormat="1" ht="13.8" x14ac:dyDescent="0.25"/>
    <row r="486" s="1" customFormat="1" ht="13.8" x14ac:dyDescent="0.25"/>
    <row r="487" s="1" customFormat="1" ht="13.8" x14ac:dyDescent="0.25"/>
    <row r="488" s="1" customFormat="1" ht="13.8" x14ac:dyDescent="0.25"/>
    <row r="489" s="1" customFormat="1" ht="13.8" x14ac:dyDescent="0.25"/>
    <row r="490" s="1" customFormat="1" ht="13.8" x14ac:dyDescent="0.25"/>
    <row r="491" s="1" customFormat="1" ht="13.8" x14ac:dyDescent="0.25"/>
    <row r="492" s="1" customFormat="1" ht="13.8" x14ac:dyDescent="0.25"/>
    <row r="493" s="1" customFormat="1" ht="13.8" x14ac:dyDescent="0.25"/>
    <row r="494" s="1" customFormat="1" ht="13.8" x14ac:dyDescent="0.25"/>
    <row r="495" s="1" customFormat="1" ht="13.8" x14ac:dyDescent="0.25"/>
    <row r="496" s="1" customFormat="1" ht="13.8" x14ac:dyDescent="0.25"/>
    <row r="497" s="1" customFormat="1" ht="13.8" x14ac:dyDescent="0.25"/>
    <row r="498" s="1" customFormat="1" ht="13.8" x14ac:dyDescent="0.25"/>
    <row r="499" s="1" customFormat="1" ht="13.8" x14ac:dyDescent="0.25"/>
    <row r="500" s="1" customFormat="1" ht="13.8" x14ac:dyDescent="0.25"/>
    <row r="501" s="1" customFormat="1" ht="13.8" x14ac:dyDescent="0.25"/>
    <row r="502" s="1" customFormat="1" ht="13.8" x14ac:dyDescent="0.25"/>
    <row r="503" s="1" customFormat="1" ht="13.8" x14ac:dyDescent="0.25"/>
    <row r="504" s="1" customFormat="1" ht="13.8" x14ac:dyDescent="0.25"/>
    <row r="505" s="1" customFormat="1" ht="13.8" x14ac:dyDescent="0.25"/>
    <row r="506" s="1" customFormat="1" ht="13.8" x14ac:dyDescent="0.25"/>
    <row r="507" s="1" customFormat="1" ht="13.8" x14ac:dyDescent="0.25"/>
    <row r="508" s="1" customFormat="1" ht="13.8" x14ac:dyDescent="0.25"/>
    <row r="509" s="1" customFormat="1" ht="13.8" x14ac:dyDescent="0.25"/>
    <row r="510" s="1" customFormat="1" ht="13.8" x14ac:dyDescent="0.25"/>
    <row r="511" s="1" customFormat="1" ht="13.8" x14ac:dyDescent="0.25"/>
    <row r="512" s="1" customFormat="1" ht="13.8" x14ac:dyDescent="0.25"/>
    <row r="513" s="1" customFormat="1" ht="13.8" x14ac:dyDescent="0.25"/>
    <row r="514" s="1" customFormat="1" ht="13.8" x14ac:dyDescent="0.25"/>
    <row r="515" s="1" customFormat="1" ht="13.8" x14ac:dyDescent="0.25"/>
    <row r="516" s="1" customFormat="1" ht="13.8" x14ac:dyDescent="0.25"/>
    <row r="517" s="1" customFormat="1" ht="13.8" x14ac:dyDescent="0.25"/>
    <row r="518" s="1" customFormat="1" ht="13.8" x14ac:dyDescent="0.25"/>
    <row r="519" s="1" customFormat="1" ht="13.8" x14ac:dyDescent="0.25"/>
    <row r="520" s="1" customFormat="1" ht="13.8" x14ac:dyDescent="0.25"/>
    <row r="521" s="1" customFormat="1" ht="13.8" x14ac:dyDescent="0.25"/>
    <row r="522" s="1" customFormat="1" ht="13.8" x14ac:dyDescent="0.25"/>
    <row r="523" s="1" customFormat="1" ht="13.8" x14ac:dyDescent="0.25"/>
    <row r="524" s="1" customFormat="1" ht="13.8" x14ac:dyDescent="0.25"/>
    <row r="525" s="1" customFormat="1" ht="13.8" x14ac:dyDescent="0.25"/>
    <row r="526" s="1" customFormat="1" ht="13.8" x14ac:dyDescent="0.25"/>
    <row r="527" s="1" customFormat="1" ht="13.8" x14ac:dyDescent="0.25"/>
    <row r="528" s="1" customFormat="1" ht="13.8" x14ac:dyDescent="0.25"/>
    <row r="529" s="1" customFormat="1" ht="13.8" x14ac:dyDescent="0.25"/>
    <row r="530" s="1" customFormat="1" ht="13.8" x14ac:dyDescent="0.25"/>
    <row r="531" s="1" customFormat="1" ht="13.8" x14ac:dyDescent="0.25"/>
    <row r="532" s="1" customFormat="1" ht="13.8" x14ac:dyDescent="0.25"/>
    <row r="533" s="1" customFormat="1" ht="13.8" x14ac:dyDescent="0.25"/>
    <row r="534" s="1" customFormat="1" ht="13.8" x14ac:dyDescent="0.25"/>
    <row r="535" s="1" customFormat="1" ht="13.8" x14ac:dyDescent="0.25"/>
    <row r="536" s="1" customFormat="1" ht="13.8" x14ac:dyDescent="0.25"/>
    <row r="537" s="1" customFormat="1" ht="13.8" x14ac:dyDescent="0.25"/>
    <row r="538" s="1" customFormat="1" ht="13.8" x14ac:dyDescent="0.25"/>
    <row r="539" s="1" customFormat="1" ht="13.8" x14ac:dyDescent="0.25"/>
    <row r="540" s="1" customFormat="1" ht="13.8" x14ac:dyDescent="0.25"/>
    <row r="541" s="1" customFormat="1" ht="13.8" x14ac:dyDescent="0.25"/>
    <row r="542" s="1" customFormat="1" ht="13.8" x14ac:dyDescent="0.25"/>
    <row r="543" s="1" customFormat="1" ht="13.8" x14ac:dyDescent="0.25"/>
    <row r="544" s="1" customFormat="1" ht="13.8" x14ac:dyDescent="0.25"/>
    <row r="545" s="1" customFormat="1" ht="13.8" x14ac:dyDescent="0.25"/>
    <row r="546" s="1" customFormat="1" ht="13.8" x14ac:dyDescent="0.25"/>
    <row r="547" s="1" customFormat="1" ht="13.8" x14ac:dyDescent="0.25"/>
    <row r="548" s="1" customFormat="1" ht="13.8" x14ac:dyDescent="0.25"/>
    <row r="549" s="1" customFormat="1" ht="13.8" x14ac:dyDescent="0.25"/>
    <row r="550" s="1" customFormat="1" ht="13.8" x14ac:dyDescent="0.25"/>
    <row r="551" s="1" customFormat="1" ht="13.8" x14ac:dyDescent="0.25"/>
    <row r="552" s="1" customFormat="1" ht="13.8" x14ac:dyDescent="0.25"/>
    <row r="553" s="1" customFormat="1" ht="13.8" x14ac:dyDescent="0.25"/>
    <row r="554" s="1" customFormat="1" ht="13.8" x14ac:dyDescent="0.25"/>
    <row r="555" s="1" customFormat="1" ht="13.8" x14ac:dyDescent="0.25"/>
    <row r="556" s="1" customFormat="1" ht="13.8" x14ac:dyDescent="0.25"/>
    <row r="557" s="1" customFormat="1" ht="13.8" x14ac:dyDescent="0.25"/>
    <row r="558" s="1" customFormat="1" ht="13.8" x14ac:dyDescent="0.25"/>
    <row r="559" s="1" customFormat="1" ht="13.8" x14ac:dyDescent="0.25"/>
    <row r="560" s="1" customFormat="1" ht="13.8" x14ac:dyDescent="0.25"/>
    <row r="561" s="1" customFormat="1" ht="13.8" x14ac:dyDescent="0.25"/>
    <row r="562" s="1" customFormat="1" ht="13.8" x14ac:dyDescent="0.25"/>
    <row r="563" s="1" customFormat="1" ht="13.8" x14ac:dyDescent="0.25"/>
    <row r="564" s="1" customFormat="1" ht="13.8" x14ac:dyDescent="0.25"/>
    <row r="565" s="1" customFormat="1" ht="13.8" x14ac:dyDescent="0.25"/>
    <row r="566" s="1" customFormat="1" ht="13.8" x14ac:dyDescent="0.25"/>
    <row r="567" s="1" customFormat="1" ht="13.8" x14ac:dyDescent="0.25"/>
    <row r="568" s="1" customFormat="1" ht="13.8" x14ac:dyDescent="0.25"/>
    <row r="569" s="1" customFormat="1" ht="13.8" x14ac:dyDescent="0.25"/>
    <row r="570" s="1" customFormat="1" ht="13.8" x14ac:dyDescent="0.25"/>
    <row r="571" s="1" customFormat="1" ht="13.8" x14ac:dyDescent="0.25"/>
    <row r="572" s="1" customFormat="1" ht="13.8" x14ac:dyDescent="0.25"/>
    <row r="573" s="1" customFormat="1" ht="13.8" x14ac:dyDescent="0.25"/>
    <row r="574" s="1" customFormat="1" ht="13.8" x14ac:dyDescent="0.25"/>
    <row r="575" s="1" customFormat="1" ht="13.8" x14ac:dyDescent="0.25"/>
    <row r="576" s="1" customFormat="1" ht="13.8" x14ac:dyDescent="0.25"/>
    <row r="577" s="1" customFormat="1" ht="13.8" x14ac:dyDescent="0.25"/>
    <row r="578" s="1" customFormat="1" ht="13.8" x14ac:dyDescent="0.25"/>
    <row r="579" s="1" customFormat="1" ht="13.8" x14ac:dyDescent="0.25"/>
    <row r="580" s="1" customFormat="1" ht="13.8" x14ac:dyDescent="0.25"/>
    <row r="581" s="1" customFormat="1" ht="13.8" x14ac:dyDescent="0.25"/>
    <row r="582" s="1" customFormat="1" ht="13.8" x14ac:dyDescent="0.25"/>
    <row r="583" s="1" customFormat="1" ht="13.8" x14ac:dyDescent="0.25"/>
    <row r="584" s="1" customFormat="1" ht="13.8" x14ac:dyDescent="0.25"/>
    <row r="585" s="1" customFormat="1" ht="13.8" x14ac:dyDescent="0.25"/>
    <row r="586" s="1" customFormat="1" ht="13.8" x14ac:dyDescent="0.25"/>
    <row r="587" s="1" customFormat="1" ht="13.8" x14ac:dyDescent="0.25"/>
    <row r="588" s="1" customFormat="1" ht="13.8" x14ac:dyDescent="0.25"/>
    <row r="589" s="1" customFormat="1" ht="13.8" x14ac:dyDescent="0.25"/>
    <row r="590" s="1" customFormat="1" ht="13.8" x14ac:dyDescent="0.25"/>
    <row r="591" s="1" customFormat="1" ht="13.8" x14ac:dyDescent="0.25"/>
    <row r="592" s="1" customFormat="1" ht="13.8" x14ac:dyDescent="0.25"/>
    <row r="593" s="1" customFormat="1" ht="13.8" x14ac:dyDescent="0.25"/>
    <row r="594" s="1" customFormat="1" ht="13.8" x14ac:dyDescent="0.25"/>
    <row r="595" s="1" customFormat="1" ht="13.8" x14ac:dyDescent="0.25"/>
    <row r="596" s="1" customFormat="1" ht="13.8" x14ac:dyDescent="0.25"/>
    <row r="597" s="1" customFormat="1" ht="13.8" x14ac:dyDescent="0.25"/>
    <row r="598" s="1" customFormat="1" ht="13.8" x14ac:dyDescent="0.25"/>
    <row r="599" s="1" customFormat="1" ht="13.8" x14ac:dyDescent="0.25"/>
    <row r="600" s="1" customFormat="1" ht="13.8" x14ac:dyDescent="0.25"/>
    <row r="601" s="1" customFormat="1" ht="13.8" x14ac:dyDescent="0.25"/>
    <row r="602" s="1" customFormat="1" ht="13.8" x14ac:dyDescent="0.25"/>
    <row r="603" s="1" customFormat="1" ht="13.8" x14ac:dyDescent="0.25"/>
    <row r="604" s="1" customFormat="1" ht="13.8" x14ac:dyDescent="0.25"/>
    <row r="605" s="1" customFormat="1" ht="13.8" x14ac:dyDescent="0.25"/>
    <row r="606" s="1" customFormat="1" ht="13.8" x14ac:dyDescent="0.25"/>
    <row r="607" s="1" customFormat="1" ht="13.8" x14ac:dyDescent="0.25"/>
    <row r="608" s="1" customFormat="1" ht="13.8" x14ac:dyDescent="0.25"/>
    <row r="609" s="1" customFormat="1" ht="13.8" x14ac:dyDescent="0.25"/>
    <row r="610" s="1" customFormat="1" ht="13.8" x14ac:dyDescent="0.25"/>
    <row r="611" s="1" customFormat="1" ht="13.8" x14ac:dyDescent="0.25"/>
    <row r="612" s="1" customFormat="1" ht="13.8" x14ac:dyDescent="0.25"/>
    <row r="613" s="1" customFormat="1" ht="13.8" x14ac:dyDescent="0.25"/>
    <row r="614" s="1" customFormat="1" ht="13.8" x14ac:dyDescent="0.25"/>
    <row r="615" s="1" customFormat="1" ht="13.8" x14ac:dyDescent="0.25"/>
    <row r="616" s="1" customFormat="1" ht="13.8" x14ac:dyDescent="0.25"/>
    <row r="617" s="1" customFormat="1" ht="13.8" x14ac:dyDescent="0.25"/>
    <row r="618" s="1" customFormat="1" ht="13.8" x14ac:dyDescent="0.25"/>
    <row r="619" s="1" customFormat="1" ht="13.8" x14ac:dyDescent="0.25"/>
    <row r="620" s="1" customFormat="1" ht="13.8" x14ac:dyDescent="0.25"/>
    <row r="621" s="1" customFormat="1" ht="13.8" x14ac:dyDescent="0.25"/>
    <row r="622" s="1" customFormat="1" ht="13.8" x14ac:dyDescent="0.25"/>
    <row r="623" s="1" customFormat="1" ht="13.8" x14ac:dyDescent="0.25"/>
    <row r="624" s="1" customFormat="1" ht="13.8" x14ac:dyDescent="0.25"/>
    <row r="625" s="1" customFormat="1" ht="13.8" x14ac:dyDescent="0.25"/>
    <row r="626" s="1" customFormat="1" ht="13.8" x14ac:dyDescent="0.25"/>
    <row r="627" s="1" customFormat="1" ht="13.8" x14ac:dyDescent="0.25"/>
    <row r="628" s="1" customFormat="1" ht="13.8" x14ac:dyDescent="0.25"/>
    <row r="629" s="1" customFormat="1" ht="13.8" x14ac:dyDescent="0.25"/>
    <row r="630" s="1" customFormat="1" ht="13.8" x14ac:dyDescent="0.25"/>
    <row r="631" s="1" customFormat="1" ht="13.8" x14ac:dyDescent="0.25"/>
    <row r="632" s="1" customFormat="1" ht="13.8" x14ac:dyDescent="0.25"/>
    <row r="633" s="1" customFormat="1" ht="13.8" x14ac:dyDescent="0.25"/>
    <row r="634" s="1" customFormat="1" ht="13.8" x14ac:dyDescent="0.25"/>
    <row r="635" s="1" customFormat="1" ht="13.8" x14ac:dyDescent="0.25"/>
    <row r="636" s="1" customFormat="1" ht="13.8" x14ac:dyDescent="0.25"/>
    <row r="637" s="1" customFormat="1" ht="13.8" x14ac:dyDescent="0.25"/>
    <row r="638" s="1" customFormat="1" ht="13.8" x14ac:dyDescent="0.25"/>
    <row r="639" s="1" customFormat="1" ht="13.8" x14ac:dyDescent="0.25"/>
    <row r="640" s="1" customFormat="1" ht="13.8" x14ac:dyDescent="0.25"/>
    <row r="641" s="1" customFormat="1" ht="13.8" x14ac:dyDescent="0.25"/>
    <row r="642" s="1" customFormat="1" ht="13.8" x14ac:dyDescent="0.25"/>
    <row r="643" s="1" customFormat="1" ht="13.8" x14ac:dyDescent="0.25"/>
    <row r="644" s="1" customFormat="1" ht="13.8" x14ac:dyDescent="0.25"/>
    <row r="645" s="1" customFormat="1" ht="13.8" x14ac:dyDescent="0.25"/>
    <row r="646" s="1" customFormat="1" ht="13.8" x14ac:dyDescent="0.25"/>
    <row r="647" s="1" customFormat="1" ht="13.8" x14ac:dyDescent="0.25"/>
    <row r="648" s="1" customFormat="1" ht="13.8" x14ac:dyDescent="0.25"/>
    <row r="649" s="1" customFormat="1" ht="13.8" x14ac:dyDescent="0.25"/>
    <row r="650" s="1" customFormat="1" ht="13.8" x14ac:dyDescent="0.25"/>
    <row r="651" s="1" customFormat="1" ht="13.8" x14ac:dyDescent="0.25"/>
    <row r="652" s="1" customFormat="1" ht="13.8" x14ac:dyDescent="0.25"/>
    <row r="653" s="1" customFormat="1" ht="13.8" x14ac:dyDescent="0.25"/>
    <row r="654" s="1" customFormat="1" ht="13.8" x14ac:dyDescent="0.25"/>
    <row r="655" s="1" customFormat="1" ht="13.8" x14ac:dyDescent="0.25"/>
    <row r="656" s="1" customFormat="1" ht="13.8" x14ac:dyDescent="0.25"/>
    <row r="657" s="1" customFormat="1" ht="13.8" x14ac:dyDescent="0.25"/>
    <row r="658" s="1" customFormat="1" ht="13.8" x14ac:dyDescent="0.25"/>
    <row r="659" s="1" customFormat="1" ht="13.8" x14ac:dyDescent="0.25"/>
    <row r="660" s="1" customFormat="1" ht="13.8" x14ac:dyDescent="0.25"/>
    <row r="661" s="1" customFormat="1" ht="13.8" x14ac:dyDescent="0.25"/>
    <row r="662" s="1" customFormat="1" ht="13.8" x14ac:dyDescent="0.25"/>
    <row r="663" s="1" customFormat="1" ht="13.8" x14ac:dyDescent="0.25"/>
    <row r="664" s="1" customFormat="1" ht="13.8" x14ac:dyDescent="0.25"/>
    <row r="665" s="1" customFormat="1" ht="13.8" x14ac:dyDescent="0.25"/>
    <row r="666" s="1" customFormat="1" ht="13.8" x14ac:dyDescent="0.25"/>
    <row r="667" s="1" customFormat="1" ht="13.8" x14ac:dyDescent="0.25"/>
    <row r="668" s="1" customFormat="1" ht="13.8" x14ac:dyDescent="0.25"/>
    <row r="669" s="1" customFormat="1" ht="13.8" x14ac:dyDescent="0.25"/>
    <row r="670" s="1" customFormat="1" ht="13.8" x14ac:dyDescent="0.25"/>
    <row r="671" s="1" customFormat="1" ht="13.8" x14ac:dyDescent="0.25"/>
    <row r="672" s="1" customFormat="1" ht="13.8" x14ac:dyDescent="0.25"/>
    <row r="673" s="1" customFormat="1" ht="13.8" x14ac:dyDescent="0.25"/>
    <row r="674" s="1" customFormat="1" ht="13.8" x14ac:dyDescent="0.25"/>
    <row r="675" s="1" customFormat="1" ht="13.8" x14ac:dyDescent="0.25"/>
    <row r="676" s="1" customFormat="1" ht="13.8" x14ac:dyDescent="0.25"/>
    <row r="677" s="1" customFormat="1" ht="13.8" x14ac:dyDescent="0.25"/>
    <row r="678" s="1" customFormat="1" ht="13.8" x14ac:dyDescent="0.25"/>
    <row r="679" s="1" customFormat="1" ht="13.8" x14ac:dyDescent="0.25"/>
    <row r="680" s="1" customFormat="1" ht="13.8" x14ac:dyDescent="0.25"/>
    <row r="681" s="1" customFormat="1" ht="13.8" x14ac:dyDescent="0.25"/>
    <row r="682" s="1" customFormat="1" ht="13.8" x14ac:dyDescent="0.25"/>
    <row r="683" s="1" customFormat="1" ht="13.8" x14ac:dyDescent="0.25"/>
    <row r="684" s="1" customFormat="1" ht="13.8" x14ac:dyDescent="0.25"/>
    <row r="685" s="1" customFormat="1" ht="13.8" x14ac:dyDescent="0.25"/>
    <row r="686" s="1" customFormat="1" ht="13.8" x14ac:dyDescent="0.25"/>
    <row r="687" s="1" customFormat="1" ht="13.8" x14ac:dyDescent="0.25"/>
    <row r="688" s="1" customFormat="1" ht="13.8" x14ac:dyDescent="0.25"/>
    <row r="689" s="1" customFormat="1" ht="13.8" x14ac:dyDescent="0.25"/>
    <row r="690" s="1" customFormat="1" ht="13.8" x14ac:dyDescent="0.25"/>
    <row r="691" s="1" customFormat="1" ht="13.8" x14ac:dyDescent="0.25"/>
    <row r="692" s="1" customFormat="1" ht="13.8" x14ac:dyDescent="0.25"/>
    <row r="693" s="1" customFormat="1" ht="13.8" x14ac:dyDescent="0.25"/>
    <row r="694" s="1" customFormat="1" ht="13.8" x14ac:dyDescent="0.25"/>
    <row r="695" s="1" customFormat="1" ht="13.8" x14ac:dyDescent="0.25"/>
    <row r="696" s="1" customFormat="1" ht="13.8" x14ac:dyDescent="0.25"/>
    <row r="697" s="1" customFormat="1" ht="13.8" x14ac:dyDescent="0.25"/>
    <row r="698" s="1" customFormat="1" ht="13.8" x14ac:dyDescent="0.25"/>
    <row r="699" s="1" customFormat="1" ht="13.8" x14ac:dyDescent="0.25"/>
    <row r="700" s="1" customFormat="1" ht="13.8" x14ac:dyDescent="0.25"/>
    <row r="701" s="1" customFormat="1" ht="13.8" x14ac:dyDescent="0.25"/>
    <row r="702" s="1" customFormat="1" ht="13.8" x14ac:dyDescent="0.25"/>
    <row r="703" s="1" customFormat="1" ht="13.8" x14ac:dyDescent="0.25"/>
    <row r="704" s="1" customFormat="1" ht="13.8" x14ac:dyDescent="0.25"/>
    <row r="705" s="1" customFormat="1" ht="13.8" x14ac:dyDescent="0.25"/>
    <row r="706" s="1" customFormat="1" ht="13.8" x14ac:dyDescent="0.25"/>
    <row r="707" s="1" customFormat="1" ht="13.8" x14ac:dyDescent="0.25"/>
    <row r="708" s="1" customFormat="1" ht="13.8" x14ac:dyDescent="0.25"/>
    <row r="709" s="1" customFormat="1" ht="13.8" x14ac:dyDescent="0.25"/>
    <row r="710" s="1" customFormat="1" ht="13.8" x14ac:dyDescent="0.25"/>
    <row r="711" s="1" customFormat="1" ht="13.8" x14ac:dyDescent="0.25"/>
    <row r="712" s="1" customFormat="1" ht="13.8" x14ac:dyDescent="0.25"/>
    <row r="713" s="1" customFormat="1" ht="13.8" x14ac:dyDescent="0.25"/>
    <row r="714" s="1" customFormat="1" ht="13.8" x14ac:dyDescent="0.25"/>
    <row r="715" s="1" customFormat="1" ht="13.8" x14ac:dyDescent="0.25"/>
    <row r="716" s="1" customFormat="1" ht="13.8" x14ac:dyDescent="0.25"/>
    <row r="717" s="1" customFormat="1" ht="13.8" x14ac:dyDescent="0.25"/>
    <row r="718" s="1" customFormat="1" ht="13.8" x14ac:dyDescent="0.25"/>
    <row r="719" s="1" customFormat="1" ht="13.8" x14ac:dyDescent="0.25"/>
    <row r="720" s="1" customFormat="1" ht="13.8" x14ac:dyDescent="0.25"/>
    <row r="721" s="1" customFormat="1" ht="13.8" x14ac:dyDescent="0.25"/>
    <row r="722" s="1" customFormat="1" ht="13.8" x14ac:dyDescent="0.25"/>
    <row r="723" s="1" customFormat="1" ht="13.8" x14ac:dyDescent="0.25"/>
    <row r="724" s="1" customFormat="1" ht="13.8" x14ac:dyDescent="0.25"/>
    <row r="725" s="1" customFormat="1" ht="13.8" x14ac:dyDescent="0.25"/>
    <row r="726" s="1" customFormat="1" ht="13.8" x14ac:dyDescent="0.25"/>
    <row r="727" s="1" customFormat="1" ht="13.8" x14ac:dyDescent="0.25"/>
    <row r="728" s="1" customFormat="1" ht="13.8" x14ac:dyDescent="0.25"/>
    <row r="729" s="1" customFormat="1" ht="13.8" x14ac:dyDescent="0.25"/>
    <row r="730" s="1" customFormat="1" ht="13.8" x14ac:dyDescent="0.25"/>
    <row r="731" s="1" customFormat="1" ht="13.8" x14ac:dyDescent="0.25"/>
    <row r="732" s="1" customFormat="1" ht="13.8" x14ac:dyDescent="0.25"/>
    <row r="733" s="1" customFormat="1" ht="13.8" x14ac:dyDescent="0.25"/>
    <row r="734" s="1" customFormat="1" ht="13.8" x14ac:dyDescent="0.25"/>
    <row r="735" s="1" customFormat="1" ht="13.8" x14ac:dyDescent="0.25"/>
    <row r="736" s="1" customFormat="1" ht="13.8" x14ac:dyDescent="0.25"/>
    <row r="737" s="1" customFormat="1" ht="13.8" x14ac:dyDescent="0.25"/>
    <row r="738" s="1" customFormat="1" ht="13.8" x14ac:dyDescent="0.25"/>
    <row r="739" s="1" customFormat="1" ht="13.8" x14ac:dyDescent="0.25"/>
    <row r="740" s="1" customFormat="1" ht="13.8" x14ac:dyDescent="0.25"/>
    <row r="741" s="1" customFormat="1" ht="13.8" x14ac:dyDescent="0.25"/>
    <row r="742" s="1" customFormat="1" ht="13.8" x14ac:dyDescent="0.25"/>
    <row r="743" s="1" customFormat="1" ht="13.8" x14ac:dyDescent="0.25"/>
    <row r="744" s="1" customFormat="1" ht="13.8" x14ac:dyDescent="0.25"/>
    <row r="745" s="1" customFormat="1" ht="13.8" x14ac:dyDescent="0.25"/>
    <row r="746" s="1" customFormat="1" ht="13.8" x14ac:dyDescent="0.25"/>
    <row r="747" s="1" customFormat="1" ht="13.8" x14ac:dyDescent="0.25"/>
    <row r="748" s="1" customFormat="1" ht="13.8" x14ac:dyDescent="0.25"/>
    <row r="749" s="1" customFormat="1" ht="13.8" x14ac:dyDescent="0.25"/>
    <row r="750" s="1" customFormat="1" ht="13.8" x14ac:dyDescent="0.25"/>
    <row r="751" s="1" customFormat="1" ht="13.8" x14ac:dyDescent="0.25"/>
    <row r="752" s="1" customFormat="1" ht="13.8" x14ac:dyDescent="0.25"/>
    <row r="753" s="1" customFormat="1" ht="13.8" x14ac:dyDescent="0.25"/>
    <row r="754" s="1" customFormat="1" ht="13.8" x14ac:dyDescent="0.25"/>
    <row r="755" s="1" customFormat="1" ht="13.8" x14ac:dyDescent="0.25"/>
    <row r="756" s="1" customFormat="1" ht="13.8" x14ac:dyDescent="0.25"/>
    <row r="757" s="1" customFormat="1" ht="13.8" x14ac:dyDescent="0.25"/>
    <row r="758" s="1" customFormat="1" ht="13.8" x14ac:dyDescent="0.25"/>
    <row r="759" s="1" customFormat="1" ht="13.8" x14ac:dyDescent="0.25"/>
    <row r="760" s="1" customFormat="1" ht="13.8" x14ac:dyDescent="0.25"/>
    <row r="761" s="1" customFormat="1" ht="13.8" x14ac:dyDescent="0.25"/>
    <row r="762" s="1" customFormat="1" ht="13.8" x14ac:dyDescent="0.25"/>
    <row r="763" s="1" customFormat="1" ht="13.8" x14ac:dyDescent="0.25"/>
    <row r="764" s="1" customFormat="1" ht="13.8" x14ac:dyDescent="0.25"/>
    <row r="765" s="1" customFormat="1" ht="13.8" x14ac:dyDescent="0.25"/>
    <row r="766" s="1" customFormat="1" ht="13.8" x14ac:dyDescent="0.25"/>
    <row r="767" s="1" customFormat="1" ht="13.8" x14ac:dyDescent="0.25"/>
    <row r="768" s="1" customFormat="1" ht="13.8" x14ac:dyDescent="0.25"/>
    <row r="769" s="1" customFormat="1" ht="13.8" x14ac:dyDescent="0.25"/>
    <row r="770" s="1" customFormat="1" ht="13.8" x14ac:dyDescent="0.25"/>
    <row r="771" s="1" customFormat="1" ht="13.8" x14ac:dyDescent="0.25"/>
    <row r="772" s="1" customFormat="1" ht="13.8" x14ac:dyDescent="0.25"/>
    <row r="773" s="1" customFormat="1" ht="13.8" x14ac:dyDescent="0.25"/>
    <row r="774" s="1" customFormat="1" ht="13.8" x14ac:dyDescent="0.25"/>
    <row r="775" s="1" customFormat="1" ht="13.8" x14ac:dyDescent="0.25"/>
    <row r="776" s="1" customFormat="1" ht="13.8" x14ac:dyDescent="0.25"/>
    <row r="777" s="1" customFormat="1" ht="13.8" x14ac:dyDescent="0.25"/>
    <row r="778" s="1" customFormat="1" ht="13.8" x14ac:dyDescent="0.25"/>
    <row r="779" s="1" customFormat="1" ht="13.8" x14ac:dyDescent="0.25"/>
    <row r="780" s="1" customFormat="1" ht="13.8" x14ac:dyDescent="0.25"/>
    <row r="781" s="1" customFormat="1" ht="13.8" x14ac:dyDescent="0.25"/>
    <row r="782" s="1" customFormat="1" ht="13.8" x14ac:dyDescent="0.25"/>
    <row r="783" s="1" customFormat="1" ht="13.8" x14ac:dyDescent="0.25"/>
    <row r="784" s="1" customFormat="1" ht="13.8" x14ac:dyDescent="0.25"/>
    <row r="785" s="1" customFormat="1" ht="13.8" x14ac:dyDescent="0.25"/>
    <row r="786" s="1" customFormat="1" ht="13.8" x14ac:dyDescent="0.25"/>
    <row r="787" s="1" customFormat="1" ht="13.8" x14ac:dyDescent="0.25"/>
    <row r="788" s="1" customFormat="1" ht="13.8" x14ac:dyDescent="0.25"/>
    <row r="789" s="1" customFormat="1" ht="13.8" x14ac:dyDescent="0.25"/>
    <row r="790" s="1" customFormat="1" ht="13.8" x14ac:dyDescent="0.25"/>
    <row r="791" s="1" customFormat="1" ht="13.8" x14ac:dyDescent="0.25"/>
    <row r="792" s="1" customFormat="1" ht="13.8" x14ac:dyDescent="0.25"/>
    <row r="793" s="1" customFormat="1" ht="13.8" x14ac:dyDescent="0.25"/>
    <row r="794" s="1" customFormat="1" ht="13.8" x14ac:dyDescent="0.25"/>
    <row r="795" s="1" customFormat="1" ht="13.8" x14ac:dyDescent="0.25"/>
    <row r="796" s="1" customFormat="1" ht="13.8" x14ac:dyDescent="0.25"/>
    <row r="797" s="1" customFormat="1" ht="13.8" x14ac:dyDescent="0.25"/>
    <row r="798" s="1" customFormat="1" ht="13.8" x14ac:dyDescent="0.25"/>
    <row r="799" s="1" customFormat="1" ht="13.8" x14ac:dyDescent="0.25"/>
    <row r="800" s="1" customFormat="1" ht="13.8" x14ac:dyDescent="0.25"/>
    <row r="801" s="1" customFormat="1" ht="13.8" x14ac:dyDescent="0.25"/>
    <row r="802" s="1" customFormat="1" ht="13.8" x14ac:dyDescent="0.25"/>
    <row r="803" s="1" customFormat="1" ht="13.8" x14ac:dyDescent="0.25"/>
    <row r="804" s="1" customFormat="1" ht="13.8" x14ac:dyDescent="0.25"/>
    <row r="805" s="1" customFormat="1" ht="13.8" x14ac:dyDescent="0.25"/>
    <row r="806" s="1" customFormat="1" ht="13.8" x14ac:dyDescent="0.25"/>
    <row r="807" s="1" customFormat="1" ht="13.8" x14ac:dyDescent="0.25"/>
    <row r="808" s="1" customFormat="1" ht="13.8" x14ac:dyDescent="0.25"/>
    <row r="809" s="1" customFormat="1" ht="13.8" x14ac:dyDescent="0.25"/>
    <row r="810" s="1" customFormat="1" ht="13.8" x14ac:dyDescent="0.25"/>
    <row r="811" s="1" customFormat="1" ht="13.8" x14ac:dyDescent="0.25"/>
    <row r="812" s="1" customFormat="1" ht="13.8" x14ac:dyDescent="0.25"/>
    <row r="813" s="1" customFormat="1" ht="13.8" x14ac:dyDescent="0.25"/>
    <row r="814" s="1" customFormat="1" ht="13.8" x14ac:dyDescent="0.25"/>
    <row r="815" s="1" customFormat="1" ht="13.8" x14ac:dyDescent="0.25"/>
    <row r="816" s="1" customFormat="1" ht="13.8" x14ac:dyDescent="0.25"/>
    <row r="817" s="1" customFormat="1" ht="13.8" x14ac:dyDescent="0.25"/>
    <row r="818" s="1" customFormat="1" ht="13.8" x14ac:dyDescent="0.25"/>
    <row r="819" s="1" customFormat="1" ht="13.8" x14ac:dyDescent="0.25"/>
    <row r="820" s="1" customFormat="1" ht="13.8" x14ac:dyDescent="0.25"/>
    <row r="821" s="1" customFormat="1" ht="13.8" x14ac:dyDescent="0.25"/>
    <row r="822" s="1" customFormat="1" ht="13.8" x14ac:dyDescent="0.25"/>
    <row r="823" s="1" customFormat="1" ht="13.8" x14ac:dyDescent="0.25"/>
    <row r="824" s="1" customFormat="1" ht="13.8" x14ac:dyDescent="0.25"/>
    <row r="825" s="1" customFormat="1" ht="13.8" x14ac:dyDescent="0.25"/>
    <row r="826" s="1" customFormat="1" ht="13.8" x14ac:dyDescent="0.25"/>
    <row r="827" s="1" customFormat="1" ht="13.8" x14ac:dyDescent="0.25"/>
    <row r="828" s="1" customFormat="1" ht="13.8" x14ac:dyDescent="0.25"/>
    <row r="829" s="1" customFormat="1" ht="13.8" x14ac:dyDescent="0.25"/>
    <row r="830" s="1" customFormat="1" ht="13.8" x14ac:dyDescent="0.25"/>
    <row r="831" s="1" customFormat="1" ht="13.8" x14ac:dyDescent="0.25"/>
    <row r="832" s="1" customFormat="1" ht="13.8" x14ac:dyDescent="0.25"/>
    <row r="833" s="1" customFormat="1" ht="13.8" x14ac:dyDescent="0.25"/>
    <row r="834" s="1" customFormat="1" ht="13.8" x14ac:dyDescent="0.25"/>
    <row r="835" s="1" customFormat="1" ht="13.8" x14ac:dyDescent="0.25"/>
    <row r="836" s="1" customFormat="1" ht="13.8" x14ac:dyDescent="0.25"/>
    <row r="837" s="1" customFormat="1" ht="13.8" x14ac:dyDescent="0.25"/>
    <row r="838" s="1" customFormat="1" ht="13.8" x14ac:dyDescent="0.25"/>
    <row r="839" s="1" customFormat="1" ht="13.8" x14ac:dyDescent="0.25"/>
    <row r="840" s="1" customFormat="1" ht="13.8" x14ac:dyDescent="0.25"/>
    <row r="841" s="1" customFormat="1" ht="13.8" x14ac:dyDescent="0.25"/>
    <row r="842" s="1" customFormat="1" ht="13.8" x14ac:dyDescent="0.25"/>
    <row r="843" s="1" customFormat="1" ht="13.8" x14ac:dyDescent="0.25"/>
    <row r="844" s="1" customFormat="1" ht="13.8" x14ac:dyDescent="0.25"/>
    <row r="845" s="1" customFormat="1" ht="13.8" x14ac:dyDescent="0.25"/>
    <row r="846" s="1" customFormat="1" ht="13.8" x14ac:dyDescent="0.25"/>
    <row r="847" s="1" customFormat="1" ht="13.8" x14ac:dyDescent="0.25"/>
    <row r="848" s="1" customFormat="1" ht="13.8" x14ac:dyDescent="0.25"/>
    <row r="849" s="1" customFormat="1" ht="13.8" x14ac:dyDescent="0.25"/>
    <row r="850" s="1" customFormat="1" ht="13.8" x14ac:dyDescent="0.25"/>
    <row r="851" s="1" customFormat="1" ht="13.8" x14ac:dyDescent="0.25"/>
    <row r="852" s="1" customFormat="1" ht="13.8" x14ac:dyDescent="0.25"/>
    <row r="853" s="1" customFormat="1" ht="13.8" x14ac:dyDescent="0.25"/>
    <row r="854" s="1" customFormat="1" ht="13.8" x14ac:dyDescent="0.25"/>
    <row r="855" s="1" customFormat="1" ht="13.8" x14ac:dyDescent="0.25"/>
    <row r="856" s="1" customFormat="1" ht="13.8" x14ac:dyDescent="0.25"/>
    <row r="857" s="1" customFormat="1" ht="13.8" x14ac:dyDescent="0.25"/>
    <row r="858" s="1" customFormat="1" ht="13.8" x14ac:dyDescent="0.25"/>
    <row r="859" s="1" customFormat="1" ht="13.8" x14ac:dyDescent="0.25"/>
    <row r="860" s="1" customFormat="1" ht="13.8" x14ac:dyDescent="0.25"/>
    <row r="861" s="1" customFormat="1" ht="13.8" x14ac:dyDescent="0.25"/>
    <row r="862" s="1" customFormat="1" ht="13.8" x14ac:dyDescent="0.25"/>
    <row r="863" s="1" customFormat="1" ht="13.8" x14ac:dyDescent="0.25"/>
    <row r="864" s="1" customFormat="1" ht="13.8" x14ac:dyDescent="0.25"/>
    <row r="865" s="1" customFormat="1" ht="13.8" x14ac:dyDescent="0.25"/>
    <row r="866" s="1" customFormat="1" ht="13.8" x14ac:dyDescent="0.25"/>
    <row r="867" s="1" customFormat="1" ht="13.8" x14ac:dyDescent="0.25"/>
    <row r="868" s="1" customFormat="1" ht="13.8" x14ac:dyDescent="0.25"/>
    <row r="869" s="1" customFormat="1" ht="13.8" x14ac:dyDescent="0.25"/>
    <row r="870" s="1" customFormat="1" ht="13.8" x14ac:dyDescent="0.25"/>
    <row r="871" s="1" customFormat="1" ht="13.8" x14ac:dyDescent="0.25"/>
    <row r="872" s="1" customFormat="1" ht="13.8" x14ac:dyDescent="0.25"/>
    <row r="873" s="1" customFormat="1" ht="13.8" x14ac:dyDescent="0.25"/>
    <row r="874" s="1" customFormat="1" ht="13.8" x14ac:dyDescent="0.25"/>
    <row r="875" s="1" customFormat="1" ht="13.8" x14ac:dyDescent="0.25"/>
    <row r="876" s="1" customFormat="1" ht="13.8" x14ac:dyDescent="0.25"/>
    <row r="877" s="1" customFormat="1" ht="13.8" x14ac:dyDescent="0.25"/>
    <row r="878" s="1" customFormat="1" ht="13.8" x14ac:dyDescent="0.25"/>
    <row r="879" s="1" customFormat="1" ht="13.8" x14ac:dyDescent="0.25"/>
    <row r="880" s="1" customFormat="1" ht="13.8" x14ac:dyDescent="0.25"/>
    <row r="881" s="1" customFormat="1" ht="13.8" x14ac:dyDescent="0.25"/>
    <row r="882" s="1" customFormat="1" ht="13.8" x14ac:dyDescent="0.25"/>
    <row r="883" s="1" customFormat="1" ht="13.8" x14ac:dyDescent="0.25"/>
    <row r="884" s="1" customFormat="1" ht="13.8" x14ac:dyDescent="0.25"/>
    <row r="885" s="1" customFormat="1" ht="13.8" x14ac:dyDescent="0.25"/>
    <row r="886" s="1" customFormat="1" ht="13.8" x14ac:dyDescent="0.25"/>
    <row r="887" s="1" customFormat="1" ht="13.8" x14ac:dyDescent="0.25"/>
    <row r="888" s="1" customFormat="1" ht="13.8" x14ac:dyDescent="0.25"/>
    <row r="889" s="1" customFormat="1" ht="13.8" x14ac:dyDescent="0.25"/>
    <row r="890" s="1" customFormat="1" ht="13.8" x14ac:dyDescent="0.25"/>
    <row r="891" s="1" customFormat="1" ht="13.8" x14ac:dyDescent="0.25"/>
    <row r="892" s="1" customFormat="1" ht="13.8" x14ac:dyDescent="0.25"/>
    <row r="893" s="1" customFormat="1" ht="13.8" x14ac:dyDescent="0.25"/>
    <row r="894" s="1" customFormat="1" ht="13.8" x14ac:dyDescent="0.25"/>
    <row r="895" s="1" customFormat="1" ht="13.8" x14ac:dyDescent="0.25"/>
    <row r="896" s="1" customFormat="1" ht="13.8" x14ac:dyDescent="0.25"/>
    <row r="897" s="1" customFormat="1" ht="13.8" x14ac:dyDescent="0.25"/>
    <row r="898" s="1" customFormat="1" ht="13.8" x14ac:dyDescent="0.25"/>
    <row r="899" s="1" customFormat="1" ht="13.8" x14ac:dyDescent="0.25"/>
    <row r="900" s="1" customFormat="1" ht="13.8" x14ac:dyDescent="0.25"/>
    <row r="901" s="1" customFormat="1" ht="13.8" x14ac:dyDescent="0.25"/>
    <row r="902" s="1" customFormat="1" ht="13.8" x14ac:dyDescent="0.25"/>
    <row r="903" s="1" customFormat="1" ht="13.8" x14ac:dyDescent="0.25"/>
    <row r="904" s="1" customFormat="1" ht="13.8" x14ac:dyDescent="0.25"/>
    <row r="905" s="1" customFormat="1" ht="13.8" x14ac:dyDescent="0.25"/>
    <row r="906" s="1" customFormat="1" ht="13.8" x14ac:dyDescent="0.25"/>
    <row r="907" s="1" customFormat="1" ht="13.8" x14ac:dyDescent="0.25"/>
    <row r="908" s="1" customFormat="1" ht="13.8" x14ac:dyDescent="0.25"/>
    <row r="909" s="1" customFormat="1" ht="13.8" x14ac:dyDescent="0.25"/>
    <row r="910" s="1" customFormat="1" ht="13.8" x14ac:dyDescent="0.25"/>
    <row r="911" s="1" customFormat="1" ht="13.8" x14ac:dyDescent="0.25"/>
    <row r="912" s="1" customFormat="1" ht="13.8" x14ac:dyDescent="0.25"/>
    <row r="913" s="1" customFormat="1" ht="13.8" x14ac:dyDescent="0.25"/>
    <row r="914" s="1" customFormat="1" ht="13.8" x14ac:dyDescent="0.25"/>
    <row r="915" s="1" customFormat="1" ht="13.8" x14ac:dyDescent="0.25"/>
  </sheetData>
  <mergeCells count="20">
    <mergeCell ref="A1:CA1"/>
    <mergeCell ref="AO6:AV6"/>
    <mergeCell ref="BP6:BW6"/>
    <mergeCell ref="BG72:BN72"/>
    <mergeCell ref="D6:L6"/>
    <mergeCell ref="A2:CA2"/>
    <mergeCell ref="N72:U72"/>
    <mergeCell ref="AF6:AM6"/>
    <mergeCell ref="A4:CA4"/>
    <mergeCell ref="W72:AD72"/>
    <mergeCell ref="AX72:BE72"/>
    <mergeCell ref="BG6:BN6"/>
    <mergeCell ref="N6:U6"/>
    <mergeCell ref="E72:L72"/>
    <mergeCell ref="AF72:AM72"/>
    <mergeCell ref="W6:AD6"/>
    <mergeCell ref="BP72:BW72"/>
    <mergeCell ref="AO72:AV72"/>
    <mergeCell ref="AX6:BE6"/>
    <mergeCell ref="A3:CA3"/>
  </mergeCells>
  <conditionalFormatting sqref="E70:BF71">
    <cfRule type="cellIs" dxfId="50" priority="2" operator="equal">
      <formula>95</formula>
    </cfRule>
  </conditionalFormatting>
  <conditionalFormatting sqref="E9:BX9 E10:AM10 AO10:BX10">
    <cfRule type="cellIs" dxfId="49" priority="20" operator="equal">
      <formula>"AB"</formula>
    </cfRule>
  </conditionalFormatting>
  <conditionalFormatting sqref="E9:BX9 BY9:CB69 AM10 AO10:AS10 BE10:BJ30 BL10:BT35 BK10:BK45 E10:AL69 AT10:BD69 BU10:BX69 AM11:AS69 BE31:BI32 BE33:BJ69 BL36:BP45 BR36:BT45 BK46:BT69">
    <cfRule type="cellIs" dxfId="48" priority="22" operator="equal">
      <formula>"f"</formula>
    </cfRule>
  </conditionalFormatting>
  <conditionalFormatting sqref="E11:BX71">
    <cfRule type="cellIs" dxfId="47" priority="1" operator="equal">
      <formula>"AB"</formula>
    </cfRule>
  </conditionalFormatting>
  <conditionalFormatting sqref="E70:CB71">
    <cfRule type="cellIs" dxfId="46" priority="3" operator="equal">
      <formula>"f"</formula>
    </cfRule>
  </conditionalFormatting>
  <conditionalFormatting sqref="H70:M71 Q70:V71 Y70:AE71 AI70:AN71 AR70:AW71 BJ70:BO71 BS70:BX71">
    <cfRule type="containsText" dxfId="45" priority="15" operator="containsText" text="N">
      <formula>NOT(ISERROR(SEARCH("N",H70)))</formula>
    </cfRule>
    <cfRule type="containsText" dxfId="44" priority="14" operator="containsText" text="F">
      <formula>NOT(ISERROR(SEARCH("F",H70)))</formula>
    </cfRule>
  </conditionalFormatting>
  <conditionalFormatting sqref="AF10">
    <cfRule type="expression" dxfId="43" priority="25">
      <formula>NOT(ISERROR(SEARCH("A",BF72)))</formula>
    </cfRule>
  </conditionalFormatting>
  <conditionalFormatting sqref="AF11:AF14">
    <cfRule type="expression" dxfId="42" priority="26">
      <formula>NOT(ISERROR(SEARCH("A",#REF!)))</formula>
    </cfRule>
  </conditionalFormatting>
  <conditionalFormatting sqref="AF15:AF18">
    <cfRule type="expression" dxfId="41" priority="42">
      <formula>NOT(ISERROR(SEARCH("A",BF82)))</formula>
    </cfRule>
  </conditionalFormatting>
  <conditionalFormatting sqref="AF19:AF22">
    <cfRule type="expression" dxfId="40" priority="31">
      <formula>NOT(ISERROR(SEARCH("A",#REF!)))</formula>
    </cfRule>
  </conditionalFormatting>
  <conditionalFormatting sqref="AF23:AF30 AF58">
    <cfRule type="expression" dxfId="39" priority="38">
      <formula>NOT(ISERROR(SEARCH("A",BF86)))</formula>
    </cfRule>
  </conditionalFormatting>
  <conditionalFormatting sqref="AF31:AF57">
    <cfRule type="expression" dxfId="38" priority="40">
      <formula>NOT(ISERROR(SEARCH("A",BF95)))</formula>
    </cfRule>
  </conditionalFormatting>
  <conditionalFormatting sqref="AF59">
    <cfRule type="expression" dxfId="37" priority="36">
      <formula>NOT(ISERROR(SEARCH("A",BF121)))</formula>
    </cfRule>
  </conditionalFormatting>
  <conditionalFormatting sqref="AF60">
    <cfRule type="expression" dxfId="36" priority="34">
      <formula>NOT(ISERROR(SEARCH("A",BF121)))</formula>
    </cfRule>
  </conditionalFormatting>
  <conditionalFormatting sqref="AF61:AF63">
    <cfRule type="expression" dxfId="35" priority="50">
      <formula>NOT(ISERROR(SEARCH("A",BF120)))</formula>
    </cfRule>
  </conditionalFormatting>
  <conditionalFormatting sqref="AF64">
    <cfRule type="expression" dxfId="34" priority="48">
      <formula>NOT(ISERROR(SEARCH("A",BF122)))</formula>
    </cfRule>
  </conditionalFormatting>
  <conditionalFormatting sqref="AF65">
    <cfRule type="expression" dxfId="33" priority="46">
      <formula>NOT(ISERROR(SEARCH("A",BF122)))</formula>
    </cfRule>
  </conditionalFormatting>
  <conditionalFormatting sqref="AF66:AF68">
    <cfRule type="expression" dxfId="32" priority="52">
      <formula>NOT(ISERROR(SEARCH("A",BF122)))</formula>
    </cfRule>
  </conditionalFormatting>
  <conditionalFormatting sqref="AF69">
    <cfRule type="expression" dxfId="31" priority="44">
      <formula>NOT(ISERROR(SEARCH("A",BF124)))</formula>
    </cfRule>
  </conditionalFormatting>
  <conditionalFormatting sqref="AF70:AF71">
    <cfRule type="expression" dxfId="30" priority="16">
      <formula>NOT(ISERROR(SEARCH("A",BF121)))</formula>
    </cfRule>
  </conditionalFormatting>
  <conditionalFormatting sqref="AI9:AN9 BJ9:BO9 H9:M69 Q9:V69 Y9:AE69 AR9:AW69 BA9:BF69 BS9:BX69 AI10:AM10 AO10 BJ10:BJ30 BK10:BO69 AI11:AN69 BJ33:BJ69">
    <cfRule type="containsText" dxfId="29" priority="29" operator="containsText" text="N">
      <formula>NOT(ISERROR(SEARCH("N",H9)))</formula>
    </cfRule>
    <cfRule type="containsText" dxfId="28" priority="27" operator="containsText" text="N">
      <formula>NOT(ISERROR(SEARCH("N",H9)))</formula>
    </cfRule>
    <cfRule type="containsText" dxfId="27" priority="28" operator="containsText" text="F">
      <formula>NOT(ISERROR(SEARCH("F",H9)))</formula>
    </cfRule>
  </conditionalFormatting>
  <conditionalFormatting sqref="AO11:AO14">
    <cfRule type="expression" dxfId="26" priority="24">
      <formula>NOT(ISERROR(SEARCH("A",#REF!)))</formula>
    </cfRule>
  </conditionalFormatting>
  <conditionalFormatting sqref="AO15:AO18">
    <cfRule type="expression" dxfId="25" priority="43">
      <formula>NOT(ISERROR(SEARCH("A",BP82)))</formula>
    </cfRule>
  </conditionalFormatting>
  <conditionalFormatting sqref="AO19:AO22">
    <cfRule type="expression" dxfId="24" priority="33">
      <formula>NOT(ISERROR(SEARCH("A",#REF!)))</formula>
    </cfRule>
  </conditionalFormatting>
  <conditionalFormatting sqref="AO23:AO30 AO58">
    <cfRule type="expression" dxfId="23" priority="39">
      <formula>NOT(ISERROR(SEARCH("A",BP86)))</formula>
    </cfRule>
  </conditionalFormatting>
  <conditionalFormatting sqref="AO31:AO57">
    <cfRule type="expression" dxfId="22" priority="41">
      <formula>NOT(ISERROR(SEARCH("A",BP95)))</formula>
    </cfRule>
  </conditionalFormatting>
  <conditionalFormatting sqref="AO59">
    <cfRule type="expression" dxfId="21" priority="37">
      <formula>NOT(ISERROR(SEARCH("A",BP121)))</formula>
    </cfRule>
  </conditionalFormatting>
  <conditionalFormatting sqref="AO60">
    <cfRule type="expression" dxfId="20" priority="35">
      <formula>NOT(ISERROR(SEARCH("A",BP121)))</formula>
    </cfRule>
  </conditionalFormatting>
  <conditionalFormatting sqref="AO61:AO63">
    <cfRule type="expression" dxfId="19" priority="51">
      <formula>NOT(ISERROR(SEARCH("A",BP120)))</formula>
    </cfRule>
  </conditionalFormatting>
  <conditionalFormatting sqref="AO64">
    <cfRule type="expression" dxfId="18" priority="49">
      <formula>NOT(ISERROR(SEARCH("A",BP122)))</formula>
    </cfRule>
  </conditionalFormatting>
  <conditionalFormatting sqref="AO65">
    <cfRule type="expression" dxfId="17" priority="47">
      <formula>NOT(ISERROR(SEARCH("A",BP122)))</formula>
    </cfRule>
  </conditionalFormatting>
  <conditionalFormatting sqref="AO66:AO68">
    <cfRule type="expression" dxfId="16" priority="53">
      <formula>NOT(ISERROR(SEARCH("A",BP122)))</formula>
    </cfRule>
  </conditionalFormatting>
  <conditionalFormatting sqref="AO69">
    <cfRule type="expression" dxfId="15" priority="45">
      <formula>NOT(ISERROR(SEARCH("A",BP124)))</formula>
    </cfRule>
  </conditionalFormatting>
  <conditionalFormatting sqref="AO70:AO71">
    <cfRule type="expression" dxfId="14" priority="17">
      <formula>NOT(ISERROR(SEARCH("A",BP121)))</formula>
    </cfRule>
  </conditionalFormatting>
  <conditionalFormatting sqref="BA70:BF71">
    <cfRule type="containsText" dxfId="13" priority="6" operator="containsText" text="N">
      <formula>NOT(ISERROR(SEARCH("N",BA70)))</formula>
    </cfRule>
    <cfRule type="containsText" dxfId="12" priority="5" operator="containsText" text="F">
      <formula>NOT(ISERROR(SEARCH("F",BA70)))</formula>
    </cfRule>
    <cfRule type="containsText" dxfId="11" priority="4" operator="containsText" text="N">
      <formula>NOT(ISERROR(SEARCH("N",BA70)))</formula>
    </cfRule>
  </conditionalFormatting>
  <conditionalFormatting sqref="BG70:CB71">
    <cfRule type="cellIs" dxfId="10" priority="10" operator="equal">
      <formula>95</formula>
    </cfRule>
  </conditionalFormatting>
  <conditionalFormatting sqref="BJ70:BO71 BS70:BX71 H70:M71 Q70:V71 Y70:AE71 AI70:AN71 AR70:AW71">
    <cfRule type="containsText" dxfId="9" priority="13" operator="containsText" text="N">
      <formula>NOT(ISERROR(SEARCH("N",H70)))</formula>
    </cfRule>
  </conditionalFormatting>
  <conditionalFormatting sqref="BQ10:BR35 BR36:BR45 BQ46:BR69">
    <cfRule type="cellIs" dxfId="8" priority="23" operator="lessThan">
      <formula>20</formula>
    </cfRule>
  </conditionalFormatting>
  <conditionalFormatting sqref="BQ70:BR71">
    <cfRule type="cellIs" dxfId="7" priority="12" operator="lessThan">
      <formula>20</formula>
    </cfRule>
  </conditionalFormatting>
  <conditionalFormatting sqref="BY9:CB69 E9:BX9 AM10 AO10:AS10 BE10:BJ30 BL10:BT35 BK10:BK45 E10:AL69 AT10:BD69 BU10:BX69 AM11:AS69 BE31:BI32 BE33:BJ69 BL36:BP45 BR36:BT45 BK46:BT69">
    <cfRule type="cellIs" dxfId="6" priority="21" operator="equal">
      <formula>95</formula>
    </cfRule>
  </conditionalFormatting>
  <conditionalFormatting sqref="CA9:CA71">
    <cfRule type="cellIs" dxfId="5" priority="7" operator="greaterThan">
      <formula>9</formula>
    </cfRule>
    <cfRule type="cellIs" dxfId="4" priority="8" operator="greaterThan">
      <formula>9.5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65"/>
  <sheetViews>
    <sheetView workbookViewId="0">
      <selection activeCell="B3" sqref="B3:G65"/>
    </sheetView>
  </sheetViews>
  <sheetFormatPr defaultColWidth="9" defaultRowHeight="13.8" x14ac:dyDescent="0.25"/>
  <cols>
    <col min="1" max="1" width="3.5" style="76" customWidth="1"/>
    <col min="2" max="2" width="13.3984375" style="78" customWidth="1"/>
    <col min="3" max="3" width="32.19921875" style="78" bestFit="1" customWidth="1"/>
    <col min="4" max="4" width="6.3984375" style="76" customWidth="1"/>
    <col min="5" max="5" width="6.19921875" style="76" customWidth="1"/>
    <col min="6" max="6" width="4.3984375" style="76" bestFit="1" customWidth="1"/>
    <col min="7" max="7" width="4.59765625" style="78" customWidth="1"/>
    <col min="8" max="8" width="9" style="78" customWidth="1"/>
    <col min="9" max="16384" width="9" style="78"/>
  </cols>
  <sheetData>
    <row r="2" spans="1:7" x14ac:dyDescent="0.25">
      <c r="A2" s="77" t="s">
        <v>345</v>
      </c>
      <c r="B2" s="77" t="s">
        <v>13</v>
      </c>
      <c r="C2" s="77" t="s">
        <v>346</v>
      </c>
      <c r="D2" s="77" t="s">
        <v>347</v>
      </c>
      <c r="E2" s="77" t="s">
        <v>348</v>
      </c>
      <c r="F2" s="77" t="s">
        <v>349</v>
      </c>
      <c r="G2" s="77" t="s">
        <v>350</v>
      </c>
    </row>
    <row r="3" spans="1:7" ht="15.9" customHeight="1" x14ac:dyDescent="0.3">
      <c r="A3" s="77">
        <v>1</v>
      </c>
      <c r="B3" s="79"/>
      <c r="C3" s="80"/>
      <c r="D3" s="81"/>
      <c r="E3" s="81"/>
      <c r="F3" s="82"/>
      <c r="G3" s="83"/>
    </row>
    <row r="4" spans="1:7" ht="15.9" customHeight="1" x14ac:dyDescent="0.3">
      <c r="A4" s="77">
        <v>2</v>
      </c>
      <c r="B4" s="79"/>
      <c r="C4" s="80"/>
      <c r="D4" s="81"/>
      <c r="E4" s="81"/>
      <c r="F4" s="82"/>
      <c r="G4" s="83"/>
    </row>
    <row r="5" spans="1:7" ht="15.9" customHeight="1" x14ac:dyDescent="0.3">
      <c r="A5" s="77">
        <v>3</v>
      </c>
      <c r="B5" s="79"/>
      <c r="C5" s="80"/>
      <c r="D5" s="81"/>
      <c r="E5" s="81"/>
      <c r="F5" s="82"/>
      <c r="G5" s="83"/>
    </row>
    <row r="6" spans="1:7" ht="15.9" customHeight="1" x14ac:dyDescent="0.3">
      <c r="A6" s="77">
        <v>4</v>
      </c>
      <c r="B6" s="79"/>
      <c r="C6" s="80"/>
      <c r="D6" s="81"/>
      <c r="E6" s="81"/>
      <c r="F6" s="82"/>
      <c r="G6" s="83"/>
    </row>
    <row r="7" spans="1:7" ht="15.9" customHeight="1" x14ac:dyDescent="0.3">
      <c r="A7" s="77">
        <v>5</v>
      </c>
      <c r="B7" s="79"/>
      <c r="C7" s="80"/>
      <c r="D7" s="81"/>
      <c r="E7" s="81"/>
      <c r="F7" s="82"/>
      <c r="G7" s="83"/>
    </row>
    <row r="8" spans="1:7" ht="15.9" customHeight="1" x14ac:dyDescent="0.3">
      <c r="A8" s="77">
        <v>6</v>
      </c>
      <c r="B8" s="79"/>
      <c r="C8" s="80"/>
      <c r="D8" s="81"/>
      <c r="E8" s="81"/>
      <c r="F8" s="82"/>
      <c r="G8" s="83"/>
    </row>
    <row r="9" spans="1:7" ht="15.9" customHeight="1" x14ac:dyDescent="0.3">
      <c r="A9" s="77">
        <v>7</v>
      </c>
      <c r="B9" s="79"/>
      <c r="C9" s="80"/>
      <c r="D9" s="81"/>
      <c r="E9" s="81"/>
      <c r="F9" s="82"/>
      <c r="G9" s="83"/>
    </row>
    <row r="10" spans="1:7" ht="15.9" customHeight="1" x14ac:dyDescent="0.3">
      <c r="A10" s="77">
        <v>8</v>
      </c>
      <c r="B10" s="79"/>
      <c r="C10" s="80"/>
      <c r="D10" s="81"/>
      <c r="E10" s="81"/>
      <c r="F10" s="82"/>
      <c r="G10" s="83"/>
    </row>
    <row r="11" spans="1:7" ht="15.9" customHeight="1" x14ac:dyDescent="0.3">
      <c r="A11" s="77">
        <v>9</v>
      </c>
      <c r="B11" s="79"/>
      <c r="C11" s="80"/>
      <c r="D11" s="81"/>
      <c r="E11" s="81"/>
      <c r="F11" s="82"/>
      <c r="G11" s="83"/>
    </row>
    <row r="12" spans="1:7" ht="15.9" customHeight="1" x14ac:dyDescent="0.3">
      <c r="A12" s="77">
        <v>10</v>
      </c>
      <c r="B12" s="79"/>
      <c r="C12" s="80"/>
      <c r="D12" s="81"/>
      <c r="E12" s="81"/>
      <c r="F12" s="82"/>
      <c r="G12" s="83"/>
    </row>
    <row r="13" spans="1:7" ht="15.9" customHeight="1" x14ac:dyDescent="0.3">
      <c r="A13" s="77">
        <v>11</v>
      </c>
      <c r="B13" s="79"/>
      <c r="C13" s="80"/>
      <c r="D13" s="81"/>
      <c r="E13" s="81"/>
      <c r="F13" s="82"/>
      <c r="G13" s="83"/>
    </row>
    <row r="14" spans="1:7" ht="15.9" customHeight="1" x14ac:dyDescent="0.3">
      <c r="A14" s="77">
        <v>12</v>
      </c>
      <c r="B14" s="79"/>
      <c r="C14" s="80"/>
      <c r="D14" s="81"/>
      <c r="E14" s="81"/>
      <c r="F14" s="82"/>
      <c r="G14" s="83"/>
    </row>
    <row r="15" spans="1:7" ht="15.9" customHeight="1" x14ac:dyDescent="0.3">
      <c r="A15" s="77">
        <v>13</v>
      </c>
      <c r="B15" s="79"/>
      <c r="C15" s="80"/>
      <c r="D15" s="81"/>
      <c r="E15" s="81"/>
      <c r="F15" s="82"/>
      <c r="G15" s="83"/>
    </row>
    <row r="16" spans="1:7" ht="15.9" customHeight="1" x14ac:dyDescent="0.3">
      <c r="A16" s="77">
        <v>14</v>
      </c>
      <c r="B16" s="79"/>
      <c r="C16" s="80"/>
      <c r="D16" s="81"/>
      <c r="E16" s="81"/>
      <c r="F16" s="82"/>
      <c r="G16" s="83"/>
    </row>
    <row r="17" spans="1:7" ht="15.9" customHeight="1" x14ac:dyDescent="0.3">
      <c r="A17" s="77">
        <v>15</v>
      </c>
      <c r="B17" s="79"/>
      <c r="C17" s="80"/>
      <c r="D17" s="81"/>
      <c r="E17" s="81"/>
      <c r="F17" s="82"/>
      <c r="G17" s="83"/>
    </row>
    <row r="18" spans="1:7" ht="15.9" customHeight="1" x14ac:dyDescent="0.3">
      <c r="A18" s="77">
        <v>16</v>
      </c>
      <c r="B18" s="79"/>
      <c r="C18" s="80"/>
      <c r="D18" s="81"/>
      <c r="E18" s="81"/>
      <c r="F18" s="82"/>
      <c r="G18" s="83"/>
    </row>
    <row r="19" spans="1:7" ht="15.9" customHeight="1" x14ac:dyDescent="0.3">
      <c r="A19" s="77">
        <v>17</v>
      </c>
      <c r="B19" s="79"/>
      <c r="C19" s="80"/>
      <c r="D19" s="81"/>
      <c r="E19" s="81"/>
      <c r="F19" s="82"/>
      <c r="G19" s="83"/>
    </row>
    <row r="20" spans="1:7" ht="15.9" customHeight="1" x14ac:dyDescent="0.3">
      <c r="A20" s="77">
        <v>18</v>
      </c>
      <c r="B20" s="79"/>
      <c r="C20" s="80"/>
      <c r="D20" s="81"/>
      <c r="E20" s="81"/>
      <c r="F20" s="82"/>
      <c r="G20" s="83"/>
    </row>
    <row r="21" spans="1:7" ht="15.9" customHeight="1" x14ac:dyDescent="0.3">
      <c r="A21" s="77">
        <v>19</v>
      </c>
      <c r="B21" s="79"/>
      <c r="C21" s="80"/>
      <c r="D21" s="81"/>
      <c r="E21" s="81"/>
      <c r="F21" s="82"/>
      <c r="G21" s="83"/>
    </row>
    <row r="22" spans="1:7" ht="15.9" customHeight="1" x14ac:dyDescent="0.3">
      <c r="A22" s="77">
        <v>20</v>
      </c>
      <c r="B22" s="79"/>
      <c r="C22" s="80"/>
      <c r="D22" s="81"/>
      <c r="E22" s="81"/>
      <c r="F22" s="82"/>
      <c r="G22" s="83"/>
    </row>
    <row r="23" spans="1:7" ht="15.9" customHeight="1" x14ac:dyDescent="0.3">
      <c r="A23" s="77">
        <v>21</v>
      </c>
      <c r="B23" s="79"/>
      <c r="C23" s="80"/>
      <c r="D23" s="81"/>
      <c r="E23" s="81"/>
      <c r="F23" s="82"/>
      <c r="G23" s="83"/>
    </row>
    <row r="24" spans="1:7" ht="15.9" customHeight="1" x14ac:dyDescent="0.3">
      <c r="A24" s="77">
        <v>22</v>
      </c>
      <c r="B24" s="79"/>
      <c r="C24" s="80"/>
      <c r="D24" s="81"/>
      <c r="E24" s="81"/>
      <c r="F24" s="82"/>
      <c r="G24" s="83"/>
    </row>
    <row r="25" spans="1:7" ht="15.9" customHeight="1" x14ac:dyDescent="0.3">
      <c r="A25" s="77">
        <v>23</v>
      </c>
      <c r="B25" s="79"/>
      <c r="C25" s="80"/>
      <c r="D25" s="81"/>
      <c r="E25" s="81"/>
      <c r="F25" s="82"/>
      <c r="G25" s="83"/>
    </row>
    <row r="26" spans="1:7" ht="15.9" customHeight="1" x14ac:dyDescent="0.3">
      <c r="A26" s="77">
        <v>24</v>
      </c>
      <c r="B26" s="79"/>
      <c r="C26" s="80"/>
      <c r="D26" s="81"/>
      <c r="E26" s="81"/>
      <c r="F26" s="82"/>
      <c r="G26" s="83"/>
    </row>
    <row r="27" spans="1:7" ht="15.9" customHeight="1" x14ac:dyDescent="0.3">
      <c r="A27" s="77">
        <v>25</v>
      </c>
      <c r="B27" s="79"/>
      <c r="C27" s="80"/>
      <c r="D27" s="81"/>
      <c r="E27" s="81"/>
      <c r="F27" s="82"/>
      <c r="G27" s="83"/>
    </row>
    <row r="28" spans="1:7" ht="15.9" customHeight="1" x14ac:dyDescent="0.3">
      <c r="A28" s="77">
        <v>26</v>
      </c>
      <c r="B28" s="79"/>
      <c r="C28" s="80"/>
      <c r="D28" s="81"/>
      <c r="E28" s="81"/>
      <c r="F28" s="82"/>
      <c r="G28" s="83"/>
    </row>
    <row r="29" spans="1:7" ht="15.9" customHeight="1" x14ac:dyDescent="0.3">
      <c r="A29" s="77">
        <v>27</v>
      </c>
      <c r="B29" s="79"/>
      <c r="C29" s="80"/>
      <c r="D29" s="81"/>
      <c r="E29" s="81"/>
      <c r="F29" s="82"/>
      <c r="G29" s="83"/>
    </row>
    <row r="30" spans="1:7" ht="15.9" customHeight="1" x14ac:dyDescent="0.3">
      <c r="A30" s="77">
        <v>28</v>
      </c>
      <c r="B30" s="79"/>
      <c r="C30" s="80"/>
      <c r="D30" s="81"/>
      <c r="E30" s="81"/>
      <c r="F30" s="82"/>
      <c r="G30" s="83"/>
    </row>
    <row r="31" spans="1:7" ht="15.9" customHeight="1" x14ac:dyDescent="0.3">
      <c r="A31" s="77">
        <v>29</v>
      </c>
      <c r="B31" s="79"/>
      <c r="C31" s="80"/>
      <c r="D31" s="81"/>
      <c r="E31" s="81"/>
      <c r="F31" s="82"/>
      <c r="G31" s="83"/>
    </row>
    <row r="32" spans="1:7" ht="15.9" customHeight="1" x14ac:dyDescent="0.3">
      <c r="A32" s="77">
        <v>30</v>
      </c>
      <c r="B32" s="79"/>
      <c r="C32" s="80"/>
      <c r="D32" s="81"/>
      <c r="E32" s="81"/>
      <c r="F32" s="82"/>
      <c r="G32" s="83"/>
    </row>
    <row r="33" spans="1:7" ht="15.9" customHeight="1" x14ac:dyDescent="0.3">
      <c r="A33" s="77">
        <v>31</v>
      </c>
      <c r="B33" s="79"/>
      <c r="C33" s="80"/>
      <c r="D33" s="81"/>
      <c r="E33" s="81"/>
      <c r="F33" s="82"/>
      <c r="G33" s="83"/>
    </row>
    <row r="34" spans="1:7" ht="15.9" customHeight="1" x14ac:dyDescent="0.3">
      <c r="A34" s="77">
        <v>32</v>
      </c>
      <c r="B34" s="79"/>
      <c r="C34" s="80"/>
      <c r="D34" s="81"/>
      <c r="E34" s="81"/>
      <c r="F34" s="82"/>
      <c r="G34" s="83"/>
    </row>
    <row r="35" spans="1:7" ht="15.9" customHeight="1" x14ac:dyDescent="0.3">
      <c r="A35" s="77">
        <v>33</v>
      </c>
      <c r="B35" s="79"/>
      <c r="C35" s="80"/>
      <c r="D35" s="81"/>
      <c r="E35" s="81"/>
      <c r="F35" s="82"/>
      <c r="G35" s="83"/>
    </row>
    <row r="36" spans="1:7" ht="15.9" customHeight="1" x14ac:dyDescent="0.3">
      <c r="A36" s="77">
        <v>34</v>
      </c>
      <c r="B36" s="79"/>
      <c r="C36" s="80"/>
      <c r="D36" s="81"/>
      <c r="E36" s="81"/>
      <c r="F36" s="82"/>
      <c r="G36" s="83"/>
    </row>
    <row r="37" spans="1:7" ht="15.9" customHeight="1" x14ac:dyDescent="0.3">
      <c r="A37" s="77">
        <v>35</v>
      </c>
      <c r="B37" s="79"/>
      <c r="C37" s="80"/>
      <c r="D37" s="81"/>
      <c r="E37" s="81"/>
      <c r="F37" s="82"/>
      <c r="G37" s="83"/>
    </row>
    <row r="38" spans="1:7" ht="15.9" customHeight="1" x14ac:dyDescent="0.3">
      <c r="A38" s="77">
        <v>36</v>
      </c>
      <c r="B38" s="79"/>
      <c r="C38" s="80"/>
      <c r="D38" s="81"/>
      <c r="E38" s="81"/>
      <c r="F38" s="82"/>
      <c r="G38" s="83"/>
    </row>
    <row r="39" spans="1:7" ht="15.9" customHeight="1" x14ac:dyDescent="0.3">
      <c r="A39" s="77">
        <v>37</v>
      </c>
      <c r="B39" s="79"/>
      <c r="C39" s="80"/>
      <c r="D39" s="81"/>
      <c r="E39" s="81"/>
      <c r="F39" s="82"/>
      <c r="G39" s="83"/>
    </row>
    <row r="40" spans="1:7" ht="15.9" customHeight="1" x14ac:dyDescent="0.3">
      <c r="A40" s="77">
        <v>38</v>
      </c>
      <c r="B40" s="79"/>
      <c r="C40" s="80"/>
      <c r="D40" s="81"/>
      <c r="E40" s="81"/>
      <c r="F40" s="82"/>
      <c r="G40" s="83"/>
    </row>
    <row r="41" spans="1:7" ht="15.9" customHeight="1" x14ac:dyDescent="0.3">
      <c r="A41" s="77">
        <v>39</v>
      </c>
      <c r="B41" s="79"/>
      <c r="C41" s="80"/>
      <c r="D41" s="81"/>
      <c r="E41" s="81"/>
      <c r="F41" s="82"/>
      <c r="G41" s="83"/>
    </row>
    <row r="42" spans="1:7" ht="15.9" customHeight="1" x14ac:dyDescent="0.3">
      <c r="A42" s="77">
        <v>40</v>
      </c>
      <c r="B42" s="79"/>
      <c r="C42" s="80"/>
      <c r="D42" s="81"/>
      <c r="E42" s="81"/>
      <c r="F42" s="82"/>
      <c r="G42" s="83"/>
    </row>
    <row r="43" spans="1:7" ht="15.9" customHeight="1" x14ac:dyDescent="0.3">
      <c r="A43" s="77">
        <v>41</v>
      </c>
      <c r="B43" s="79"/>
      <c r="C43" s="80"/>
      <c r="D43" s="81"/>
      <c r="E43" s="81"/>
      <c r="F43" s="82"/>
      <c r="G43" s="83"/>
    </row>
    <row r="44" spans="1:7" ht="15.9" customHeight="1" x14ac:dyDescent="0.3">
      <c r="A44" s="77">
        <v>42</v>
      </c>
      <c r="B44" s="79"/>
      <c r="C44" s="80"/>
      <c r="D44" s="81"/>
      <c r="E44" s="81"/>
      <c r="F44" s="82"/>
      <c r="G44" s="83"/>
    </row>
    <row r="45" spans="1:7" ht="15.9" customHeight="1" x14ac:dyDescent="0.3">
      <c r="A45" s="77">
        <v>43</v>
      </c>
      <c r="B45" s="79"/>
      <c r="C45" s="80"/>
      <c r="D45" s="81"/>
      <c r="E45" s="81"/>
      <c r="F45" s="82"/>
      <c r="G45" s="83"/>
    </row>
    <row r="46" spans="1:7" ht="15.9" customHeight="1" x14ac:dyDescent="0.3">
      <c r="A46" s="77">
        <v>44</v>
      </c>
      <c r="B46" s="79"/>
      <c r="C46" s="80"/>
      <c r="D46" s="81"/>
      <c r="E46" s="81"/>
      <c r="F46" s="82"/>
      <c r="G46" s="83"/>
    </row>
    <row r="47" spans="1:7" ht="15.9" customHeight="1" x14ac:dyDescent="0.3">
      <c r="A47" s="77">
        <v>45</v>
      </c>
      <c r="B47" s="79"/>
      <c r="C47" s="80"/>
      <c r="D47" s="81"/>
      <c r="E47" s="81"/>
      <c r="F47" s="82"/>
      <c r="G47" s="83"/>
    </row>
    <row r="48" spans="1:7" ht="15.9" customHeight="1" x14ac:dyDescent="0.3">
      <c r="A48" s="77">
        <v>46</v>
      </c>
      <c r="B48" s="79"/>
      <c r="C48" s="80"/>
      <c r="D48" s="81"/>
      <c r="E48" s="81"/>
      <c r="F48" s="82"/>
      <c r="G48" s="83"/>
    </row>
    <row r="49" spans="1:7" ht="15.9" customHeight="1" x14ac:dyDescent="0.3">
      <c r="A49" s="77">
        <v>47</v>
      </c>
      <c r="B49" s="79"/>
      <c r="C49" s="80"/>
      <c r="D49" s="81"/>
      <c r="E49" s="81"/>
      <c r="F49" s="82"/>
      <c r="G49" s="83"/>
    </row>
    <row r="50" spans="1:7" ht="15.9" customHeight="1" x14ac:dyDescent="0.3">
      <c r="A50" s="77">
        <v>48</v>
      </c>
      <c r="B50" s="79"/>
      <c r="C50" s="84"/>
      <c r="D50" s="81"/>
      <c r="E50" s="81"/>
      <c r="F50" s="82"/>
      <c r="G50" s="83"/>
    </row>
    <row r="51" spans="1:7" ht="15.9" customHeight="1" x14ac:dyDescent="0.3">
      <c r="A51" s="77">
        <v>49</v>
      </c>
      <c r="B51" s="79"/>
      <c r="C51" s="80"/>
      <c r="D51" s="81"/>
      <c r="E51" s="81"/>
      <c r="F51" s="82"/>
      <c r="G51" s="83"/>
    </row>
    <row r="52" spans="1:7" ht="15.9" customHeight="1" x14ac:dyDescent="0.3">
      <c r="A52" s="77">
        <v>50</v>
      </c>
      <c r="B52" s="79"/>
      <c r="C52" s="80"/>
      <c r="D52" s="81"/>
      <c r="E52" s="81"/>
      <c r="F52" s="82"/>
      <c r="G52" s="83"/>
    </row>
    <row r="53" spans="1:7" ht="15.9" customHeight="1" x14ac:dyDescent="0.3">
      <c r="A53" s="77">
        <v>51</v>
      </c>
      <c r="B53" s="79"/>
      <c r="C53" s="80"/>
      <c r="D53" s="81"/>
      <c r="E53" s="81"/>
      <c r="F53" s="82"/>
      <c r="G53" s="83"/>
    </row>
    <row r="54" spans="1:7" ht="15.9" customHeight="1" x14ac:dyDescent="0.3">
      <c r="A54" s="77">
        <v>52</v>
      </c>
      <c r="B54" s="79"/>
      <c r="C54" s="80"/>
      <c r="D54" s="81"/>
      <c r="E54" s="81"/>
      <c r="F54" s="82"/>
      <c r="G54" s="83"/>
    </row>
    <row r="55" spans="1:7" ht="15.9" customHeight="1" x14ac:dyDescent="0.3">
      <c r="A55" s="77">
        <v>53</v>
      </c>
      <c r="B55" s="79"/>
      <c r="C55" s="80"/>
      <c r="D55" s="81"/>
      <c r="E55" s="81"/>
      <c r="F55" s="82"/>
      <c r="G55" s="83"/>
    </row>
    <row r="56" spans="1:7" ht="15.9" customHeight="1" x14ac:dyDescent="0.3">
      <c r="A56" s="77">
        <v>54</v>
      </c>
      <c r="B56" s="79"/>
      <c r="C56" s="80"/>
      <c r="D56" s="81"/>
      <c r="E56" s="81"/>
      <c r="F56" s="82"/>
      <c r="G56" s="83"/>
    </row>
    <row r="57" spans="1:7" ht="15.9" customHeight="1" x14ac:dyDescent="0.3">
      <c r="A57" s="77">
        <v>55</v>
      </c>
      <c r="B57" s="79"/>
      <c r="C57" s="80"/>
      <c r="D57" s="81"/>
      <c r="E57" s="81"/>
      <c r="F57" s="82"/>
      <c r="G57" s="83"/>
    </row>
    <row r="58" spans="1:7" ht="15.9" customHeight="1" x14ac:dyDescent="0.3">
      <c r="A58" s="77">
        <v>56</v>
      </c>
      <c r="B58" s="79"/>
      <c r="C58" s="80"/>
      <c r="D58" s="81"/>
      <c r="E58" s="81"/>
      <c r="F58" s="82"/>
      <c r="G58" s="83"/>
    </row>
    <row r="59" spans="1:7" ht="15.9" customHeight="1" x14ac:dyDescent="0.3">
      <c r="A59" s="77">
        <v>57</v>
      </c>
      <c r="B59" s="79"/>
      <c r="C59" s="80"/>
      <c r="D59" s="81"/>
      <c r="E59" s="81"/>
      <c r="F59" s="82"/>
      <c r="G59" s="83"/>
    </row>
    <row r="60" spans="1:7" ht="15.9" customHeight="1" x14ac:dyDescent="0.3">
      <c r="A60" s="77">
        <v>58</v>
      </c>
      <c r="B60" s="79"/>
      <c r="C60" s="80"/>
      <c r="D60" s="81"/>
      <c r="E60" s="81"/>
      <c r="F60" s="82"/>
      <c r="G60" s="83"/>
    </row>
    <row r="61" spans="1:7" ht="15.9" customHeight="1" x14ac:dyDescent="0.3">
      <c r="A61" s="77">
        <v>59</v>
      </c>
      <c r="B61" s="79"/>
      <c r="C61" s="80"/>
      <c r="D61" s="81"/>
      <c r="E61" s="81"/>
      <c r="F61" s="82"/>
      <c r="G61" s="83"/>
    </row>
    <row r="62" spans="1:7" ht="15.9" customHeight="1" x14ac:dyDescent="0.3">
      <c r="A62" s="77">
        <v>60</v>
      </c>
      <c r="B62" s="79"/>
      <c r="C62" s="80"/>
      <c r="D62" s="81"/>
      <c r="E62" s="81"/>
      <c r="F62" s="82"/>
      <c r="G62" s="83"/>
    </row>
    <row r="63" spans="1:7" ht="15.9" customHeight="1" x14ac:dyDescent="0.3">
      <c r="A63" s="77">
        <v>61</v>
      </c>
      <c r="B63" s="79"/>
      <c r="C63" s="80"/>
      <c r="D63" s="81"/>
      <c r="E63" s="81"/>
      <c r="F63" s="82"/>
      <c r="G63" s="83"/>
    </row>
    <row r="64" spans="1:7" ht="15.9" customHeight="1" x14ac:dyDescent="0.3">
      <c r="A64" s="77">
        <v>62</v>
      </c>
      <c r="B64" s="79"/>
      <c r="C64" s="80"/>
      <c r="D64" s="81"/>
      <c r="E64" s="81"/>
      <c r="F64" s="82"/>
      <c r="G64" s="83"/>
    </row>
    <row r="65" spans="1:7" ht="15.9" customHeight="1" x14ac:dyDescent="0.3">
      <c r="A65" s="77">
        <v>63</v>
      </c>
      <c r="B65" s="79"/>
      <c r="C65" s="80"/>
      <c r="D65" s="81"/>
      <c r="E65" s="81"/>
      <c r="F65" s="82"/>
      <c r="G65" s="83"/>
    </row>
  </sheetData>
  <conditionalFormatting sqref="F4:F65">
    <cfRule type="cellIs" dxfId="3" priority="1" operator="greaterThan">
      <formula>9</formula>
    </cfRule>
    <cfRule type="cellIs" dxfId="2" priority="2" operator="greaterThan">
      <formula>9.5</formula>
    </cfRule>
    <cfRule type="cellIs" dxfId="1" priority="3" operator="equal">
      <formula>95</formula>
    </cfRule>
    <cfRule type="cellIs" dxfId="0" priority="4" operator="equal">
      <formula>"f"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OverallResult</vt:lpstr>
      <vt:lpstr>SubjectWise</vt:lpstr>
      <vt:lpstr>FinalResult</vt:lpstr>
      <vt:lpstr>Absentees</vt:lpstr>
      <vt:lpstr>Toppers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</dc:creator>
  <cp:lastModifiedBy>Vishal S</cp:lastModifiedBy>
  <cp:lastPrinted>2024-05-20T09:18:32Z</cp:lastPrinted>
  <dcterms:created xsi:type="dcterms:W3CDTF">2020-01-06T05:33:50Z</dcterms:created>
  <dcterms:modified xsi:type="dcterms:W3CDTF">2024-09-04T04:24:54Z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9ebacf8d-3131-487d-a657-6dc18ecfab7f</vt:lpwstr>
  </property>
</Properties>
</file>