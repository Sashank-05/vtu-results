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855" windowWidth="25695" windowHeight="14430" tabRatio="600" firstSheet="0" activeTab="0" autoFilterDateGrouping="1"/>
  </bookViews>
  <sheets>
    <sheet xmlns:r="http://schemas.openxmlformats.org/officeDocument/2006/relationships" name="OverallResult" sheetId="1" state="visible" r:id="rId1"/>
    <sheet xmlns:r="http://schemas.openxmlformats.org/officeDocument/2006/relationships" name="SubjectWise" sheetId="2" state="visible" r:id="rId2"/>
    <sheet xmlns:r="http://schemas.openxmlformats.org/officeDocument/2006/relationships" name="FinalResult" sheetId="3" state="visible" r:id="rId3"/>
    <sheet xmlns:r="http://schemas.openxmlformats.org/officeDocument/2006/relationships" name="Absentees" sheetId="4" state="visible" r:id="rId4"/>
    <sheet xmlns:r="http://schemas.openxmlformats.org/officeDocument/2006/relationships" name="Toppers" sheetId="5" state="visible" r:id="rId5"/>
    <sheet xmlns:r="http://schemas.openxmlformats.org/officeDocument/2006/relationships" name="Sheet1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Arial"/>
      <color theme="1"/>
      <sz val="11"/>
    </font>
    <font>
      <name val="Times New Roman"/>
      <family val="1"/>
      <b val="1"/>
      <color rgb="FF000000"/>
      <sz val="10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color rgb="FF000000"/>
      <sz val="12"/>
    </font>
    <font>
      <name val="Calibri"/>
      <family val="2"/>
      <color indexed="8"/>
      <sz val="11"/>
    </font>
    <font>
      <name val="Times New Roman"/>
      <family val="1"/>
      <b val="1"/>
      <sz val="12"/>
    </font>
    <font>
      <name val="Verdana"/>
      <family val="2"/>
      <b val="1"/>
      <color theme="1"/>
      <sz val="16"/>
    </font>
    <font>
      <name val="Verdana"/>
      <family val="2"/>
      <b val="1"/>
      <color rgb="FF000000"/>
      <sz val="8"/>
    </font>
    <font>
      <name val="Verdana"/>
      <family val="2"/>
      <b val="1"/>
      <color theme="1"/>
      <sz val="14"/>
    </font>
    <font>
      <name val="Times New Roman"/>
      <family val="1"/>
      <b val="1"/>
      <color theme="1"/>
      <sz val="16"/>
    </font>
    <font>
      <name val="Times New Roman"/>
      <family val="1"/>
      <b val="1"/>
      <sz val="9"/>
    </font>
    <font>
      <name val="Arial"/>
      <family val="2"/>
      <color theme="1"/>
      <sz val="11"/>
    </font>
    <font>
      <name val="Calibri"/>
      <family val="2"/>
      <color theme="1"/>
      <sz val="10"/>
      <scheme val="minor"/>
    </font>
    <font>
      <name val="Times New Roman"/>
      <family val="1"/>
      <color theme="1"/>
      <sz val="10"/>
    </font>
    <font>
      <name val="Arial"/>
      <family val="2"/>
      <color theme="1"/>
      <sz val="12"/>
    </font>
    <font>
      <name val="Times New Roman"/>
      <family val="1"/>
      <b val="1"/>
      <color indexed="8"/>
      <sz val="12"/>
    </font>
    <font>
      <name val="Times New Roman"/>
      <family val="1"/>
      <color indexed="8"/>
      <sz val="12"/>
    </font>
    <font>
      <name val="Arial"/>
      <family val="2"/>
      <sz val="11"/>
    </font>
    <font>
      <name val="Times New Roman"/>
      <family val="1"/>
      <sz val="12"/>
    </font>
    <font>
      <name val="Times New Roman"/>
      <family val="1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/>
    <xf numFmtId="9" fontId="13" fillId="0" borderId="0"/>
  </cellStyleXfs>
  <cellXfs count="1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7" fillId="2" borderId="1" applyAlignment="1" pivotButton="0" quotePrefix="0" xfId="1">
      <alignment horizontal="center" vertical="center"/>
    </xf>
    <xf numFmtId="0" fontId="7" fillId="2" borderId="1" applyAlignment="1" pivotButton="0" quotePrefix="0" xfId="1">
      <alignment horizontal="center" vertical="center" wrapText="1"/>
    </xf>
    <xf numFmtId="0" fontId="2" fillId="0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3" pivotButton="0" quotePrefix="0" xfId="0"/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wrapText="1"/>
    </xf>
    <xf numFmtId="0" fontId="3" fillId="0" borderId="1" pivotButton="0" quotePrefix="0" xfId="0"/>
    <xf numFmtId="0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3" fillId="0" borderId="2" pivotButton="0" quotePrefix="0" xfId="0"/>
    <xf numFmtId="0" fontId="3" fillId="0" borderId="0" applyAlignment="1" pivotButton="0" quotePrefix="0" xfId="0">
      <alignment wrapText="1"/>
    </xf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9" applyAlignment="1" pivotButton="0" quotePrefix="0" xfId="0">
      <alignment vertical="center" wrapText="1"/>
    </xf>
    <xf numFmtId="0" fontId="2" fillId="0" borderId="9" applyAlignment="1" pivotButton="0" quotePrefix="0" xfId="0">
      <alignment vertical="center"/>
    </xf>
    <xf numFmtId="0" fontId="4" fillId="0" borderId="8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8" fillId="0" borderId="0" pivotButton="0" quotePrefix="0" xfId="0"/>
    <xf numFmtId="0" fontId="3" fillId="0" borderId="10" applyAlignment="1" pivotButton="0" quotePrefix="0" xfId="0">
      <alignment horizontal="center"/>
    </xf>
    <xf numFmtId="0" fontId="3" fillId="0" borderId="8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1">
      <alignment horizontal="center" vertical="center" wrapText="1"/>
    </xf>
    <xf numFmtId="1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4" fillId="3" borderId="0" pivotButton="0" quotePrefix="0" xfId="0"/>
    <xf numFmtId="0" fontId="2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2" fillId="0" borderId="11" pivotButton="0" quotePrefix="0" xfId="0"/>
    <xf numFmtId="0" fontId="3" fillId="0" borderId="9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3" fillId="4" borderId="10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3" fillId="4" borderId="9" applyAlignment="1" pivotButton="0" quotePrefix="0" xfId="0">
      <alignment horizontal="center" wrapText="1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2" fillId="4" borderId="11" pivotButton="0" quotePrefix="0" xfId="0"/>
    <xf numFmtId="2" fontId="2" fillId="4" borderId="1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4" borderId="0" pivotButton="0" quotePrefix="0" xfId="0"/>
    <xf numFmtId="0" fontId="3" fillId="4" borderId="0" pivotButton="0" quotePrefix="0" xfId="0"/>
    <xf numFmtId="0" fontId="16" fillId="0" borderId="0" pivotButton="0" quotePrefix="0" xfId="0"/>
    <xf numFmtId="0" fontId="17" fillId="0" borderId="6" applyAlignment="1" pivotButton="0" quotePrefix="0" xfId="1">
      <alignment horizontal="center" wrapText="1"/>
    </xf>
    <xf numFmtId="0" fontId="17" fillId="0" borderId="5" applyAlignment="1" pivotButton="0" quotePrefix="0" xfId="1">
      <alignment horizontal="center"/>
    </xf>
    <xf numFmtId="1" fontId="17" fillId="0" borderId="5" applyAlignment="1" pivotButton="0" quotePrefix="0" xfId="1">
      <alignment horizontal="center"/>
    </xf>
    <xf numFmtId="0" fontId="17" fillId="0" borderId="7" applyAlignment="1" pivotButton="0" quotePrefix="0" xfId="1">
      <alignment horizontal="center"/>
    </xf>
    <xf numFmtId="0" fontId="17" fillId="0" borderId="0" applyAlignment="1" pivotButton="0" quotePrefix="0" xfId="1">
      <alignment horizontal="center"/>
    </xf>
    <xf numFmtId="9" fontId="17" fillId="0" borderId="5" applyAlignment="1" pivotButton="0" quotePrefix="0" xfId="2">
      <alignment horizontal="center"/>
    </xf>
    <xf numFmtId="0" fontId="17" fillId="0" borderId="5" applyAlignment="1" pivotButton="0" quotePrefix="0" xfId="1">
      <alignment horizontal="center" vertical="center" wrapText="1"/>
    </xf>
    <xf numFmtId="0" fontId="18" fillId="0" borderId="0" applyAlignment="1" pivotButton="0" quotePrefix="0" xfId="1">
      <alignment horizontal="center"/>
    </xf>
    <xf numFmtId="0" fontId="14" fillId="0" borderId="0" pivotButton="0" quotePrefix="0" xfId="0"/>
    <xf numFmtId="0" fontId="3" fillId="0" borderId="10" applyAlignment="1" pivotButton="0" quotePrefix="0" xfId="0">
      <alignment horizontal="center" vertical="top" wrapText="1"/>
    </xf>
    <xf numFmtId="0" fontId="3" fillId="0" borderId="9" applyAlignment="1" pivotButton="0" quotePrefix="0" xfId="0">
      <alignment horizontal="center" vertical="top" wrapText="1"/>
    </xf>
    <xf numFmtId="0" fontId="3" fillId="0" borderId="11" applyAlignment="1" pivotButton="0" quotePrefix="0" xfId="0">
      <alignment horizontal="center" vertical="top"/>
    </xf>
    <xf numFmtId="0" fontId="3" fillId="0" borderId="11" applyAlignment="1" pivotButton="0" quotePrefix="0" xfId="0">
      <alignment horizontal="center" vertical="top" wrapText="1"/>
    </xf>
    <xf numFmtId="0" fontId="2" fillId="0" borderId="8" applyAlignment="1" pivotButton="0" quotePrefix="0" xfId="0">
      <alignment vertical="center" wrapText="1"/>
    </xf>
    <xf numFmtId="0" fontId="2" fillId="0" borderId="8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/>
    </xf>
    <xf numFmtId="0" fontId="19" fillId="0" borderId="0" pivotButton="0" quotePrefix="0" xfId="0"/>
    <xf numFmtId="0" fontId="20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vertical="center" wrapText="1"/>
    </xf>
    <xf numFmtId="2" fontId="19" fillId="0" borderId="1" applyAlignment="1" pivotButton="0" quotePrefix="0" xfId="0">
      <alignment horizontal="center"/>
    </xf>
    <xf numFmtId="2" fontId="20" fillId="0" borderId="1" applyAlignment="1" pivotButton="0" quotePrefix="0" xfId="0">
      <alignment horizontal="center"/>
    </xf>
    <xf numFmtId="0" fontId="19" fillId="0" borderId="1" pivotButton="0" quotePrefix="0" xfId="0"/>
    <xf numFmtId="0" fontId="21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5" borderId="10" applyAlignment="1" pivotButton="0" quotePrefix="0" xfId="0">
      <alignment horizontal="center"/>
    </xf>
    <xf numFmtId="0" fontId="3" fillId="5" borderId="9" applyAlignment="1" pivotButton="0" quotePrefix="0" xfId="0">
      <alignment horizontal="center" wrapText="1"/>
    </xf>
    <xf numFmtId="0" fontId="2" fillId="5" borderId="1" pivotButton="0" quotePrefix="0" xfId="0"/>
    <xf numFmtId="0" fontId="2" fillId="5" borderId="1" applyAlignment="1" pivotButton="0" quotePrefix="0" xfId="0">
      <alignment horizontal="center"/>
    </xf>
    <xf numFmtId="0" fontId="2" fillId="5" borderId="11" pivotButton="0" quotePrefix="0" xfId="0"/>
    <xf numFmtId="0" fontId="14" fillId="5" borderId="0" pivotButton="0" quotePrefix="0" xfId="0"/>
    <xf numFmtId="2" fontId="2" fillId="5" borderId="1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wrapText="1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5" borderId="1" pivotButton="0" quotePrefix="0" xfId="0"/>
    <xf numFmtId="0" fontId="0" fillId="0" borderId="3" pivotButton="0" quotePrefix="0" xfId="0"/>
    <xf numFmtId="0" fontId="0" fillId="0" borderId="2" pivotButton="0" quotePrefix="0" xfId="0"/>
  </cellXfs>
  <cellStyles count="3">
    <cellStyle name="Normal" xfId="0" builtinId="0"/>
    <cellStyle name="Excel Built-in Normal" xfId="1"/>
    <cellStyle name="Percent" xfId="2" builtinId="5"/>
  </cellStyles>
  <dxfs count="84"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b val="1"/>
        <color rgb="FFFFFF00"/>
      </font>
    </dxf>
    <dxf>
      <font>
        <color rgb="FFFF0000"/>
      </font>
    </dxf>
    <dxf>
      <font>
        <b val="1"/>
        <color rgb="FFFFFF00"/>
      </font>
    </dxf>
    <dxf>
      <font>
        <b val="1"/>
        <color rgb="FFFF0000"/>
      </font>
    </dxf>
    <dxf>
      <font>
        <b val="1"/>
        <i val="1"/>
        <color theme="7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b val="1"/>
        <color rgb="FFFF0000"/>
      </font>
    </dxf>
    <dxf>
      <font>
        <b val="1"/>
        <color rgb="FFFFFF00"/>
      </font>
    </dxf>
    <dxf>
      <font>
        <b val="1"/>
        <i val="1"/>
        <color theme="7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b val="1"/>
        <color rgb="FFFF0000"/>
      </font>
    </dxf>
    <dxf>
      <font>
        <b val="1"/>
        <i val="1"/>
        <color theme="7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b val="1"/>
        <i val="1"/>
        <color theme="7"/>
      </font>
    </dxf>
    <dxf>
      <font>
        <b val="1"/>
        <color rgb="FFFF0000"/>
      </font>
    </dxf>
    <dxf>
      <font>
        <b val="1"/>
        <color rgb="FFFFFF00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name val="Calibri"/>
        <b val="1"/>
        <strike val="0"/>
        <color rgb="FFFF0000"/>
        <sz val="11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83"/>
      <tableStyleElement type="headerRow" dxfId="82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SubjectWise!$F$7</f>
              <strCache>
                <ptCount val="1"/>
                <pt idx="0">
                  <v>O%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SubjectWise!$B$8:$B$16</f>
              <strCache>
                <ptCount val="9"/>
                <pt idx="0">
                  <v>BMATS201</v>
                </pt>
                <pt idx="1">
                  <v>BCHES202</v>
                </pt>
                <pt idx="2">
                  <v>BCEDK203</v>
                </pt>
                <pt idx="3">
                  <v>BESCK204C</v>
                </pt>
                <pt idx="4">
                  <v>BPLCK205B</v>
                </pt>
                <pt idx="5">
                  <v>BPWSK206</v>
                </pt>
                <pt idx="6">
                  <v>BKSKK207</v>
                </pt>
                <pt idx="7">
                  <v>BKBKK207</v>
                </pt>
                <pt idx="8">
                  <v>BSFHK258</v>
                </pt>
              </strCache>
            </strRef>
          </cat>
          <val>
            <numRef>
              <f>SubjectWise!$F$8:$F$16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2</v>
                </pt>
                <pt idx="7">
                  <v>19</v>
                </pt>
                <pt idx="8">
                  <v>0</v>
                </pt>
              </numCache>
            </numRef>
          </val>
        </ser>
        <ser>
          <idx val="1"/>
          <order val="1"/>
          <tx>
            <strRef>
              <f>SubjectWise!$G$7</f>
              <strCache>
                <ptCount val="1"/>
                <pt idx="0">
                  <v>A+%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SubjectWise!$B$8:$B$16</f>
              <strCache>
                <ptCount val="9"/>
                <pt idx="0">
                  <v>BMATS201</v>
                </pt>
                <pt idx="1">
                  <v>BCHES202</v>
                </pt>
                <pt idx="2">
                  <v>BCEDK203</v>
                </pt>
                <pt idx="3">
                  <v>BESCK204C</v>
                </pt>
                <pt idx="4">
                  <v>BPLCK205B</v>
                </pt>
                <pt idx="5">
                  <v>BPWSK206</v>
                </pt>
                <pt idx="6">
                  <v>BKSKK207</v>
                </pt>
                <pt idx="7">
                  <v>BKBKK207</v>
                </pt>
                <pt idx="8">
                  <v>BSFHK258</v>
                </pt>
              </strCache>
            </strRef>
          </cat>
          <val>
            <numRef>
              <f>SubjectWise!$G$8:$G$16</f>
              <numCache>
                <formatCode>General</formatCode>
                <ptCount val="9"/>
                <pt idx="0">
                  <v>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17</v>
                </pt>
                <pt idx="7">
                  <v>4</v>
                </pt>
                <pt idx="8">
                  <v>0</v>
                </pt>
              </numCache>
            </numRef>
          </val>
        </ser>
        <ser>
          <idx val="2"/>
          <order val="2"/>
          <tx>
            <strRef>
              <f>SubjectWise!$H$7</f>
              <strCache>
                <ptCount val="1"/>
                <pt idx="0">
                  <v>A%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SubjectWise!$B$8:$B$16</f>
              <strCache>
                <ptCount val="9"/>
                <pt idx="0">
                  <v>BMATS201</v>
                </pt>
                <pt idx="1">
                  <v>BCHES202</v>
                </pt>
                <pt idx="2">
                  <v>BCEDK203</v>
                </pt>
                <pt idx="3">
                  <v>BESCK204C</v>
                </pt>
                <pt idx="4">
                  <v>BPLCK205B</v>
                </pt>
                <pt idx="5">
                  <v>BPWSK206</v>
                </pt>
                <pt idx="6">
                  <v>BKSKK207</v>
                </pt>
                <pt idx="7">
                  <v>BKBKK207</v>
                </pt>
                <pt idx="8">
                  <v>BSFHK258</v>
                </pt>
              </strCache>
            </strRef>
          </cat>
          <val>
            <numRef>
              <f>SubjectWise!$H$8:$H$16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16</v>
                </pt>
                <pt idx="7">
                  <v>1</v>
                </pt>
                <pt idx="8">
                  <v>0</v>
                </pt>
              </numCache>
            </numRef>
          </val>
        </ser>
        <ser>
          <idx val="3"/>
          <order val="3"/>
          <tx>
            <strRef>
              <f>SubjectWise!$I$7</f>
              <strCache>
                <ptCount val="1"/>
                <pt idx="0">
                  <v>B+%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SubjectWise!$B$8:$B$16</f>
              <strCache>
                <ptCount val="9"/>
                <pt idx="0">
                  <v>BMATS201</v>
                </pt>
                <pt idx="1">
                  <v>BCHES202</v>
                </pt>
                <pt idx="2">
                  <v>BCEDK203</v>
                </pt>
                <pt idx="3">
                  <v>BESCK204C</v>
                </pt>
                <pt idx="4">
                  <v>BPLCK205B</v>
                </pt>
                <pt idx="5">
                  <v>BPWSK206</v>
                </pt>
                <pt idx="6">
                  <v>BKSKK207</v>
                </pt>
                <pt idx="7">
                  <v>BKBKK207</v>
                </pt>
                <pt idx="8">
                  <v>BSFHK258</v>
                </pt>
              </strCache>
            </strRef>
          </cat>
          <val>
            <numRef>
              <f>SubjectWise!$I$8:$I$16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4</v>
                </pt>
                <pt idx="7">
                  <v>0</v>
                </pt>
                <pt idx="8">
                  <v>0</v>
                </pt>
              </numCache>
            </numRef>
          </val>
        </ser>
        <ser>
          <idx val="4"/>
          <order val="4"/>
          <tx>
            <strRef>
              <f>SubjectWise!$J$7</f>
              <strCache>
                <ptCount val="1"/>
                <pt idx="0">
                  <v>B%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SubjectWise!$B$8:$B$16</f>
              <strCache>
                <ptCount val="9"/>
                <pt idx="0">
                  <v>BMATS201</v>
                </pt>
                <pt idx="1">
                  <v>BCHES202</v>
                </pt>
                <pt idx="2">
                  <v>BCEDK203</v>
                </pt>
                <pt idx="3">
                  <v>BESCK204C</v>
                </pt>
                <pt idx="4">
                  <v>BPLCK205B</v>
                </pt>
                <pt idx="5">
                  <v>BPWSK206</v>
                </pt>
                <pt idx="6">
                  <v>BKSKK207</v>
                </pt>
                <pt idx="7">
                  <v>BKBKK207</v>
                </pt>
                <pt idx="8">
                  <v>BSFHK258</v>
                </pt>
              </strCache>
            </strRef>
          </cat>
          <val>
            <numRef>
              <f>SubjectWise!$J$8:$J$16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ser>
          <idx val="5"/>
          <order val="5"/>
          <tx>
            <strRef>
              <f>SubjectWise!$K$7</f>
              <strCache>
                <ptCount val="1"/>
                <pt idx="0">
                  <v>C%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SubjectWise!$B$8:$B$16</f>
              <strCache>
                <ptCount val="9"/>
                <pt idx="0">
                  <v>BMATS201</v>
                </pt>
                <pt idx="1">
                  <v>BCHES202</v>
                </pt>
                <pt idx="2">
                  <v>BCEDK203</v>
                </pt>
                <pt idx="3">
                  <v>BESCK204C</v>
                </pt>
                <pt idx="4">
                  <v>BPLCK205B</v>
                </pt>
                <pt idx="5">
                  <v>BPWSK206</v>
                </pt>
                <pt idx="6">
                  <v>BKSKK207</v>
                </pt>
                <pt idx="7">
                  <v>BKBKK207</v>
                </pt>
                <pt idx="8">
                  <v>BSFHK258</v>
                </pt>
              </strCache>
            </strRef>
          </cat>
          <val>
            <numRef>
              <f>SubjectWise!$K$8:$K$16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ser>
          <idx val="6"/>
          <order val="6"/>
          <tx>
            <strRef>
              <f>SubjectWise!$L$7</f>
              <strCache>
                <ptCount val="1"/>
                <pt idx="0">
                  <v>P%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SubjectWise!$B$8:$B$16</f>
              <strCache>
                <ptCount val="9"/>
                <pt idx="0">
                  <v>BMATS201</v>
                </pt>
                <pt idx="1">
                  <v>BCHES202</v>
                </pt>
                <pt idx="2">
                  <v>BCEDK203</v>
                </pt>
                <pt idx="3">
                  <v>BESCK204C</v>
                </pt>
                <pt idx="4">
                  <v>BPLCK205B</v>
                </pt>
                <pt idx="5">
                  <v>BPWSK206</v>
                </pt>
                <pt idx="6">
                  <v>BKSKK207</v>
                </pt>
                <pt idx="7">
                  <v>BKBKK207</v>
                </pt>
                <pt idx="8">
                  <v>BSFHK258</v>
                </pt>
              </strCache>
            </strRef>
          </cat>
          <val>
            <numRef>
              <f>SubjectWise!$L$8:$L$16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ser>
          <idx val="7"/>
          <order val="7"/>
          <tx>
            <strRef>
              <f>SubjectWise!$M$7</f>
              <strCache>
                <ptCount val="1"/>
                <pt idx="0">
                  <v>F%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SubjectWise!$B$8:$B$16</f>
              <strCache>
                <ptCount val="9"/>
                <pt idx="0">
                  <v>BMATS201</v>
                </pt>
                <pt idx="1">
                  <v>BCHES202</v>
                </pt>
                <pt idx="2">
                  <v>BCEDK203</v>
                </pt>
                <pt idx="3">
                  <v>BESCK204C</v>
                </pt>
                <pt idx="4">
                  <v>BPLCK205B</v>
                </pt>
                <pt idx="5">
                  <v>BPWSK206</v>
                </pt>
                <pt idx="6">
                  <v>BKSKK207</v>
                </pt>
                <pt idx="7">
                  <v>BKBKK207</v>
                </pt>
                <pt idx="8">
                  <v>BSFHK258</v>
                </pt>
              </strCache>
            </strRef>
          </cat>
          <val>
            <numRef>
              <f>SubjectWise!$M$8:$M$16</f>
              <numCache>
                <formatCode>General</formatCode>
                <ptCount val="9"/>
                <pt idx="0">
                  <v>55</v>
                </pt>
                <pt idx="1">
                  <v>56</v>
                </pt>
                <pt idx="2">
                  <v>56</v>
                </pt>
                <pt idx="3">
                  <v>56</v>
                </pt>
                <pt idx="4">
                  <v>56</v>
                </pt>
                <pt idx="5">
                  <v>56</v>
                </pt>
                <pt idx="6">
                  <v>0</v>
                </pt>
                <pt idx="7">
                  <v>56</v>
                </pt>
                <pt idx="8">
                  <v>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57199488"/>
        <axId val="259810432"/>
      </barChart>
      <catAx>
        <axId val="257199488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259810432"/>
        <crosses val="autoZero"/>
        <auto val="1"/>
        <lblAlgn val="ctr"/>
        <lblOffset val="100"/>
        <noMultiLvlLbl val="0"/>
      </catAx>
      <valAx>
        <axId val="259810432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25719948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663399592533451"/>
          <y val="0.1276994927508801"/>
          <w val="0.8369884184057412"/>
          <h val="0.7407883654464927"/>
        </manualLayout>
      </layout>
      <barChart>
        <barDir val="col"/>
        <grouping val="cluster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FinalResult!$E$10:$M$10</f>
              <strCache>
                <ptCount val="9"/>
                <pt idx="0">
                  <v xml:space="preserve">TOTAL O% </v>
                </pt>
                <pt idx="1">
                  <v>TOTAL A+%</v>
                </pt>
                <pt idx="2">
                  <v>TOTAL A%</v>
                </pt>
                <pt idx="3">
                  <v>TOTAL B%</v>
                </pt>
                <pt idx="4">
                  <v>TOTAL B+%</v>
                </pt>
                <pt idx="5">
                  <v>TOTAL C%</v>
                </pt>
                <pt idx="6">
                  <v>TOTAL P%</v>
                </pt>
                <pt idx="7">
                  <v>TOTAL FAIL%</v>
                </pt>
                <pt idx="8">
                  <v>TOTAL PASS%</v>
                </pt>
              </strCache>
            </strRef>
          </cat>
          <val>
            <numRef>
              <f>FinalResult!$E$11:$M$11</f>
              <numCache>
                <formatCode>0%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formatCode>0</formatCode>
                  <v>0</v>
                </pt>
                <pt idx="5">
                  <formatCode>0</formatCode>
                  <v>0</v>
                </pt>
                <pt idx="6">
                  <formatCode>0</formatCode>
                  <v>0</v>
                </pt>
                <pt idx="7">
                  <v>0.8888888888888888</v>
                </pt>
                <pt idx="8">
                  <v>0.1111111111111111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54768896"/>
        <axId val="154770432"/>
      </barChart>
      <catAx>
        <axId val="154768896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54770432"/>
        <crosses val="autoZero"/>
        <auto val="1"/>
        <lblAlgn val="ctr"/>
        <lblOffset val="100"/>
        <noMultiLvlLbl val="0"/>
      </catAx>
      <valAx>
        <axId val="154770432"/>
        <scaling>
          <orientation val="minMax"/>
        </scaling>
        <delete val="0"/>
        <axPos val="l"/>
        <majorGridlines/>
        <numFmt formatCode="0%" sourceLinked="1"/>
        <majorTickMark val="out"/>
        <minorTickMark val="none"/>
        <tickLblPos val="nextTo"/>
        <crossAx val="154768896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twoCellAnchor editAs="oneCell">
    <from>
      <col>16</col>
      <colOff>216177</colOff>
      <row>0</row>
      <rowOff>127553</rowOff>
    </from>
    <to>
      <col>19</col>
      <colOff>1</colOff>
      <row>3</row>
      <rowOff>153726</rowOff>
    </to>
    <pic>
      <nvPicPr>
        <cNvPr id="2" name="Picture 1" descr="D:\CSE-Office-12-19\bit-logo-may2020.jp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01220" y="127553"/>
          <a:ext cx="718103" cy="82130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</col>
      <colOff>91440</colOff>
      <row>19</row>
      <rowOff>72390</rowOff>
    </from>
    <to>
      <col>14</col>
      <colOff>137160</colOff>
      <row>37</row>
      <rowOff>129540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523875</colOff>
      <row>0</row>
      <rowOff>0</rowOff>
    </from>
    <to>
      <col>2</col>
      <colOff>381000</colOff>
      <row>2</row>
      <rowOff>160020</rowOff>
    </to>
    <pic>
      <nvPicPr>
        <cNvPr id="6" name="Picture 5" descr="D:\CSE-Office-12-19\bit-logo-may2020.jpg"/>
        <cNvPicPr/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42975" y="0"/>
          <a:ext cx="771525" cy="7391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2</col>
      <colOff>1</colOff>
      <row>12</row>
      <rowOff>76199</rowOff>
    </from>
    <to>
      <col>12</col>
      <colOff>285750</colOff>
      <row>31</row>
      <rowOff>19050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624841</colOff>
      <row>0</row>
      <rowOff>45721</rowOff>
    </from>
    <to>
      <col>2</col>
      <colOff>708660</colOff>
      <row>2</row>
      <rowOff>175260</rowOff>
    </to>
    <pic>
      <nvPicPr>
        <cNvPr id="2" name="Picture 1" descr="D:\CSE-Office-12-19\bit-logo-may2020.jpg"/>
        <cNvPicPr/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24841" y="45721"/>
          <a:ext cx="708659" cy="76961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350520</colOff>
      <row>0</row>
      <rowOff>38100</rowOff>
    </from>
    <to>
      <col>1</col>
      <colOff>419100</colOff>
      <row>2</row>
      <rowOff>182880</rowOff>
    </to>
    <pic>
      <nvPicPr>
        <cNvPr id="2" name="Picture 1" descr="D:\CSE-Office-12-19\bit-logo-may2020.jp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50520" y="38100"/>
          <a:ext cx="739140" cy="7543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16</col>
      <colOff>216177</colOff>
      <row>0</row>
      <rowOff>127553</rowOff>
    </from>
    <to>
      <col>84</col>
      <colOff>12424</colOff>
      <row>3</row>
      <rowOff>106101</rowOff>
    </to>
    <pic>
      <nvPicPr>
        <cNvPr id="2" name="Picture 1" descr="D:\CSE-Office-12-19\bit-logo-may2020.jp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31452" y="127553"/>
          <a:ext cx="726799" cy="83579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12"/>
  <sheetViews>
    <sheetView tabSelected="1" topLeftCell="A6" zoomScaleNormal="100" workbookViewId="0">
      <selection activeCell="C7" sqref="C7"/>
    </sheetView>
  </sheetViews>
  <sheetFormatPr baseColWidth="8" defaultColWidth="12.625" defaultRowHeight="15" customHeight="1"/>
  <cols>
    <col width="6" customWidth="1" style="1" min="1" max="1"/>
    <col width="12.25" customWidth="1" style="1" min="2" max="2"/>
    <col width="32.375" customWidth="1" style="1" min="3" max="3"/>
    <col width="3.875" customWidth="1" style="17" min="4" max="4"/>
    <col width="4" customWidth="1" style="20" min="5" max="5"/>
    <col width="4.125" customWidth="1" style="20" min="6" max="10"/>
    <col width="4.125" customWidth="1" style="1" min="11" max="13"/>
    <col width="4.125" customWidth="1" style="20" min="14" max="18"/>
    <col width="4.125" customWidth="1" style="1" min="19" max="20"/>
    <col width="4.875" customWidth="1" style="1" min="21" max="21"/>
    <col width="4.125" customWidth="1" style="1" min="22" max="23"/>
    <col width="4.375" customWidth="1" style="1" min="24" max="24"/>
    <col width="4.125" customWidth="1" style="1" min="25" max="33"/>
    <col width="3.625" customWidth="1" style="1" min="34" max="34"/>
    <col width="4.125" customWidth="1" style="1" min="35" max="38"/>
    <col width="4.75" customWidth="1" style="1" min="39" max="39"/>
    <col width="4.125" customWidth="1" style="1" min="40" max="78"/>
    <col width="6.75" customWidth="1" style="1" min="79" max="79"/>
    <col width="5.625" customWidth="1" style="20" min="80" max="80"/>
    <col width="5.625" customWidth="1" style="1" min="81" max="82"/>
    <col width="5.625" customWidth="1" style="20" min="83" max="84"/>
    <col width="5.625" customWidth="1" style="1" min="85" max="86"/>
    <col width="10.25" customWidth="1" style="1" min="87" max="87"/>
    <col width="5.625" customWidth="1" style="1" min="88" max="109"/>
    <col width="12.625" customWidth="1" style="1" min="110" max="16384"/>
  </cols>
  <sheetData>
    <row r="1" ht="21" customHeight="1">
      <c r="A1" s="98" t="inlineStr">
        <is>
          <t>BANGALORE INSTITUTE OF TECHNOLOGY</t>
        </is>
      </c>
    </row>
    <row r="2" ht="29.25" customHeight="1">
      <c r="A2" s="99" t="inlineStr">
        <is>
          <t xml:space="preserve">(Affiliated to Visvesvaraya Technological University, Belagavi, Recognised by AICTE, New Delhi)
K.R. Road, V.V. Pura, Bengaluru – 560 004. Phone: 26613237/26615865   Fax: 22426796
</t>
        </is>
      </c>
    </row>
    <row r="3" ht="13.5" customHeight="1">
      <c r="A3" s="101" t="inlineStr">
        <is>
          <t>Provisional Results of Second Semester 2022 Batch Examination for the Academic year 2023-24 (Sep/Oct 2023)</t>
        </is>
      </c>
    </row>
    <row r="4" ht="23.25" customHeight="1">
      <c r="A4" s="98" t="inlineStr">
        <is>
          <t>Department of CSE-Data Science</t>
        </is>
      </c>
    </row>
    <row r="5" ht="30" customHeight="1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  <c r="Q5" s="98" t="n"/>
      <c r="R5" s="98" t="n"/>
      <c r="S5" s="98" t="n"/>
      <c r="T5" s="98" t="n"/>
      <c r="U5" s="98" t="n"/>
      <c r="V5" s="98" t="n"/>
      <c r="W5" s="98" t="n"/>
      <c r="X5" s="98" t="n"/>
      <c r="Y5" s="98" t="n"/>
      <c r="Z5" s="98" t="n"/>
      <c r="AA5" s="98" t="n"/>
      <c r="AB5" s="98" t="n"/>
      <c r="AC5" s="98" t="n"/>
      <c r="AD5" s="98" t="n"/>
      <c r="AE5" s="98" t="n"/>
      <c r="AF5" s="98" t="n"/>
      <c r="AG5" s="98" t="n"/>
      <c r="AH5" s="98" t="n"/>
      <c r="AI5" s="98" t="n"/>
      <c r="AJ5" s="98" t="n"/>
      <c r="AK5" s="98" t="n"/>
      <c r="AL5" s="98" t="n"/>
      <c r="AM5" s="98" t="n"/>
      <c r="AN5" s="98" t="n"/>
      <c r="AO5" s="98" t="n"/>
      <c r="AP5" s="98" t="n"/>
      <c r="AQ5" s="98" t="n"/>
      <c r="AR5" s="98" t="n"/>
      <c r="AS5" s="98" t="n"/>
      <c r="AT5" s="98" t="n"/>
      <c r="AU5" s="98" t="n"/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n"/>
      <c r="BR5" s="98" t="n"/>
      <c r="BS5" s="98" t="n"/>
      <c r="BT5" s="98" t="n"/>
      <c r="BU5" s="98" t="n"/>
      <c r="BV5" s="98" t="n"/>
      <c r="BW5" s="98" t="n"/>
      <c r="BX5" s="98" t="n"/>
      <c r="BY5" s="98" t="n"/>
      <c r="BZ5" s="98" t="n"/>
      <c r="CA5" s="98" t="n"/>
    </row>
    <row r="6" ht="30" customHeight="1">
      <c r="A6" s="12" t="n"/>
      <c r="B6" s="12" t="n"/>
      <c r="C6" s="13" t="n"/>
      <c r="D6" s="104" t="inlineStr">
        <is>
          <t>Mathematics for CSE Stream -II           (BMATS201)</t>
        </is>
      </c>
      <c r="E6" s="112" t="n"/>
      <c r="F6" s="112" t="n"/>
      <c r="G6" s="112" t="n"/>
      <c r="H6" s="112" t="n"/>
      <c r="I6" s="112" t="n"/>
      <c r="J6" s="112" t="n"/>
      <c r="K6" s="112" t="n"/>
      <c r="L6" s="112" t="n"/>
      <c r="M6" s="14" t="n"/>
      <c r="N6" s="102" t="inlineStr">
        <is>
          <t>Chemistry for CSE Stream                (BCHES202)</t>
        </is>
      </c>
      <c r="O6" s="112" t="n"/>
      <c r="P6" s="112" t="n"/>
      <c r="Q6" s="112" t="n"/>
      <c r="R6" s="112" t="n"/>
      <c r="S6" s="112" t="n"/>
      <c r="T6" s="112" t="n"/>
      <c r="U6" s="112" t="n"/>
      <c r="W6" s="103" t="inlineStr">
        <is>
          <t>Computer-Aided Engineering Drawing (BCEDK203)</t>
        </is>
      </c>
      <c r="X6" s="112" t="n"/>
      <c r="Y6" s="112" t="n"/>
      <c r="Z6" s="112" t="n"/>
      <c r="AA6" s="112" t="n"/>
      <c r="AB6" s="112" t="n"/>
      <c r="AC6" s="112" t="n"/>
      <c r="AD6" s="112" t="n"/>
      <c r="AF6" s="102" t="inlineStr">
        <is>
          <t>Introduction to Electronics Communication               (BESCK204C)</t>
        </is>
      </c>
      <c r="AG6" s="112" t="n"/>
      <c r="AH6" s="112" t="n"/>
      <c r="AI6" s="112" t="n"/>
      <c r="AJ6" s="112" t="n"/>
      <c r="AK6" s="112" t="n"/>
      <c r="AL6" s="112" t="n"/>
      <c r="AM6" s="112" t="n"/>
      <c r="AO6" s="102" t="inlineStr">
        <is>
          <t>Introduction to Python Programming (BPLCK205B)</t>
        </is>
      </c>
      <c r="AP6" s="112" t="n"/>
      <c r="AQ6" s="112" t="n"/>
      <c r="AR6" s="112" t="n"/>
      <c r="AS6" s="112" t="n"/>
      <c r="AT6" s="112" t="n"/>
      <c r="AU6" s="112" t="n"/>
      <c r="AV6" s="112" t="n"/>
      <c r="AX6" s="102" t="inlineStr">
        <is>
          <t>Professional Writing Skills in English (BPWSK206)</t>
        </is>
      </c>
      <c r="AY6" s="112" t="n"/>
      <c r="AZ6" s="112" t="n"/>
      <c r="BA6" s="112" t="n"/>
      <c r="BB6" s="112" t="n"/>
      <c r="BC6" s="112" t="n"/>
      <c r="BD6" s="112" t="n"/>
      <c r="BE6" s="112" t="n"/>
      <c r="BG6" s="102" t="inlineStr">
        <is>
          <t xml:space="preserve">Samskrutika Kannada / Balake Kannada (BKSKK207 / BKBKK207) </t>
        </is>
      </c>
      <c r="BH6" s="112" t="n"/>
      <c r="BI6" s="112" t="n"/>
      <c r="BJ6" s="112" t="n"/>
      <c r="BK6" s="112" t="n"/>
      <c r="BL6" s="112" t="n"/>
      <c r="BM6" s="112" t="n"/>
      <c r="BN6" s="112" t="n"/>
      <c r="BP6" s="102" t="inlineStr">
        <is>
          <t>Scientific Foundations of Health (BSFHK2058)</t>
        </is>
      </c>
      <c r="BQ6" s="112" t="n"/>
      <c r="BR6" s="112" t="n"/>
      <c r="BS6" s="112" t="n"/>
      <c r="BT6" s="112" t="n"/>
      <c r="BU6" s="112" t="n"/>
      <c r="BV6" s="112" t="n"/>
      <c r="BW6" s="112" t="n"/>
      <c r="BX6" s="20" t="n"/>
    </row>
    <row r="7" ht="30" customHeight="1">
      <c r="A7" s="4" t="inlineStr">
        <is>
          <t>Sl.No</t>
        </is>
      </c>
      <c r="B7" s="36" t="inlineStr">
        <is>
          <t>USN</t>
        </is>
      </c>
      <c r="C7" s="36" t="inlineStr">
        <is>
          <t>Student Name</t>
        </is>
      </c>
      <c r="D7" s="4" t="inlineStr">
        <is>
          <t>Section</t>
        </is>
      </c>
      <c r="E7" s="15" t="inlineStr">
        <is>
          <t>IN</t>
        </is>
      </c>
      <c r="F7" s="4" t="inlineStr">
        <is>
          <t>EX</t>
        </is>
      </c>
      <c r="G7" s="4" t="inlineStr">
        <is>
          <t>RV</t>
        </is>
      </c>
      <c r="H7" s="4" t="inlineStr">
        <is>
          <t>T</t>
        </is>
      </c>
      <c r="I7" s="4" t="inlineStr">
        <is>
          <t>CR</t>
        </is>
      </c>
      <c r="J7" s="4" t="inlineStr">
        <is>
          <t>GP</t>
        </is>
      </c>
      <c r="K7" s="4" t="inlineStr">
        <is>
          <t>GR</t>
        </is>
      </c>
      <c r="L7" s="16" t="inlineStr">
        <is>
          <t>CR*GP</t>
        </is>
      </c>
      <c r="M7" s="17" t="n"/>
      <c r="N7" s="15" t="inlineStr">
        <is>
          <t>IN</t>
        </is>
      </c>
      <c r="O7" s="4" t="inlineStr">
        <is>
          <t>EX</t>
        </is>
      </c>
      <c r="P7" s="4" t="inlineStr">
        <is>
          <t>RV</t>
        </is>
      </c>
      <c r="Q7" s="4" t="inlineStr">
        <is>
          <t>T</t>
        </is>
      </c>
      <c r="R7" s="4" t="inlineStr">
        <is>
          <t>CR</t>
        </is>
      </c>
      <c r="S7" s="4" t="inlineStr">
        <is>
          <t>GP</t>
        </is>
      </c>
      <c r="T7" s="4" t="inlineStr">
        <is>
          <t>GR</t>
        </is>
      </c>
      <c r="U7" s="16" t="inlineStr">
        <is>
          <t>CR*GP</t>
        </is>
      </c>
      <c r="V7" s="17" t="n"/>
      <c r="W7" s="15" t="inlineStr">
        <is>
          <t>IA</t>
        </is>
      </c>
      <c r="X7" s="4" t="inlineStr">
        <is>
          <t>EX</t>
        </is>
      </c>
      <c r="Y7" s="4" t="inlineStr">
        <is>
          <t>RV</t>
        </is>
      </c>
      <c r="Z7" s="4" t="inlineStr">
        <is>
          <t>T</t>
        </is>
      </c>
      <c r="AA7" s="4" t="inlineStr">
        <is>
          <t>CR</t>
        </is>
      </c>
      <c r="AB7" s="4" t="inlineStr">
        <is>
          <t>GP</t>
        </is>
      </c>
      <c r="AC7" s="4" t="inlineStr">
        <is>
          <t>GR</t>
        </is>
      </c>
      <c r="AD7" s="16" t="inlineStr">
        <is>
          <t>CR*GP</t>
        </is>
      </c>
      <c r="AE7" s="17" t="n"/>
      <c r="AF7" s="15" t="inlineStr">
        <is>
          <t>IA</t>
        </is>
      </c>
      <c r="AG7" s="4" t="inlineStr">
        <is>
          <t>EX</t>
        </is>
      </c>
      <c r="AH7" s="4" t="inlineStr">
        <is>
          <t>RV</t>
        </is>
      </c>
      <c r="AI7" s="4" t="inlineStr">
        <is>
          <t>T</t>
        </is>
      </c>
      <c r="AJ7" s="4" t="inlineStr">
        <is>
          <t>CR</t>
        </is>
      </c>
      <c r="AK7" s="4" t="inlineStr">
        <is>
          <t>GP</t>
        </is>
      </c>
      <c r="AL7" s="4" t="inlineStr">
        <is>
          <t>GR</t>
        </is>
      </c>
      <c r="AM7" s="16" t="inlineStr">
        <is>
          <t>CR*GP</t>
        </is>
      </c>
      <c r="AN7" s="17" t="n"/>
      <c r="AO7" s="15" t="inlineStr">
        <is>
          <t>IA</t>
        </is>
      </c>
      <c r="AP7" s="4" t="inlineStr">
        <is>
          <t>EX</t>
        </is>
      </c>
      <c r="AQ7" s="4" t="inlineStr">
        <is>
          <t>RV</t>
        </is>
      </c>
      <c r="AR7" s="4" t="inlineStr">
        <is>
          <t>T</t>
        </is>
      </c>
      <c r="AS7" s="4" t="inlineStr">
        <is>
          <t>CR</t>
        </is>
      </c>
      <c r="AT7" s="4" t="inlineStr">
        <is>
          <t>GP</t>
        </is>
      </c>
      <c r="AU7" s="4" t="inlineStr">
        <is>
          <t>GR</t>
        </is>
      </c>
      <c r="AV7" s="16" t="inlineStr">
        <is>
          <t>CR*GP</t>
        </is>
      </c>
      <c r="AW7" s="17" t="n"/>
      <c r="AX7" s="15" t="inlineStr">
        <is>
          <t>IA</t>
        </is>
      </c>
      <c r="AY7" s="4" t="inlineStr">
        <is>
          <t>EX</t>
        </is>
      </c>
      <c r="AZ7" s="4" t="inlineStr">
        <is>
          <t>RV</t>
        </is>
      </c>
      <c r="BA7" s="4" t="inlineStr">
        <is>
          <t>T</t>
        </is>
      </c>
      <c r="BB7" s="4" t="inlineStr">
        <is>
          <t>CR</t>
        </is>
      </c>
      <c r="BC7" s="4" t="inlineStr">
        <is>
          <t>GP</t>
        </is>
      </c>
      <c r="BD7" s="4" t="inlineStr">
        <is>
          <t>GR</t>
        </is>
      </c>
      <c r="BE7" s="16" t="inlineStr">
        <is>
          <t>CR*GP</t>
        </is>
      </c>
      <c r="BF7" s="17" t="n"/>
      <c r="BG7" s="15" t="inlineStr">
        <is>
          <t>IA</t>
        </is>
      </c>
      <c r="BH7" s="4" t="inlineStr">
        <is>
          <t>EX</t>
        </is>
      </c>
      <c r="BI7" s="4" t="inlineStr">
        <is>
          <t>RV</t>
        </is>
      </c>
      <c r="BJ7" s="4" t="inlineStr">
        <is>
          <t>T</t>
        </is>
      </c>
      <c r="BK7" s="4" t="inlineStr">
        <is>
          <t>CR</t>
        </is>
      </c>
      <c r="BL7" s="4" t="inlineStr">
        <is>
          <t>GP</t>
        </is>
      </c>
      <c r="BM7" s="4" t="inlineStr">
        <is>
          <t>GR</t>
        </is>
      </c>
      <c r="BN7" s="16" t="inlineStr">
        <is>
          <t>CR*GP</t>
        </is>
      </c>
      <c r="BO7" s="17" t="n"/>
      <c r="BP7" s="15" t="inlineStr">
        <is>
          <t>IA</t>
        </is>
      </c>
      <c r="BQ7" s="4" t="inlineStr">
        <is>
          <t>EX</t>
        </is>
      </c>
      <c r="BR7" s="4" t="inlineStr">
        <is>
          <t>RV</t>
        </is>
      </c>
      <c r="BS7" s="4" t="inlineStr">
        <is>
          <t>T</t>
        </is>
      </c>
      <c r="BT7" s="4" t="inlineStr">
        <is>
          <t>CR</t>
        </is>
      </c>
      <c r="BU7" s="4" t="inlineStr">
        <is>
          <t>GP</t>
        </is>
      </c>
      <c r="BV7" s="4" t="inlineStr">
        <is>
          <t>GR</t>
        </is>
      </c>
      <c r="BW7" s="16" t="inlineStr">
        <is>
          <t>CR*GP</t>
        </is>
      </c>
      <c r="BX7" s="16" t="n"/>
      <c r="BY7" s="17" t="n"/>
      <c r="BZ7" s="17" t="n"/>
      <c r="CA7" s="17" t="inlineStr">
        <is>
          <t>SGPA</t>
        </is>
      </c>
      <c r="CB7" s="48" t="inlineStr">
        <is>
          <t>Final Grade</t>
        </is>
      </c>
      <c r="CC7" s="23" t="inlineStr">
        <is>
          <t>Percentage</t>
        </is>
      </c>
      <c r="CE7" s="48" t="inlineStr">
        <is>
          <t>Total Marks</t>
        </is>
      </c>
      <c r="CF7" s="48" t="inlineStr">
        <is>
          <t>Percentage</t>
        </is>
      </c>
    </row>
    <row r="8" ht="15.75" customHeight="1">
      <c r="A8" s="35" t="n">
        <v>1</v>
      </c>
      <c r="B8" s="85" t="inlineStr">
        <is>
          <t>1bi23cd001</t>
        </is>
      </c>
      <c r="C8" s="85" t="inlineStr">
        <is>
          <t>ALTAF MAKASHI</t>
        </is>
      </c>
      <c r="D8" s="47" t="inlineStr">
        <is>
          <t>D</t>
        </is>
      </c>
      <c r="E8" s="9" t="n">
        <v>37</v>
      </c>
      <c r="F8" s="9" t="n">
        <v>47</v>
      </c>
      <c r="G8" s="9" t="n"/>
      <c r="H8" s="18">
        <f>SUM(E8:F8)</f>
        <v/>
      </c>
      <c r="I8" s="18" t="n">
        <v>4</v>
      </c>
      <c r="J8" s="18">
        <f>IF(F8&lt;=17,"0",IF(H8&lt;=39,"0",IF(H8&lt;=49,"4",IF(H8&lt;=54,"5",IF(H8&lt;=59,"6",IF(H8&lt;=69,"7",IF(H8&lt;=79,"8",IF(H8&lt;=89,"9","10"))))))))</f>
        <v/>
      </c>
      <c r="K8" s="18">
        <f>IF(F8&lt;=17,"F",IF(H8&lt;=39,"F",IF(H8&lt;=49,"P",IF(H8&lt;=54,"C",IF(H8&lt;=59,"B",IF(H8&lt;=69,"B+",IF(H8&lt;=79,"A",IF(H8&lt;=89,"A+","O"))))))))</f>
        <v/>
      </c>
      <c r="L8" s="18">
        <f>I8*J8</f>
        <v/>
      </c>
      <c r="M8" s="18" t="n"/>
      <c r="N8" s="9" t="n">
        <v>31</v>
      </c>
      <c r="O8" s="9" t="n">
        <v>47</v>
      </c>
      <c r="P8" s="9" t="n"/>
      <c r="Q8" s="18">
        <f>SUM(N8:O8)</f>
        <v/>
      </c>
      <c r="R8" s="18" t="n">
        <v>4</v>
      </c>
      <c r="S8" s="18">
        <f>IF(O8&lt;=17,"0",IF(Q8&lt;=39,"4",IF(Q8&lt;=49,"4",IF(Q8&lt;=54,"5",IF(Q8&lt;=59,"6",IF(Q8&lt;=69,"7",IF(Q8&lt;=79,"8",IF(Q8&lt;=89,"9","10"))))))))</f>
        <v/>
      </c>
      <c r="T8" s="18">
        <f>IF(O8&lt;=17,"F",IF(Q8&lt;=39,"F",IF(Q8&lt;=49,"P",IF(Q8&lt;=54,"C",IF(Q8&lt;=59,"B",IF(Q8&lt;=69,"B+",IF(Q8&lt;=79,"A",IF(Q8&lt;=89,"A+","O"))))))))</f>
        <v/>
      </c>
      <c r="U8" s="18">
        <f>R8*S8</f>
        <v/>
      </c>
      <c r="V8" s="18" t="n"/>
      <c r="W8" s="9" t="n">
        <v>47</v>
      </c>
      <c r="X8" s="9" t="n">
        <v>45</v>
      </c>
      <c r="Y8" s="18" t="n"/>
      <c r="Z8" s="18">
        <f>SUM(W8:X8)</f>
        <v/>
      </c>
      <c r="AA8" s="18" t="n">
        <v>3</v>
      </c>
      <c r="AB8" s="18">
        <f>IF(X8&lt;=17,"0",IF(Z8&lt;=39,"0",IF(Z8&lt;=49,"4",IF(Z8&lt;=54,"5",IF(Z8&lt;=59,"6",IF(Z8&lt;=69,"7",IF(Z8&lt;=79,"8",IF(Z8&lt;=89,"9","10"))))))))</f>
        <v/>
      </c>
      <c r="AC8" s="18">
        <f>IF(X8&lt;=17,"F",IF(Z8&lt;=39,"F",IF(Z8&lt;=49,"P",IF(Z8&lt;=54,"C",IF(Z8&lt;=59,"B",IF(Z8&lt;=69,"B+",IF(Z8&lt;=79,"A",IF(Z8&lt;=89,"A+","O"))))))))</f>
        <v/>
      </c>
      <c r="AD8" s="18">
        <f>AA8*AB8</f>
        <v/>
      </c>
      <c r="AE8" s="18" t="n"/>
      <c r="AF8" s="46" t="n">
        <v>31</v>
      </c>
      <c r="AG8" s="46" t="n">
        <v>40</v>
      </c>
      <c r="AH8" s="9" t="n"/>
      <c r="AI8" s="18">
        <f>SUM(AF8:AG8)</f>
        <v/>
      </c>
      <c r="AJ8" s="18" t="n">
        <v>3</v>
      </c>
      <c r="AK8" s="18">
        <f>IF(AG8&lt;=17,"0",IF(AI8&lt;=39,"0",IF(AI8&lt;=49,"4",IF(AI8&lt;=54,"5",IF(AI8&lt;=59,"6",IF(AI8&lt;=69,"7",IF(AI8&lt;=79,"8",IF(AI8&lt;=89,"9","10"))))))))</f>
        <v/>
      </c>
      <c r="AL8" s="18">
        <f>IF(AG8&lt;=17,"F",IF(AI8&lt;=39,"F",IF(AI8&lt;=49,"P",IF(AI8&lt;=54,"C",IF(AI8&lt;=59,"B",IF(AI8&lt;=69,"B+",IF(AI8&lt;=79,"A",IF(AI8&lt;=89,"A+","O"))))))))</f>
        <v/>
      </c>
      <c r="AM8" s="18">
        <f>AJ8*AK8</f>
        <v/>
      </c>
      <c r="AN8" s="18" t="n"/>
      <c r="AO8" s="46" t="n">
        <v>29</v>
      </c>
      <c r="AP8" s="46" t="n">
        <v>47</v>
      </c>
      <c r="AQ8" s="9" t="n"/>
      <c r="AR8" s="18">
        <f>(AO8+AP8)</f>
        <v/>
      </c>
      <c r="AS8" s="18" t="n">
        <v>3</v>
      </c>
      <c r="AT8" s="18">
        <f>IF(AP8&lt;=17,"0",IF(AR8&lt;=39,"0",IF(AR8&lt;=49,"4",IF(AR8&lt;=54,"5",IF(AR8&lt;=59,"6",IF(AR8&lt;=69,"7",IF(AR8&lt;=79,"8",IF(AR8&lt;=89,"9","10"))))))))</f>
        <v/>
      </c>
      <c r="AU8" s="18">
        <f>IF(AP8&lt;=17,"F",IF(AR8&lt;=39,"F",IF(AR8&lt;=49,"P",IF(AR8&lt;=54,"C",IF(AR8&lt;=59,"B",IF(AR8&lt;=69,"B+",IF(AR8&lt;=79,"A",IF(AR8&lt;=89,"A+","O"))))))))</f>
        <v/>
      </c>
      <c r="AV8" s="18">
        <f>AS8*AT8</f>
        <v/>
      </c>
      <c r="AW8" s="18" t="n"/>
      <c r="AX8" s="9" t="n">
        <v>41</v>
      </c>
      <c r="AY8" s="9" t="n">
        <v>47</v>
      </c>
      <c r="AZ8" s="9" t="n"/>
      <c r="BA8" s="18">
        <f>(AX8+AY8)</f>
        <v/>
      </c>
      <c r="BB8" s="18" t="n">
        <v>1</v>
      </c>
      <c r="BC8" s="18">
        <f>IF(AY8&lt;=17,"0",IF(BA8&lt;=39,"0",IF(BA8&lt;=49,"4",IF(BA8&lt;=54,"5",IF(BA8&lt;=59,"6",IF(BA8&lt;=69,"7",IF(BA8&lt;=79,"8",IF(BA8&lt;=89,"9","10"))))))))</f>
        <v/>
      </c>
      <c r="BD8" s="18">
        <f>IF(AY8&lt;=17,"F",IF(BA8&lt;=39,"F",IF(BA8&lt;=49,"P",IF(BA8&lt;=54,"C",IF(BA8&lt;=59,"B",IF(BA8&lt;=69,"B+",IF(BA8&lt;=79,"A",IF(BA8&lt;=89,"A+","O"))))))))</f>
        <v/>
      </c>
      <c r="BE8" s="18">
        <f>BB8*BC8</f>
        <v/>
      </c>
      <c r="BF8" s="43" t="inlineStr">
        <is>
          <t>Balake Kannada</t>
        </is>
      </c>
      <c r="BG8" s="9" t="n">
        <v>37</v>
      </c>
      <c r="BH8" s="9" t="n">
        <v>45</v>
      </c>
      <c r="BI8" s="9" t="n"/>
      <c r="BJ8" s="18">
        <f>(BG8+BH8)</f>
        <v/>
      </c>
      <c r="BK8" s="18" t="n">
        <v>1</v>
      </c>
      <c r="BL8" s="18">
        <f>IF(BH8&lt;=17,"0",IF(BJ8&lt;=39,"0",IF(BJ8&lt;=49,"4",IF(BJ8&lt;=54,"5",IF(BJ8&lt;=59,"6",IF(BJ8&lt;=69,"7",IF(BJ8&lt;=79,"8",IF(BJ8&lt;=89,"9","10"))))))))</f>
        <v/>
      </c>
      <c r="BM8" s="18">
        <f>IF(BH8&lt;=17,"F",IF(BJ8&lt;=39,"F",IF(BJ8&lt;=49,"P",IF(BJ8&lt;=54,"C",IF(BJ8&lt;=59,"B",IF(BJ8&lt;=69,"B+",IF(BJ8&lt;=79,"A",IF(BJ8&lt;=89,"A+","O"))))))))</f>
        <v/>
      </c>
      <c r="BN8" s="18">
        <f>BK8*BL8</f>
        <v/>
      </c>
      <c r="BO8" s="18" t="n"/>
      <c r="BP8" s="9" t="n">
        <v>23</v>
      </c>
      <c r="BQ8" s="9" t="n">
        <v>639</v>
      </c>
      <c r="BR8" s="9" t="n"/>
      <c r="BS8" s="18">
        <f>(BP8+BQ8)</f>
        <v/>
      </c>
      <c r="BT8" s="18" t="n">
        <v>1</v>
      </c>
      <c r="BU8" s="18">
        <f>IF(BQ8&lt;=17,"0",IF(BS8&lt;=39,"0",IF(BS8&lt;=49,"4",IF(BS8&lt;=54,"5",IF(BS8&lt;=59,"6",IF(BS8&lt;=69,"7",IF(BS8&lt;=79,"8",IF(BS8&lt;=89,"9","10"))))))))</f>
        <v/>
      </c>
      <c r="BV8" s="18">
        <f>IF(BQ8&lt;=17,"F",IF(BS8&lt;=39,"F",IF(BS8&lt;=49,"P",IF(BS8&lt;=54,"C",IF(BS8&lt;=59,"B",IF(BS8&lt;=69,"B+",IF(BS8&lt;=79,"A",IF(BS8&lt;=89,"A+","O"))))))))</f>
        <v/>
      </c>
      <c r="BW8" s="18">
        <f>BT8*BU8</f>
        <v/>
      </c>
      <c r="BX8" s="18" t="n"/>
      <c r="BY8" s="18" t="n"/>
      <c r="BZ8" s="18">
        <f>L8+U8+AD8+AM8+AV8+BE8+BN8+BW8</f>
        <v/>
      </c>
      <c r="CA8" s="19">
        <f>BZ8/20</f>
        <v/>
      </c>
      <c r="CB8" s="28">
        <f>IF(CA8&lt;4,"F",IF(BV8="F","F",IF(BM8="F","F",IF(BD8="F","F",IF(AU8="F","F",IF(AL8="F","F",IF(AC8="F","F",IF(T8="F","F",IF(K8="F","F",IF(CA8&lt;=5,"C",IF(CA8&lt;6,"B",IF(CA8&lt;7,"B+",IF(CA8&lt;8,"A",IF(CA8&lt;=9,"A+","O"))))))))))))))</f>
        <v/>
      </c>
      <c r="CC8" s="27">
        <f>CA8*9.5</f>
        <v/>
      </c>
      <c r="CD8" s="27" t="n"/>
      <c r="CE8" s="28">
        <f>SUM(BS8,BJ8,BA8,AR8,AI8,Z8,Q8,H8)</f>
        <v/>
      </c>
      <c r="CF8" s="28">
        <f>(CE8/800)*100</f>
        <v/>
      </c>
      <c r="CG8" s="27" t="n"/>
      <c r="CH8" s="27" t="n"/>
      <c r="CI8" s="27">
        <f>IF(CA8&lt;=4,"F",IF(CA8&lt;=6,"PASS",IF(CA8&lt;=6.5,"SC",IF(CA8&lt;=7.5,"FC",IF(CA8&lt;="10","FCD")))))</f>
        <v/>
      </c>
    </row>
    <row r="9" ht="15.75" customHeight="1">
      <c r="A9" s="35">
        <f>A8+1</f>
        <v/>
      </c>
      <c r="B9" s="85" t="inlineStr">
        <is>
          <t>1bi23cd002</t>
        </is>
      </c>
      <c r="C9" s="85" t="inlineStr">
        <is>
          <t>ANJALI M</t>
        </is>
      </c>
      <c r="D9" s="47" t="inlineStr">
        <is>
          <t>D</t>
        </is>
      </c>
      <c r="E9" s="53" t="n">
        <v>43</v>
      </c>
      <c r="F9" s="53" t="n">
        <v>49</v>
      </c>
      <c r="G9" s="9" t="n"/>
      <c r="H9" s="18">
        <f>SUM(E9:F9)</f>
        <v/>
      </c>
      <c r="I9" s="18" t="n">
        <v>4</v>
      </c>
      <c r="J9" s="18">
        <f>IF(F9&lt;=17,"0",IF(H9&lt;=39,"0",IF(H9&lt;=49,"4",IF(H9&lt;=54,"5",IF(H9&lt;=59,"6",IF(H9&lt;=69,"7",IF(H9&lt;=79,"8",IF(H9&lt;=89,"9","10"))))))))</f>
        <v/>
      </c>
      <c r="K9" s="18">
        <f>IF(F9&lt;=17,"F",IF(H9&lt;=39,"F",IF(H9&lt;=49,"P",IF(H9&lt;=54,"C",IF(H9&lt;=59,"B",IF(H9&lt;=69,"B+",IF(H9&lt;=79,"A",IF(H9&lt;=89,"A+","O"))))))))</f>
        <v/>
      </c>
      <c r="L9" s="18">
        <f>I9*J9</f>
        <v/>
      </c>
      <c r="M9" s="18" t="n"/>
      <c r="N9" s="9" t="n">
        <v>45</v>
      </c>
      <c r="O9" s="9" t="n">
        <v>50</v>
      </c>
      <c r="P9" s="9" t="n"/>
      <c r="Q9" s="18">
        <f>SUM(N9:O9)</f>
        <v/>
      </c>
      <c r="R9" s="18" t="n">
        <v>4</v>
      </c>
      <c r="S9" s="18">
        <f>IF(O9&lt;=17,"0",IF(Q9&lt;=39,"4",IF(Q9&lt;=49,"4",IF(Q9&lt;=54,"5",IF(Q9&lt;=59,"6",IF(Q9&lt;=69,"7",IF(Q9&lt;=79,"8",IF(Q9&lt;=89,"9","10"))))))))</f>
        <v/>
      </c>
      <c r="T9" s="18">
        <f>IF(O9&lt;=17,"F",IF(Q9&lt;=39,"F",IF(Q9&lt;=49,"P",IF(Q9&lt;=54,"C",IF(Q9&lt;=59,"B",IF(Q9&lt;=69,"B+",IF(Q9&lt;=79,"A",IF(Q9&lt;=89,"A+","O"))))))))</f>
        <v/>
      </c>
      <c r="U9" s="18">
        <f>R9*S9</f>
        <v/>
      </c>
      <c r="V9" s="18" t="n"/>
      <c r="W9" s="9" t="n">
        <v>48</v>
      </c>
      <c r="X9" s="9" t="n">
        <v>49</v>
      </c>
      <c r="Y9" s="18" t="n"/>
      <c r="Z9" s="18">
        <f>SUM(W9:X9)</f>
        <v/>
      </c>
      <c r="AA9" s="18" t="n">
        <v>3</v>
      </c>
      <c r="AB9" s="18">
        <f>IF(X9&lt;=17,"0",IF(Z9&lt;=39,"0",IF(Z9&lt;=49,"4",IF(Z9&lt;=54,"5",IF(Z9&lt;=59,"6",IF(Z9&lt;=69,"7",IF(Z9&lt;=79,"8",IF(Z9&lt;=89,"9","10"))))))))</f>
        <v/>
      </c>
      <c r="AC9" s="18">
        <f>IF(X9&lt;=17,"F",IF(Z9&lt;=39,"F",IF(Z9&lt;=49,"P",IF(Z9&lt;=54,"C",IF(Z9&lt;=59,"B",IF(Z9&lt;=69,"B+",IF(Z9&lt;=79,"A",IF(Z9&lt;=89,"A+","O"))))))))</f>
        <v/>
      </c>
      <c r="AD9" s="18">
        <f>AA9*AB9</f>
        <v/>
      </c>
      <c r="AE9" s="18" t="n"/>
      <c r="AF9" s="46" t="n">
        <v>38</v>
      </c>
      <c r="AG9" s="46" t="n">
        <v>45</v>
      </c>
      <c r="AH9" s="9" t="n"/>
      <c r="AI9" s="18">
        <f>SUM(AF9:AG9)</f>
        <v/>
      </c>
      <c r="AJ9" s="18" t="n">
        <v>3</v>
      </c>
      <c r="AK9" s="18">
        <f>IF(AG9&lt;=17,"0",IF(AI9&lt;=39,"0",IF(AI9&lt;=49,"4",IF(AI9&lt;=54,"5",IF(AI9&lt;=59,"6",IF(AI9&lt;=69,"7",IF(AI9&lt;=79,"8",IF(AI9&lt;=89,"9","10"))))))))</f>
        <v/>
      </c>
      <c r="AL9" s="18">
        <f>IF(AG9&lt;=17,"F",IF(AI9&lt;=39,"F",IF(AI9&lt;=49,"P",IF(AI9&lt;=54,"C",IF(AI9&lt;=59,"B",IF(AI9&lt;=69,"B+",IF(AI9&lt;=79,"A",IF(AI9&lt;=89,"A+","O"))))))))</f>
        <v/>
      </c>
      <c r="AM9" s="18">
        <f>AJ9*AK9</f>
        <v/>
      </c>
      <c r="AO9" s="9" t="n">
        <v>30</v>
      </c>
      <c r="AP9" s="46" t="n">
        <v>49</v>
      </c>
      <c r="AQ9" s="9" t="n"/>
      <c r="AR9" s="18">
        <f>(AO9+AP9)</f>
        <v/>
      </c>
      <c r="AS9" s="18" t="n">
        <v>3</v>
      </c>
      <c r="AT9" s="18">
        <f>IF(AP9&lt;=17,"0",IF(AR9&lt;=39,"0",IF(AR9&lt;=49,"4",IF(AR9&lt;=54,"5",IF(AR9&lt;=59,"6",IF(AR9&lt;=69,"7",IF(AR9&lt;=79,"8",IF(AR9&lt;=89,"9","10"))))))))</f>
        <v/>
      </c>
      <c r="AU9" s="18">
        <f>IF(AP9&lt;=17,"F",IF(AR9&lt;=39,"F",IF(AR9&lt;=49,"P",IF(AR9&lt;=54,"C",IF(AR9&lt;=59,"B",IF(AR9&lt;=69,"B+",IF(AR9&lt;=79,"A",IF(AR9&lt;=89,"A+","O"))))))))</f>
        <v/>
      </c>
      <c r="AV9" s="18">
        <f>AS9*AT9</f>
        <v/>
      </c>
      <c r="AW9" s="18" t="n"/>
      <c r="AX9" s="9" t="n">
        <v>42</v>
      </c>
      <c r="AY9" s="9" t="n">
        <v>50</v>
      </c>
      <c r="AZ9" s="9" t="n"/>
      <c r="BA9" s="18">
        <f>(AX9+AY9)</f>
        <v/>
      </c>
      <c r="BB9" s="18" t="n">
        <v>1</v>
      </c>
      <c r="BC9" s="18">
        <f>IF(AY9&lt;=17,"0",IF(BA9&lt;=39,"0",IF(BA9&lt;=49,"4",IF(BA9&lt;=54,"5",IF(BA9&lt;=59,"6",IF(BA9&lt;=69,"7",IF(BA9&lt;=79,"8",IF(BA9&lt;=89,"9","10"))))))))</f>
        <v/>
      </c>
      <c r="BD9" s="18">
        <f>IF(AY9&lt;=17,"F",IF(BA9&lt;=39,"F",IF(BA9&lt;=49,"P",IF(BA9&lt;=54,"C",IF(BA9&lt;=59,"B",IF(BA9&lt;=69,"B+",IF(BA9&lt;=79,"A",IF(BA9&lt;=89,"A+","O"))))))))</f>
        <v/>
      </c>
      <c r="BE9" s="18">
        <f>BB9*BC9</f>
        <v/>
      </c>
      <c r="BF9" s="43" t="inlineStr">
        <is>
          <t>Samskrutika Kannada</t>
        </is>
      </c>
      <c r="BG9" s="9" t="n">
        <v>38</v>
      </c>
      <c r="BH9" s="9" t="n">
        <v>50</v>
      </c>
      <c r="BI9" s="9" t="n"/>
      <c r="BJ9" s="18">
        <f>(BG9+BH9)</f>
        <v/>
      </c>
      <c r="BK9" s="18" t="n">
        <v>1</v>
      </c>
      <c r="BL9" s="18">
        <f>IF(BH9&lt;=17,"0",IF(BJ9&lt;=39,"0",IF(BJ9&lt;=49,"4",IF(BJ9&lt;=54,"5",IF(BJ9&lt;=59,"6",IF(BJ9&lt;=69,"7",IF(BJ9&lt;=79,"8",IF(BJ9&lt;=89,"9","10"))))))))</f>
        <v/>
      </c>
      <c r="BM9" s="18">
        <f>IF(BH9&lt;=17,"F",IF(BJ9&lt;=39,"F",IF(BJ9&lt;=49,"P",IF(BJ9&lt;=54,"C",IF(BJ9&lt;=59,"B",IF(BJ9&lt;=69,"B+",IF(BJ9&lt;=79,"A",IF(BJ9&lt;=89,"A+","O"))))))))</f>
        <v/>
      </c>
      <c r="BN9" s="18">
        <f>BK9*BL9</f>
        <v/>
      </c>
      <c r="BO9" s="18" t="n"/>
      <c r="BP9" s="9" t="n">
        <v>38</v>
      </c>
      <c r="BQ9" s="9" t="n">
        <v>711</v>
      </c>
      <c r="BR9" s="9" t="n"/>
      <c r="BS9" s="18">
        <f>(BP9+BQ9)</f>
        <v/>
      </c>
      <c r="BT9" s="18" t="n">
        <v>1</v>
      </c>
      <c r="BU9" s="18">
        <f>IF(BQ9&lt;=17,"0",IF(BS9&lt;=39,"0",IF(BS9&lt;=49,"4",IF(BS9&lt;=54,"5",IF(BS9&lt;=59,"6",IF(BS9&lt;=69,"7",IF(BS9&lt;=79,"8",IF(BS9&lt;=89,"9","10"))))))))</f>
        <v/>
      </c>
      <c r="BV9" s="18">
        <f>IF(BQ9&lt;=17,"F",IF(BS9&lt;=39,"F",IF(BS9&lt;=49,"P",IF(BS9&lt;=54,"C",IF(BS9&lt;=59,"B",IF(BS9&lt;=69,"B+",IF(BS9&lt;=79,"A",IF(BS9&lt;=89,"A+","O"))))))))</f>
        <v/>
      </c>
      <c r="BW9" s="18">
        <f>BT9*BU9</f>
        <v/>
      </c>
      <c r="BX9" s="18" t="n"/>
      <c r="BY9" s="18" t="n"/>
      <c r="BZ9" s="18">
        <f>L9+U9+AD9+AM9+AV9+BE9+BN9+BW9</f>
        <v/>
      </c>
      <c r="CA9" s="19">
        <f>BZ9/20</f>
        <v/>
      </c>
      <c r="CB9" s="28">
        <f>IF(CA9&lt;4,"F",IF(BV9="F","F",IF(BM9="F","F",IF(BD9="F","F",IF(AU9="F","F",IF(AL9="F","F",IF(AC9="F","F",IF(T9="F","F",IF(K9="F","F",IF(CA9&lt;=5,"C",IF(CA9&lt;6,"B",IF(CA9&lt;7,"B+",IF(CA9&lt;8,"A",IF(CA9&lt;=9,"A+","O"))))))))))))))</f>
        <v/>
      </c>
      <c r="CC9" s="27">
        <f>CA9*9.5</f>
        <v/>
      </c>
      <c r="CD9" s="27" t="n"/>
      <c r="CE9" s="28">
        <f>SUM(BS9,BJ9,BA9,AR9,AI9,Z9,Q9,H9)</f>
        <v/>
      </c>
      <c r="CF9" s="28">
        <f>(CE9/800)*100</f>
        <v/>
      </c>
      <c r="CG9" s="27" t="n"/>
      <c r="CH9" s="27" t="n"/>
      <c r="CI9" s="27">
        <f>IF(CA9&lt;=4,"F",IF(CA9&lt;=6,"PASS",IF(CA9&lt;=6.5,"SC",IF(CA9&lt;=7.5,"FC",IF(CA9&lt;="10","FCD")))))</f>
        <v/>
      </c>
    </row>
    <row r="10" ht="15.75" customHeight="1">
      <c r="A10" s="35">
        <f>A9+1</f>
        <v/>
      </c>
      <c r="B10" s="85" t="inlineStr">
        <is>
          <t>1bi23cd003</t>
        </is>
      </c>
      <c r="C10" s="85" t="inlineStr">
        <is>
          <t>ANKIT KUMAR</t>
        </is>
      </c>
      <c r="D10" s="47" t="inlineStr">
        <is>
          <t>D</t>
        </is>
      </c>
      <c r="E10" s="9" t="n">
        <v>45</v>
      </c>
      <c r="F10" s="9" t="n">
        <v>50</v>
      </c>
      <c r="G10" s="9" t="n"/>
      <c r="H10" s="18">
        <f>SUM(E10:F10)</f>
        <v/>
      </c>
      <c r="I10" s="18" t="n">
        <v>4</v>
      </c>
      <c r="J10" s="18">
        <f>IF(F10&lt;=17,"0",IF(H10&lt;=39,"0",IF(H10&lt;=49,"4",IF(H10&lt;=54,"5",IF(H10&lt;=59,"6",IF(H10&lt;=69,"7",IF(H10&lt;=79,"8",IF(H10&lt;=89,"9","10"))))))))</f>
        <v/>
      </c>
      <c r="K10" s="18">
        <f>IF(F10&lt;=17,"F",IF(H10&lt;=39,"F",IF(H10&lt;=49,"P",IF(H10&lt;=54,"C",IF(H10&lt;=59,"B",IF(H10&lt;=69,"B+",IF(H10&lt;=79,"A",IF(H10&lt;=89,"A+","O"))))))))</f>
        <v/>
      </c>
      <c r="L10" s="18">
        <f>I10*J10</f>
        <v/>
      </c>
      <c r="M10" s="18" t="n"/>
      <c r="N10" s="9" t="n">
        <v>43</v>
      </c>
      <c r="O10" s="9" t="n">
        <v>50</v>
      </c>
      <c r="P10" s="9" t="n"/>
      <c r="Q10" s="18">
        <f>SUM(N10:O10)</f>
        <v/>
      </c>
      <c r="R10" s="18" t="n">
        <v>4</v>
      </c>
      <c r="S10" s="18">
        <f>IF(O10&lt;=17,"0",IF(Q10&lt;=39,"4",IF(Q10&lt;=49,"4",IF(Q10&lt;=54,"5",IF(Q10&lt;=59,"6",IF(Q10&lt;=69,"7",IF(Q10&lt;=79,"8",IF(Q10&lt;=89,"9","10"))))))))</f>
        <v/>
      </c>
      <c r="T10" s="18">
        <f>IF(O10&lt;=17,"F",IF(Q10&lt;=39,"F",IF(Q10&lt;=49,"P",IF(Q10&lt;=54,"C",IF(Q10&lt;=59,"B",IF(Q10&lt;=69,"B+",IF(Q10&lt;=79,"A",IF(Q10&lt;=89,"A+","O"))))))))</f>
        <v/>
      </c>
      <c r="U10" s="18">
        <f>R10*S10</f>
        <v/>
      </c>
      <c r="V10" s="18" t="n"/>
      <c r="W10" s="9" t="n">
        <v>49</v>
      </c>
      <c r="X10" s="9" t="n">
        <v>49</v>
      </c>
      <c r="Y10" s="18" t="n"/>
      <c r="Z10" s="18">
        <f>SUM(W10:X10)</f>
        <v/>
      </c>
      <c r="AA10" s="18" t="n">
        <v>3</v>
      </c>
      <c r="AB10" s="18">
        <f>IF(X10&lt;=17,"0",IF(Z10&lt;=39,"0",IF(Z10&lt;=49,"4",IF(Z10&lt;=54,"5",IF(Z10&lt;=59,"6",IF(Z10&lt;=69,"7",IF(Z10&lt;=79,"8",IF(Z10&lt;=89,"9","10"))))))))</f>
        <v/>
      </c>
      <c r="AC10" s="18">
        <f>IF(X10&lt;=17,"F",IF(Z10&lt;=39,"F",IF(Z10&lt;=49,"P",IF(Z10&lt;=54,"C",IF(Z10&lt;=59,"B",IF(Z10&lt;=69,"B+",IF(Z10&lt;=79,"A",IF(Z10&lt;=89,"A+","O"))))))))</f>
        <v/>
      </c>
      <c r="AD10" s="18">
        <f>AA10*AB10</f>
        <v/>
      </c>
      <c r="AE10" s="18" t="n"/>
      <c r="AF10" s="46" t="n">
        <v>37</v>
      </c>
      <c r="AG10" s="46" t="n">
        <v>50</v>
      </c>
      <c r="AH10" s="9" t="n"/>
      <c r="AI10" s="18">
        <f>SUM(AF10:AG10)</f>
        <v/>
      </c>
      <c r="AJ10" s="18" t="n">
        <v>3</v>
      </c>
      <c r="AK10" s="18">
        <f>IF(AG10&lt;=17,"0",IF(AI10&lt;=39,"0",IF(AI10&lt;=49,"4",IF(AI10&lt;=54,"5",IF(AI10&lt;=59,"6",IF(AI10&lt;=69,"7",IF(AI10&lt;=79,"8",IF(AI10&lt;=89,"9","10"))))))))</f>
        <v/>
      </c>
      <c r="AL10" s="18">
        <f>IF(AG10&lt;=17,"F",IF(AI10&lt;=39,"F",IF(AI10&lt;=49,"P",IF(AI10&lt;=54,"C",IF(AI10&lt;=59,"B",IF(AI10&lt;=69,"B+",IF(AI10&lt;=79,"A",IF(AI10&lt;=89,"A+","O"))))))))</f>
        <v/>
      </c>
      <c r="AM10" s="18">
        <f>AJ10*AK10</f>
        <v/>
      </c>
      <c r="AN10" s="18" t="n"/>
      <c r="AO10" s="46" t="n">
        <v>24</v>
      </c>
      <c r="AP10" s="46" t="n">
        <v>50</v>
      </c>
      <c r="AQ10" s="9" t="n"/>
      <c r="AR10" s="18">
        <f>(AO10+AP10)</f>
        <v/>
      </c>
      <c r="AS10" s="18" t="n">
        <v>3</v>
      </c>
      <c r="AT10" s="18">
        <f>IF(AP10&lt;=17,"0",IF(AR10&lt;=39,"0",IF(AR10&lt;=49,"4",IF(AR10&lt;=54,"5",IF(AR10&lt;=59,"6",IF(AR10&lt;=69,"7",IF(AR10&lt;=79,"8",IF(AR10&lt;=89,"9","10"))))))))</f>
        <v/>
      </c>
      <c r="AU10" s="18">
        <f>IF(AP10&lt;=17,"F",IF(AR10&lt;=39,"F",IF(AR10&lt;=49,"P",IF(AR10&lt;=54,"C",IF(AR10&lt;=59,"B",IF(AR10&lt;=69,"B+",IF(AR10&lt;=79,"A",IF(AR10&lt;=89,"A+","O"))))))))</f>
        <v/>
      </c>
      <c r="AV10" s="18">
        <f>AS10*AT10</f>
        <v/>
      </c>
      <c r="AW10" s="18" t="n"/>
      <c r="AX10" s="9" t="n">
        <v>44</v>
      </c>
      <c r="AY10" s="9" t="n">
        <v>50</v>
      </c>
      <c r="AZ10" s="9" t="n"/>
      <c r="BA10" s="18">
        <f>(AX10+AY10)</f>
        <v/>
      </c>
      <c r="BB10" s="18" t="n">
        <v>1</v>
      </c>
      <c r="BC10" s="18">
        <f>IF(AY10&lt;=17,"0",IF(BA10&lt;=39,"0",IF(BA10&lt;=49,"4",IF(BA10&lt;=54,"5",IF(BA10&lt;=59,"6",IF(BA10&lt;=69,"7",IF(BA10&lt;=79,"8",IF(BA10&lt;=89,"9","10"))))))))</f>
        <v/>
      </c>
      <c r="BD10" s="18">
        <f>IF(AY10&lt;=17,"F",IF(BA10&lt;=39,"F",IF(BA10&lt;=49,"P",IF(BA10&lt;=54,"C",IF(BA10&lt;=59,"B",IF(BA10&lt;=69,"B+",IF(BA10&lt;=79,"A",IF(BA10&lt;=89,"A+","O"))))))))</f>
        <v/>
      </c>
      <c r="BE10" s="18">
        <f>BB10*BC10</f>
        <v/>
      </c>
      <c r="BF10" s="43" t="inlineStr">
        <is>
          <t>Balake Kannada</t>
        </is>
      </c>
      <c r="BG10" s="9" t="n">
        <v>30</v>
      </c>
      <c r="BH10" s="9" t="n">
        <v>49</v>
      </c>
      <c r="BI10" s="9" t="n"/>
      <c r="BJ10" s="18">
        <f>(BG10+BH10)</f>
        <v/>
      </c>
      <c r="BK10" s="18" t="n">
        <v>1</v>
      </c>
      <c r="BL10" s="18">
        <f>IF(BH10&lt;=17,"0",IF(BJ10&lt;=39,"0",IF(BJ10&lt;=49,"4",IF(BJ10&lt;=54,"5",IF(BJ10&lt;=59,"6",IF(BJ10&lt;=69,"7",IF(BJ10&lt;=79,"8",IF(BJ10&lt;=89,"9","10"))))))))</f>
        <v/>
      </c>
      <c r="BM10" s="18">
        <f>IF(BH10&lt;=17,"F",IF(BJ10&lt;=39,"F",IF(BJ10&lt;=49,"P",IF(BJ10&lt;=54,"C",IF(BJ10&lt;=59,"B",IF(BJ10&lt;=69,"B+",IF(BJ10&lt;=79,"A",IF(BJ10&lt;=89,"A+","O"))))))))</f>
        <v/>
      </c>
      <c r="BN10" s="18">
        <f>BK10*BL10</f>
        <v/>
      </c>
      <c r="BO10" s="18" t="n"/>
      <c r="BP10" s="9" t="n">
        <v>27</v>
      </c>
      <c r="BQ10" s="9" t="n">
        <v>697</v>
      </c>
      <c r="BR10" s="9" t="n"/>
      <c r="BS10" s="18">
        <f>(BP10+BQ10)</f>
        <v/>
      </c>
      <c r="BT10" s="18" t="n">
        <v>1</v>
      </c>
      <c r="BU10" s="18">
        <f>IF(BQ10&lt;=17,"0",IF(BS10&lt;=39,"0",IF(BS10&lt;=49,"4",IF(BS10&lt;=54,"5",IF(BS10&lt;=59,"6",IF(BS10&lt;=69,"7",IF(BS10&lt;=79,"8",IF(BS10&lt;=89,"9","10"))))))))</f>
        <v/>
      </c>
      <c r="BV10" s="18">
        <f>IF(BQ10&lt;=17,"F",IF(BS10&lt;=39,"F",IF(BS10&lt;=49,"P",IF(BS10&lt;=54,"C",IF(BS10&lt;=59,"B",IF(BS10&lt;=69,"B+",IF(BS10&lt;=79,"A",IF(BS10&lt;=89,"A+","O"))))))))</f>
        <v/>
      </c>
      <c r="BW10" s="18">
        <f>BT10*BU10</f>
        <v/>
      </c>
      <c r="BX10" s="18" t="n"/>
      <c r="BY10" s="18" t="n"/>
      <c r="BZ10" s="18">
        <f>L10+U10+AD10+AM10+AV10+BE10+BN10+BW10</f>
        <v/>
      </c>
      <c r="CA10" s="19">
        <f>BZ10/20</f>
        <v/>
      </c>
      <c r="CB10" s="28">
        <f>IF(CA10&lt;4,"F",IF(BV10="F","F",IF(BM10="F","F",IF(BD10="F","F",IF(AU10="F","F",IF(AL10="F","F",IF(AC10="F","F",IF(T10="F","F",IF(K10="F","F",IF(CA10&lt;=5,"C",IF(CA10&lt;6,"B",IF(CA10&lt;7,"B+",IF(CA10&lt;8,"A",IF(CA10&lt;=9,"A+","O"))))))))))))))</f>
        <v/>
      </c>
      <c r="CC10" s="27">
        <f>CA10*9.5</f>
        <v/>
      </c>
      <c r="CD10" s="27" t="n"/>
      <c r="CE10" s="28">
        <f>SUM(BS10,BJ10,BA10,AR10,AI10,Z10,Q10,H10)</f>
        <v/>
      </c>
      <c r="CF10" s="28">
        <f>(CE10/800)*100</f>
        <v/>
      </c>
      <c r="CG10" s="27" t="n"/>
      <c r="CH10" s="27" t="n"/>
      <c r="CI10" s="27">
        <f>IF(CA10&lt;=4,"F",IF(CA10&lt;=6,"PASS",IF(CA10&lt;=6.5,"SC",IF(CA10&lt;=7.5,"FC",IF(CA10&lt;="10","FCD")))))</f>
        <v/>
      </c>
    </row>
    <row r="11" ht="15.75" customFormat="1" customHeight="1" s="59">
      <c r="A11" s="86">
        <f>A10+1</f>
        <v/>
      </c>
      <c r="B11" s="111" t="inlineStr">
        <is>
          <t>1bi23cd004</t>
        </is>
      </c>
      <c r="C11" s="111" t="inlineStr">
        <is>
          <t>ARYAN KASHYAP</t>
        </is>
      </c>
      <c r="D11" s="87" t="inlineStr">
        <is>
          <t>D</t>
        </is>
      </c>
      <c r="E11" s="53" t="n">
        <v>18</v>
      </c>
      <c r="F11" s="53" t="n">
        <v>32</v>
      </c>
      <c r="G11" s="88" t="n"/>
      <c r="H11" s="89">
        <f>SUM(E11:F11)</f>
        <v/>
      </c>
      <c r="I11" s="89" t="n">
        <v>4</v>
      </c>
      <c r="J11" s="89">
        <f>IF(F11&lt;=17,"0",IF(H11&lt;=39,"0",IF(H11&lt;=49,"4",IF(H11&lt;=54,"5",IF(H11&lt;=59,"6",IF(H11&lt;=69,"7",IF(H11&lt;=79,"8",IF(H11&lt;=89,"9","10"))))))))</f>
        <v/>
      </c>
      <c r="K11" s="89">
        <f>IF(F11&lt;=17,"F",IF(H11&lt;=39,"F",IF(H11&lt;=49,"P",IF(H11&lt;=54,"C",IF(H11&lt;=59,"B",IF(H11&lt;=69,"B+",IF(H11&lt;=79,"A",IF(H11&lt;=89,"A+","O"))))))))</f>
        <v/>
      </c>
      <c r="L11" s="89">
        <f>I11*J11</f>
        <v/>
      </c>
      <c r="M11" s="89" t="n"/>
      <c r="N11" s="88" t="n">
        <v>18</v>
      </c>
      <c r="O11" s="88" t="inlineStr">
        <is>
          <t>NE (10)</t>
        </is>
      </c>
      <c r="P11" s="88" t="n"/>
      <c r="Q11" s="89">
        <f>SUM(N11:O11)</f>
        <v/>
      </c>
      <c r="R11" s="89" t="n">
        <v>4</v>
      </c>
      <c r="S11" s="89">
        <f>IF(O11&lt;=17,"0",IF(Q11&lt;=39,"4",IF(Q11&lt;=49,"4",IF(Q11&lt;=54,"5",IF(Q11&lt;=59,"6",IF(Q11&lt;=69,"7",IF(Q11&lt;=79,"8",IF(Q11&lt;=89,"9","10"))))))))</f>
        <v/>
      </c>
      <c r="T11" s="89">
        <f>IF(O11&lt;=17,"F",IF(Q11&lt;=39,"F",IF(Q11&lt;=49,"P",IF(Q11&lt;=54,"C",IF(Q11&lt;=59,"B",IF(Q11&lt;=69,"B+",IF(Q11&lt;=79,"A",IF(Q11&lt;=89,"A+","O"))))))))</f>
        <v/>
      </c>
      <c r="U11" s="89">
        <f>R11*S11</f>
        <v/>
      </c>
      <c r="V11" s="89" t="n"/>
      <c r="W11" s="88" t="inlineStr">
        <is>
          <t>NE</t>
        </is>
      </c>
      <c r="X11" s="88" t="n">
        <v>43</v>
      </c>
      <c r="Y11" s="89" t="n"/>
      <c r="Z11" s="89">
        <f>SUM(W11:X11)</f>
        <v/>
      </c>
      <c r="AA11" s="89" t="n">
        <v>3</v>
      </c>
      <c r="AB11" s="89">
        <f>IF(X11&lt;=17,"0",IF(Z11&lt;=39,"0",IF(Z11&lt;=49,"4",IF(Z11&lt;=54,"5",IF(Z11&lt;=59,"6",IF(Z11&lt;=69,"7",IF(Z11&lt;=79,"8",IF(Z11&lt;=89,"9","10"))))))))</f>
        <v/>
      </c>
      <c r="AC11" s="89">
        <f>IF(X11&lt;=17,"F",IF(Z11&lt;=39,"F",IF(Z11&lt;=49,"P",IF(Z11&lt;=54,"C",IF(Z11&lt;=59,"B",IF(Z11&lt;=69,"B+",IF(Z11&lt;=79,"A",IF(Z11&lt;=89,"A+","O"))))))))</f>
        <v/>
      </c>
      <c r="AD11" s="89">
        <f>AA11*AB11</f>
        <v/>
      </c>
      <c r="AE11" s="89" t="n"/>
      <c r="AF11" s="90" t="n">
        <v>41</v>
      </c>
      <c r="AG11" s="90" t="n">
        <v>28</v>
      </c>
      <c r="AH11" s="88" t="n"/>
      <c r="AI11" s="89">
        <f>SUM(AF11:AG11)</f>
        <v/>
      </c>
      <c r="AJ11" s="89" t="n">
        <v>3</v>
      </c>
      <c r="AK11" s="89">
        <f>IF(AG11&lt;=17,"0",IF(AI11&lt;=39,"0",IF(AI11&lt;=49,"4",IF(AI11&lt;=54,"5",IF(AI11&lt;=59,"6",IF(AI11&lt;=69,"7",IF(AI11&lt;=79,"8",IF(AI11&lt;=89,"9","10"))))))))</f>
        <v/>
      </c>
      <c r="AL11" s="89">
        <f>IF(AG11&lt;=17,"F",IF(AI11&lt;=39,"F",IF(AI11&lt;=49,"P",IF(AI11&lt;=54,"C",IF(AI11&lt;=59,"B",IF(AI11&lt;=69,"B+",IF(AI11&lt;=79,"A",IF(AI11&lt;=89,"A+","O"))))))))</f>
        <v/>
      </c>
      <c r="AM11" s="89">
        <f>AJ11*AK11</f>
        <v/>
      </c>
      <c r="AN11" s="89" t="n"/>
      <c r="AO11" s="90" t="n">
        <v>24</v>
      </c>
      <c r="AP11" s="90" t="n">
        <v>37</v>
      </c>
      <c r="AQ11" s="88" t="n"/>
      <c r="AR11" s="89">
        <f>(AO11+AP11)</f>
        <v/>
      </c>
      <c r="AS11" s="89" t="n">
        <v>3</v>
      </c>
      <c r="AT11" s="89">
        <f>IF(AP11&lt;=17,"0",IF(AR11&lt;=39,"0",IF(AR11&lt;=49,"4",IF(AR11&lt;=54,"5",IF(AR11&lt;=59,"6",IF(AR11&lt;=69,"7",IF(AR11&lt;=79,"8",IF(AR11&lt;=89,"9","10"))))))))</f>
        <v/>
      </c>
      <c r="AU11" s="89">
        <f>IF(AP11&lt;=17,"F",IF(AR11&lt;=39,"F",IF(AR11&lt;=49,"P",IF(AR11&lt;=54,"C",IF(AR11&lt;=59,"B",IF(AR11&lt;=69,"B+",IF(AR11&lt;=79,"A",IF(AR11&lt;=89,"A+","O"))))))))</f>
        <v/>
      </c>
      <c r="AV11" s="89">
        <f>AS11*AT11</f>
        <v/>
      </c>
      <c r="AW11" s="89" t="n"/>
      <c r="AX11" s="88" t="n">
        <v>42</v>
      </c>
      <c r="AY11" s="88" t="n">
        <v>30</v>
      </c>
      <c r="AZ11" s="88" t="n"/>
      <c r="BA11" s="89">
        <f>(AX11+AY11)</f>
        <v/>
      </c>
      <c r="BB11" s="89" t="n">
        <v>1</v>
      </c>
      <c r="BC11" s="89">
        <f>IF(AY11&lt;=17,"0",IF(BA11&lt;=39,"0",IF(BA11&lt;=49,"4",IF(BA11&lt;=54,"5",IF(BA11&lt;=59,"6",IF(BA11&lt;=69,"7",IF(BA11&lt;=79,"8",IF(BA11&lt;=89,"9","10"))))))))</f>
        <v/>
      </c>
      <c r="BD11" s="89">
        <f>IF(AY11&lt;=17,"F",IF(BA11&lt;=39,"F",IF(BA11&lt;=49,"P",IF(BA11&lt;=54,"C",IF(BA11&lt;=59,"B",IF(BA11&lt;=69,"B+",IF(BA11&lt;=79,"A",IF(BA11&lt;=89,"A+","O"))))))))</f>
        <v/>
      </c>
      <c r="BE11" s="89">
        <f>BB11*BC11</f>
        <v/>
      </c>
      <c r="BF11" s="91" t="inlineStr">
        <is>
          <t>Samskrutika Kannada</t>
        </is>
      </c>
      <c r="BG11" s="88" t="n">
        <v>10</v>
      </c>
      <c r="BH11" s="88" t="n">
        <v>28</v>
      </c>
      <c r="BI11" s="88" t="n"/>
      <c r="BJ11" s="89">
        <f>(BG11+BH11)</f>
        <v/>
      </c>
      <c r="BK11" s="89" t="n">
        <v>1</v>
      </c>
      <c r="BL11" s="89">
        <f>IF(BH11&lt;=17,"0",IF(BJ11&lt;=39,"0",IF(BJ11&lt;=49,"4",IF(BJ11&lt;=54,"5",IF(BJ11&lt;=59,"6",IF(BJ11&lt;=69,"7",IF(BJ11&lt;=79,"8",IF(BJ11&lt;=89,"9","10"))))))))</f>
        <v/>
      </c>
      <c r="BM11" s="89">
        <f>IF(BH11&lt;=17,"F",IF(BJ11&lt;=39,"F",IF(BJ11&lt;=49,"P",IF(BJ11&lt;=54,"C",IF(BJ11&lt;=59,"B",IF(BJ11&lt;=69,"B+",IF(BJ11&lt;=79,"A",IF(BJ11&lt;=89,"A+","O"))))))))</f>
        <v/>
      </c>
      <c r="BN11" s="89">
        <f>BK11*BL11</f>
        <v/>
      </c>
      <c r="BO11" s="89" t="n"/>
      <c r="BP11" s="88" t="n">
        <v>12</v>
      </c>
      <c r="BQ11" s="88" t="inlineStr">
        <is>
          <t xml:space="preserve"> </t>
        </is>
      </c>
      <c r="BR11" s="88" t="n"/>
      <c r="BS11" s="89">
        <f>(BP11+BQ11)</f>
        <v/>
      </c>
      <c r="BT11" s="89" t="n">
        <v>1</v>
      </c>
      <c r="BU11" s="89">
        <f>IF(BQ11&lt;=17,"0",IF(BS11&lt;=39,"0",IF(BS11&lt;=49,"4",IF(BS11&lt;=54,"5",IF(BS11&lt;=59,"6",IF(BS11&lt;=69,"7",IF(BS11&lt;=79,"8",IF(BS11&lt;=89,"9","10"))))))))</f>
        <v/>
      </c>
      <c r="BV11" s="89">
        <f>IF(BQ11&lt;=17,"F",IF(BS11&lt;=39,"F",IF(BS11&lt;=49,"P",IF(BS11&lt;=54,"C",IF(BS11&lt;=59,"B",IF(BS11&lt;=69,"B+",IF(BS11&lt;=79,"A",IF(BS11&lt;=89,"A+","O"))))))))</f>
        <v/>
      </c>
      <c r="BW11" s="89">
        <f>BT11*BU11</f>
        <v/>
      </c>
      <c r="BX11" s="89" t="n"/>
      <c r="BY11" s="89" t="n"/>
      <c r="BZ11" s="89">
        <f>L11+U11+AD11+AM11+AV11+BE11+BN11+BW11</f>
        <v/>
      </c>
      <c r="CA11" s="92">
        <f>BZ11/20</f>
        <v/>
      </c>
      <c r="CB11" s="93">
        <f>IF(CA11&lt;4,"F",IF(BV11="F","F",IF(BM11="F","F",IF(BD11="F","F",IF(AU11="F","F",IF(AL11="F","F",IF(AC11="F","F",IF(T11="F","F",IF(K11="F","F",IF(CA11&lt;=5,"C",IF(CA11&lt;6,"B",IF(CA11&lt;7,"B+",IF(CA11&lt;8,"A",IF(CA11&lt;=9,"A+","O"))))))))))))))</f>
        <v/>
      </c>
      <c r="CC11" s="94">
        <f>CA11*9.5</f>
        <v/>
      </c>
      <c r="CD11" s="94" t="n"/>
      <c r="CE11" s="93">
        <f>SUM(BS11,BJ11,BA11,AR11,AI11,Z11,Q11,H11)</f>
        <v/>
      </c>
      <c r="CF11" s="93">
        <f>(CE11/800)*100</f>
        <v/>
      </c>
      <c r="CG11" s="94" t="n"/>
      <c r="CH11" s="94" t="n"/>
      <c r="CI11" s="94" t="inlineStr">
        <is>
          <t>F</t>
        </is>
      </c>
      <c r="CJ11" s="95" t="n"/>
    </row>
    <row r="12" ht="15.75" customHeight="1">
      <c r="A12" s="35">
        <f>A11+1</f>
        <v/>
      </c>
      <c r="B12" s="111" t="inlineStr">
        <is>
          <t>1bi23cd005</t>
        </is>
      </c>
      <c r="C12" s="111" t="inlineStr">
        <is>
          <t>ARYAN SAHU</t>
        </is>
      </c>
      <c r="D12" s="47" t="inlineStr">
        <is>
          <t>D</t>
        </is>
      </c>
      <c r="E12" s="9" t="n">
        <v>36</v>
      </c>
      <c r="F12" s="9" t="n">
        <v>48</v>
      </c>
      <c r="G12" s="9" t="n"/>
      <c r="H12" s="18">
        <f>SUM(E12:F12)</f>
        <v/>
      </c>
      <c r="I12" s="18" t="n">
        <v>4</v>
      </c>
      <c r="J12" s="18">
        <f>IF(F12&lt;=17,"0",IF(H12&lt;=39,"0",IF(H12&lt;=49,"4",IF(H12&lt;=54,"5",IF(H12&lt;=59,"6",IF(H12&lt;=69,"7",IF(H12&lt;=79,"8",IF(H12&lt;=89,"9","10"))))))))</f>
        <v/>
      </c>
      <c r="K12" s="18">
        <f>IF(F12&lt;=17,"F",IF(H12&lt;=39,"F",IF(H12&lt;=49,"P",IF(H12&lt;=54,"C",IF(H12&lt;=59,"B",IF(H12&lt;=69,"B+",IF(H12&lt;=79,"A",IF(H12&lt;=89,"A+","O"))))))))</f>
        <v/>
      </c>
      <c r="L12" s="18">
        <f>I12*J12</f>
        <v/>
      </c>
      <c r="M12" s="18" t="n"/>
      <c r="N12" s="9" t="n">
        <v>0</v>
      </c>
      <c r="O12" s="9" t="n">
        <v>50</v>
      </c>
      <c r="P12" s="9" t="n"/>
      <c r="Q12" s="18">
        <f>SUM(N12:O12)</f>
        <v/>
      </c>
      <c r="R12" s="18" t="n">
        <v>4</v>
      </c>
      <c r="S12" s="18">
        <f>IF(O12&lt;=17,"0",IF(Q12&lt;=39,"4",IF(Q12&lt;=49,"4",IF(Q12&lt;=54,"5",IF(Q12&lt;=59,"6",IF(Q12&lt;=69,"7",IF(Q12&lt;=79,"8",IF(Q12&lt;=89,"9","10"))))))))</f>
        <v/>
      </c>
      <c r="T12" s="18">
        <f>IF(O12&lt;=17,"F",IF(Q12&lt;=39,"F",IF(Q12&lt;=49,"P",IF(Q12&lt;=54,"C",IF(Q12&lt;=59,"B",IF(Q12&lt;=69,"B+",IF(Q12&lt;=79,"A",IF(Q12&lt;=89,"A+","O"))))))))</f>
        <v/>
      </c>
      <c r="U12" s="18">
        <f>R12*S12</f>
        <v/>
      </c>
      <c r="V12" s="18" t="n"/>
      <c r="W12" s="9" t="n">
        <v>49</v>
      </c>
      <c r="X12" s="9" t="n">
        <v>45</v>
      </c>
      <c r="Y12" s="18" t="n"/>
      <c r="Z12" s="18">
        <f>SUM(W12:X12)</f>
        <v/>
      </c>
      <c r="AA12" s="18" t="n">
        <v>3</v>
      </c>
      <c r="AB12" s="18">
        <f>IF(X12&lt;=17,"0",IF(Z12&lt;=39,"0",IF(Z12&lt;=49,"4",IF(Z12&lt;=54,"5",IF(Z12&lt;=59,"6",IF(Z12&lt;=69,"7",IF(Z12&lt;=79,"8",IF(Z12&lt;=89,"9","10"))))))))</f>
        <v/>
      </c>
      <c r="AC12" s="18">
        <f>IF(X12&lt;=17,"F",IF(Z12&lt;=39,"F",IF(Z12&lt;=49,"P",IF(Z12&lt;=54,"C",IF(Z12&lt;=59,"B",IF(Z12&lt;=69,"B+",IF(Z12&lt;=79,"A",IF(Z12&lt;=89,"A+","O"))))))))</f>
        <v/>
      </c>
      <c r="AD12" s="18">
        <f>AA12*AB12</f>
        <v/>
      </c>
      <c r="AE12" s="18" t="n"/>
      <c r="AF12" s="46" t="n">
        <v>43</v>
      </c>
      <c r="AG12" s="46" t="n">
        <v>45</v>
      </c>
      <c r="AH12" s="9" t="n"/>
      <c r="AI12" s="18">
        <f>SUM(AF12:AG12)</f>
        <v/>
      </c>
      <c r="AJ12" s="18" t="n">
        <v>3</v>
      </c>
      <c r="AK12" s="18">
        <f>IF(AG12&lt;=17,"0",IF(AI12&lt;=39,"0",IF(AI12&lt;=49,"4",IF(AI12&lt;=54,"5",IF(AI12&lt;=59,"6",IF(AI12&lt;=69,"7",IF(AI12&lt;=79,"8",IF(AI12&lt;=89,"9","10"))))))))</f>
        <v/>
      </c>
      <c r="AL12" s="18">
        <f>IF(AG12&lt;=17,"F",IF(AI12&lt;=39,"F",IF(AI12&lt;=49,"P",IF(AI12&lt;=54,"C",IF(AI12&lt;=59,"B",IF(AI12&lt;=69,"B+",IF(AI12&lt;=79,"A",IF(AI12&lt;=89,"A+","O"))))))))</f>
        <v/>
      </c>
      <c r="AM12" s="18">
        <f>AJ12*AK12</f>
        <v/>
      </c>
      <c r="AN12" s="18" t="n"/>
      <c r="AO12" s="46" t="n">
        <v>29</v>
      </c>
      <c r="AP12" s="46" t="n">
        <v>47</v>
      </c>
      <c r="AQ12" s="9" t="n"/>
      <c r="AR12" s="18">
        <f>(AO12+AP12)</f>
        <v/>
      </c>
      <c r="AS12" s="18" t="n">
        <v>3</v>
      </c>
      <c r="AT12" s="18">
        <f>IF(AP12&lt;=17,"0",IF(AR12&lt;=39,"0",IF(AR12&lt;=49,"4",IF(AR12&lt;=54,"5",IF(AR12&lt;=59,"6",IF(AR12&lt;=69,"7",IF(AR12&lt;=79,"8",IF(AR12&lt;=89,"9","10"))))))))</f>
        <v/>
      </c>
      <c r="AU12" s="18">
        <f>IF(AP12&lt;=17,"F",IF(AR12&lt;=39,"F",IF(AR12&lt;=49,"P",IF(AR12&lt;=54,"C",IF(AR12&lt;=59,"B",IF(AR12&lt;=69,"B+",IF(AR12&lt;=79,"A",IF(AR12&lt;=89,"A+","O"))))))))</f>
        <v/>
      </c>
      <c r="AV12" s="18">
        <f>AS12*AT12</f>
        <v/>
      </c>
      <c r="AW12" s="18" t="n"/>
      <c r="AX12" s="9" t="n">
        <v>45</v>
      </c>
      <c r="AY12" s="9" t="n">
        <v>46</v>
      </c>
      <c r="AZ12" s="9" t="n"/>
      <c r="BA12" s="18">
        <f>(AX12+AY12)</f>
        <v/>
      </c>
      <c r="BB12" s="18" t="n">
        <v>1</v>
      </c>
      <c r="BC12" s="18">
        <f>IF(AY12&lt;=17,"0",IF(BA12&lt;=39,"0",IF(BA12&lt;=49,"4",IF(BA12&lt;=54,"5",IF(BA12&lt;=59,"6",IF(BA12&lt;=69,"7",IF(BA12&lt;=79,"8",IF(BA12&lt;=89,"9","10"))))))))</f>
        <v/>
      </c>
      <c r="BD12" s="18">
        <f>IF(AY12&lt;=17,"F",IF(BA12&lt;=39,"F",IF(BA12&lt;=49,"P",IF(BA12&lt;=54,"C",IF(BA12&lt;=59,"B",IF(BA12&lt;=69,"B+",IF(BA12&lt;=79,"A",IF(BA12&lt;=89,"A+","O"))))))))</f>
        <v/>
      </c>
      <c r="BE12" s="18">
        <f>BB12*BC12</f>
        <v/>
      </c>
      <c r="BF12" s="43" t="inlineStr">
        <is>
          <t>Samskrutika Kannada</t>
        </is>
      </c>
      <c r="BG12" s="9" t="n">
        <v>39</v>
      </c>
      <c r="BH12" s="9" t="n">
        <v>44</v>
      </c>
      <c r="BI12" s="9" t="n"/>
      <c r="BJ12" s="18">
        <f>(BG12+BH12)</f>
        <v/>
      </c>
      <c r="BK12" s="18" t="n">
        <v>1</v>
      </c>
      <c r="BL12" s="18">
        <f>IF(BH12&lt;=17,"0",IF(BJ12&lt;=39,"0",IF(BJ12&lt;=49,"4",IF(BJ12&lt;=54,"5",IF(BJ12&lt;=59,"6",IF(BJ12&lt;=69,"7",IF(BJ12&lt;=79,"8",IF(BJ12&lt;=89,"9","10"))))))))</f>
        <v/>
      </c>
      <c r="BM12" s="18">
        <f>IF(BH12&lt;=17,"F",IF(BJ12&lt;=39,"F",IF(BJ12&lt;=49,"P",IF(BJ12&lt;=54,"C",IF(BJ12&lt;=59,"B",IF(BJ12&lt;=69,"B+",IF(BJ12&lt;=79,"A",IF(BJ12&lt;=89,"A+","O"))))))))</f>
        <v/>
      </c>
      <c r="BN12" s="18">
        <f>BK12*BL12</f>
        <v/>
      </c>
      <c r="BO12" s="18" t="n"/>
      <c r="BP12" s="9" t="n">
        <v>25</v>
      </c>
      <c r="BQ12" s="9" t="n">
        <v>639</v>
      </c>
      <c r="BR12" s="9" t="n"/>
      <c r="BS12" s="18">
        <f>(BP12+BQ12)</f>
        <v/>
      </c>
      <c r="BT12" s="18" t="n">
        <v>1</v>
      </c>
      <c r="BU12" s="18">
        <f>IF(BQ12&lt;=17,"0",IF(BS12&lt;=39,"0",IF(BS12&lt;=49,"4",IF(BS12&lt;=54,"5",IF(BS12&lt;=59,"6",IF(BS12&lt;=69,"7",IF(BS12&lt;=79,"8",IF(BS12&lt;=89,"9","10"))))))))</f>
        <v/>
      </c>
      <c r="BV12" s="18">
        <f>IF(BQ12&lt;=17,"F",IF(BS12&lt;=39,"F",IF(BS12&lt;=49,"P",IF(BS12&lt;=54,"C",IF(BS12&lt;=59,"B",IF(BS12&lt;=69,"B+",IF(BS12&lt;=79,"A",IF(BS12&lt;=89,"A+","O"))))))))</f>
        <v/>
      </c>
      <c r="BW12" s="18">
        <f>BT12*BU12</f>
        <v/>
      </c>
      <c r="BX12" s="18" t="n"/>
      <c r="BY12" s="18" t="n"/>
      <c r="BZ12" s="18">
        <f>L12+U12+AD12+AM12+AV12+BE12+BN12+BW12</f>
        <v/>
      </c>
      <c r="CA12" s="19">
        <f>BZ12/20</f>
        <v/>
      </c>
      <c r="CB12" s="28">
        <f>IF(CA12&lt;4,"F",IF(BV12="F","F",IF(BM12="F","F",IF(BD12="F","F",IF(AU12="F","F",IF(AL12="F","F",IF(AC12="F","F",IF(T12="F","F",IF(K12="F","F",IF(CA12&lt;=5,"C",IF(CA12&lt;6,"B",IF(CA12&lt;7,"B+",IF(CA12&lt;8,"A",IF(CA12&lt;=9,"A+","O"))))))))))))))</f>
        <v/>
      </c>
      <c r="CC12" s="27">
        <f>CA12*9.5</f>
        <v/>
      </c>
      <c r="CD12" s="27" t="n"/>
      <c r="CE12" s="28">
        <f>SUM(BS12,BJ12,BA12,AR12,AI12,Z12,Q12,H12)</f>
        <v/>
      </c>
      <c r="CF12" s="28">
        <f>(CE12/800)*100</f>
        <v/>
      </c>
      <c r="CG12" s="27" t="n"/>
      <c r="CH12" s="27" t="n"/>
      <c r="CI12" s="27">
        <f>IF(CA12&lt;=4,"F",IF(CA12&lt;=6,"PASS",IF(CA12&lt;=6.5,"SC",IF(CA12&lt;=7.5,"FC",IF(CA12&lt;="10","FCD")))))</f>
        <v/>
      </c>
    </row>
    <row r="13" ht="15.75" customHeight="1">
      <c r="A13" s="35">
        <f>A12+1</f>
        <v/>
      </c>
      <c r="B13" s="111" t="inlineStr">
        <is>
          <t>1bi23cd006</t>
        </is>
      </c>
      <c r="C13" s="111" t="inlineStr">
        <is>
          <t>ASHWINI KULKARNI</t>
        </is>
      </c>
      <c r="D13" s="47" t="inlineStr">
        <is>
          <t>D</t>
        </is>
      </c>
      <c r="E13" s="9" t="n">
        <v>32</v>
      </c>
      <c r="F13" s="9" t="n">
        <v>50</v>
      </c>
      <c r="G13" s="9" t="n"/>
      <c r="H13" s="18">
        <f>SUM(E13:F13)</f>
        <v/>
      </c>
      <c r="I13" s="18" t="n">
        <v>4</v>
      </c>
      <c r="J13" s="18">
        <f>IF(F13&lt;=17,"0",IF(H13&lt;=39,"0",IF(H13&lt;=49,"4",IF(H13&lt;=54,"5",IF(H13&lt;=59,"6",IF(H13&lt;=69,"7",IF(H13&lt;=79,"8",IF(H13&lt;=89,"9","10"))))))))</f>
        <v/>
      </c>
      <c r="K13" s="18">
        <f>IF(F13&lt;=17,"F",IF(H13&lt;=39,"F",IF(H13&lt;=49,"P",IF(H13&lt;=54,"C",IF(H13&lt;=59,"B",IF(H13&lt;=69,"B+",IF(H13&lt;=79,"A",IF(H13&lt;=89,"A+","O"))))))))</f>
        <v/>
      </c>
      <c r="L13" s="18">
        <f>I13*J13</f>
        <v/>
      </c>
      <c r="M13" s="18" t="n"/>
      <c r="N13" s="9" t="n">
        <v>25</v>
      </c>
      <c r="O13" s="9" t="n">
        <v>49</v>
      </c>
      <c r="P13" s="9" t="n"/>
      <c r="Q13" s="18">
        <f>SUM(N13:O13)</f>
        <v/>
      </c>
      <c r="R13" s="18" t="n">
        <v>4</v>
      </c>
      <c r="S13" s="18">
        <f>IF(O13&lt;=17,"0",IF(Q13&lt;=39,"4",IF(Q13&lt;=49,"4",IF(Q13&lt;=54,"5",IF(Q13&lt;=59,"6",IF(Q13&lt;=69,"7",IF(Q13&lt;=79,"8",IF(Q13&lt;=89,"9","10"))))))))</f>
        <v/>
      </c>
      <c r="T13" s="18">
        <f>IF(O13&lt;=17,"F",IF(Q13&lt;=39,"F",IF(Q13&lt;=49,"P",IF(Q13&lt;=54,"C",IF(Q13&lt;=59,"B",IF(Q13&lt;=69,"B+",IF(Q13&lt;=79,"A",IF(Q13&lt;=89,"A+","O"))))))))</f>
        <v/>
      </c>
      <c r="U13" s="18">
        <f>R13*S13</f>
        <v/>
      </c>
      <c r="V13" s="18" t="n"/>
      <c r="W13" s="9" t="n">
        <v>49</v>
      </c>
      <c r="X13" s="9" t="n">
        <v>45</v>
      </c>
      <c r="Y13" s="18" t="n"/>
      <c r="Z13" s="18">
        <f>SUM(W13:X13)</f>
        <v/>
      </c>
      <c r="AA13" s="18" t="n">
        <v>3</v>
      </c>
      <c r="AB13" s="18">
        <f>IF(X13&lt;=17,"0",IF(Z13&lt;=39,"0",IF(Z13&lt;=49,"4",IF(Z13&lt;=54,"5",IF(Z13&lt;=59,"6",IF(Z13&lt;=69,"7",IF(Z13&lt;=79,"8",IF(Z13&lt;=89,"9","10"))))))))</f>
        <v/>
      </c>
      <c r="AC13" s="18">
        <f>IF(X13&lt;=17,"F",IF(Z13&lt;=39,"F",IF(Z13&lt;=49,"P",IF(Z13&lt;=54,"C",IF(Z13&lt;=59,"B",IF(Z13&lt;=69,"B+",IF(Z13&lt;=79,"A",IF(Z13&lt;=89,"A+","O"))))))))</f>
        <v/>
      </c>
      <c r="AD13" s="18">
        <f>AA13*AB13</f>
        <v/>
      </c>
      <c r="AE13" s="18" t="n"/>
      <c r="AF13" s="46" t="n">
        <v>44</v>
      </c>
      <c r="AG13" s="46" t="n">
        <v>40</v>
      </c>
      <c r="AH13" s="9" t="n"/>
      <c r="AI13" s="18">
        <f>SUM(AF13:AG13)</f>
        <v/>
      </c>
      <c r="AJ13" s="18" t="n">
        <v>3</v>
      </c>
      <c r="AK13" s="18">
        <f>IF(AG13&lt;=17,"0",IF(AI13&lt;=39,"0",IF(AI13&lt;=49,"4",IF(AI13&lt;=54,"5",IF(AI13&lt;=59,"6",IF(AI13&lt;=69,"7",IF(AI13&lt;=79,"8",IF(AI13&lt;=89,"9","10"))))))))</f>
        <v/>
      </c>
      <c r="AL13" s="18">
        <f>IF(AG13&lt;=17,"F",IF(AI13&lt;=39,"F",IF(AI13&lt;=49,"P",IF(AI13&lt;=54,"C",IF(AI13&lt;=59,"B",IF(AI13&lt;=69,"B+",IF(AI13&lt;=79,"A",IF(AI13&lt;=89,"A+","O"))))))))</f>
        <v/>
      </c>
      <c r="AM13" s="18">
        <f>AJ13*AK13</f>
        <v/>
      </c>
      <c r="AN13" s="18" t="n"/>
      <c r="AO13" s="46" t="n">
        <v>30</v>
      </c>
      <c r="AP13" s="46" t="n">
        <v>46</v>
      </c>
      <c r="AQ13" s="9" t="n"/>
      <c r="AR13" s="18">
        <f>(AO13+AP13)</f>
        <v/>
      </c>
      <c r="AS13" s="18" t="n">
        <v>3</v>
      </c>
      <c r="AT13" s="18">
        <f>IF(AP13&lt;=17,"0",IF(AR13&lt;=39,"0",IF(AR13&lt;=49,"4",IF(AR13&lt;=54,"5",IF(AR13&lt;=59,"6",IF(AR13&lt;=69,"7",IF(AR13&lt;=79,"8",IF(AR13&lt;=89,"9","10"))))))))</f>
        <v/>
      </c>
      <c r="AU13" s="18">
        <f>IF(AP13&lt;=17,"F",IF(AR13&lt;=39,"F",IF(AR13&lt;=49,"P",IF(AR13&lt;=54,"C",IF(AR13&lt;=59,"B",IF(AR13&lt;=69,"B+",IF(AR13&lt;=79,"A",IF(AR13&lt;=89,"A+","O"))))))))</f>
        <v/>
      </c>
      <c r="AV13" s="18">
        <f>AS13*AT13</f>
        <v/>
      </c>
      <c r="AW13" s="18" t="n"/>
      <c r="AX13" s="9" t="n">
        <v>42</v>
      </c>
      <c r="AY13" s="9" t="n">
        <v>44</v>
      </c>
      <c r="AZ13" s="9" t="n"/>
      <c r="BA13" s="18">
        <f>(AX13+AY13)</f>
        <v/>
      </c>
      <c r="BB13" s="18" t="n">
        <v>1</v>
      </c>
      <c r="BC13" s="18">
        <f>IF(AY13&lt;=17,"0",IF(BA13&lt;=39,"0",IF(BA13&lt;=49,"4",IF(BA13&lt;=54,"5",IF(BA13&lt;=59,"6",IF(BA13&lt;=69,"7",IF(BA13&lt;=79,"8",IF(BA13&lt;=89,"9","10"))))))))</f>
        <v/>
      </c>
      <c r="BD13" s="18">
        <f>IF(AY13&lt;=17,"F",IF(BA13&lt;=39,"F",IF(BA13&lt;=49,"P",IF(BA13&lt;=54,"C",IF(BA13&lt;=59,"B",IF(BA13&lt;=69,"B+",IF(BA13&lt;=79,"A",IF(BA13&lt;=89,"A+","O"))))))))</f>
        <v/>
      </c>
      <c r="BE13" s="18">
        <f>BB13*BC13</f>
        <v/>
      </c>
      <c r="BF13" s="43" t="inlineStr">
        <is>
          <t>Samskrutika Kannada</t>
        </is>
      </c>
      <c r="BG13" s="9" t="n">
        <v>35</v>
      </c>
      <c r="BH13" s="9" t="n">
        <v>47</v>
      </c>
      <c r="BI13" s="9" t="n"/>
      <c r="BJ13" s="18">
        <f>(BG13+BH13)</f>
        <v/>
      </c>
      <c r="BK13" s="18" t="n">
        <v>1</v>
      </c>
      <c r="BL13" s="18">
        <f>IF(BH13&lt;=17,"0",IF(BJ13&lt;=39,"0",IF(BJ13&lt;=49,"4",IF(BJ13&lt;=54,"5",IF(BJ13&lt;=59,"6",IF(BJ13&lt;=69,"7",IF(BJ13&lt;=79,"8",IF(BJ13&lt;=89,"9","10"))))))))</f>
        <v/>
      </c>
      <c r="BM13" s="18">
        <f>IF(BH13&lt;=17,"F",IF(BJ13&lt;=39,"F",IF(BJ13&lt;=49,"P",IF(BJ13&lt;=54,"C",IF(BJ13&lt;=59,"B",IF(BJ13&lt;=69,"B+",IF(BJ13&lt;=79,"A",IF(BJ13&lt;=89,"A+","O"))))))))</f>
        <v/>
      </c>
      <c r="BN13" s="18">
        <f>BK13*BL13</f>
        <v/>
      </c>
      <c r="BO13" s="18" t="n"/>
      <c r="BP13" s="9" t="n">
        <v>30</v>
      </c>
      <c r="BQ13" s="9" t="n">
        <v>657</v>
      </c>
      <c r="BR13" s="9" t="n"/>
      <c r="BS13" s="18">
        <f>(BP13+BQ13)</f>
        <v/>
      </c>
      <c r="BT13" s="18" t="n">
        <v>1</v>
      </c>
      <c r="BU13" s="18">
        <f>IF(BQ13&lt;=17,"0",IF(BS13&lt;=39,"0",IF(BS13&lt;=49,"4",IF(BS13&lt;=54,"5",IF(BS13&lt;=59,"6",IF(BS13&lt;=69,"7",IF(BS13&lt;=79,"8",IF(BS13&lt;=89,"9","10"))))))))</f>
        <v/>
      </c>
      <c r="BV13" s="18">
        <f>IF(BQ13&lt;=17,"F",IF(BS13&lt;=39,"F",IF(BS13&lt;=49,"P",IF(BS13&lt;=54,"C",IF(BS13&lt;=59,"B",IF(BS13&lt;=69,"B+",IF(BS13&lt;=79,"A",IF(BS13&lt;=89,"A+","O"))))))))</f>
        <v/>
      </c>
      <c r="BW13" s="18">
        <f>BT13*BU13</f>
        <v/>
      </c>
      <c r="BX13" s="18" t="n"/>
      <c r="BY13" s="18" t="n"/>
      <c r="BZ13" s="18">
        <f>L13+U13+AD13+AM13+AV13+BE13+BN13+BW13</f>
        <v/>
      </c>
      <c r="CA13" s="19">
        <f>BZ13/20</f>
        <v/>
      </c>
      <c r="CB13" s="28">
        <f>IF(CA13&lt;4,"F",IF(BV13="F","F",IF(BM13="F","F",IF(BD13="F","F",IF(AU13="F","F",IF(AL13="F","F",IF(AC13="F","F",IF(T13="F","F",IF(K13="F","F",IF(CA13&lt;=5,"C",IF(CA13&lt;6,"B",IF(CA13&lt;7,"B+",IF(CA13&lt;8,"A",IF(CA13&lt;=9,"A+","O"))))))))))))))</f>
        <v/>
      </c>
      <c r="CC13" s="27">
        <f>CA13*9.5</f>
        <v/>
      </c>
      <c r="CD13" s="27" t="n"/>
      <c r="CE13" s="28">
        <f>SUM(BS13,BJ13,BA13,AR13,AI13,Z13,Q13,H13)</f>
        <v/>
      </c>
      <c r="CF13" s="28">
        <f>(CE13/800)*100</f>
        <v/>
      </c>
      <c r="CG13" s="27" t="n"/>
      <c r="CH13" s="27" t="n"/>
      <c r="CI13" s="27">
        <f>IF(CA13&lt;=4,"F",IF(CA13&lt;=6,"PASS",IF(CA13&lt;=6.5,"SC",IF(CA13&lt;=7.5,"FC",IF(CA13&lt;="10","FCD")))))</f>
        <v/>
      </c>
    </row>
    <row r="14" ht="15.75" customHeight="1">
      <c r="A14" s="35">
        <f>A13+1</f>
        <v/>
      </c>
      <c r="B14" s="111" t="inlineStr">
        <is>
          <t>1bi23cd007</t>
        </is>
      </c>
      <c r="C14" s="111" t="inlineStr">
        <is>
          <t>AYUSH KUMAR</t>
        </is>
      </c>
      <c r="D14" s="47" t="inlineStr">
        <is>
          <t>D</t>
        </is>
      </c>
      <c r="E14" s="9" t="n">
        <v>26</v>
      </c>
      <c r="F14" s="9" t="n">
        <v>50</v>
      </c>
      <c r="G14" s="9" t="n"/>
      <c r="H14" s="18">
        <f>SUM(E14:F14)</f>
        <v/>
      </c>
      <c r="I14" s="18" t="n">
        <v>4</v>
      </c>
      <c r="J14" s="18">
        <f>IF(F14&lt;=17,"0",IF(H14&lt;=39,"0",IF(H14&lt;=49,"4",IF(H14&lt;=54,"5",IF(H14&lt;=59,"6",IF(H14&lt;=69,"7",IF(H14&lt;=79,"8",IF(H14&lt;=89,"9","10"))))))))</f>
        <v/>
      </c>
      <c r="K14" s="18">
        <f>IF(F14&lt;=17,"F",IF(H14&lt;=39,"F",IF(H14&lt;=49,"P",IF(H14&lt;=54,"C",IF(H14&lt;=59,"B",IF(H14&lt;=69,"B+",IF(H14&lt;=79,"A",IF(H14&lt;=89,"A+","O"))))))))</f>
        <v/>
      </c>
      <c r="L14" s="18">
        <f>I14*J14</f>
        <v/>
      </c>
      <c r="M14" s="18" t="n"/>
      <c r="N14" s="9" t="n">
        <v>32</v>
      </c>
      <c r="O14" s="9" t="n">
        <v>45</v>
      </c>
      <c r="P14" s="9" t="n"/>
      <c r="Q14" s="18">
        <f>SUM(N14:O14)</f>
        <v/>
      </c>
      <c r="R14" s="18" t="n">
        <v>4</v>
      </c>
      <c r="S14" s="18">
        <f>IF(O14&lt;=17,"0",IF(Q14&lt;=39,"4",IF(Q14&lt;=49,"4",IF(Q14&lt;=54,"5",IF(Q14&lt;=59,"6",IF(Q14&lt;=69,"7",IF(Q14&lt;=79,"8",IF(Q14&lt;=89,"9","10"))))))))</f>
        <v/>
      </c>
      <c r="T14" s="18">
        <f>IF(O14&lt;=17,"F",IF(Q14&lt;=39,"F",IF(Q14&lt;=49,"P",IF(Q14&lt;=54,"C",IF(Q14&lt;=59,"B",IF(Q14&lt;=69,"B+",IF(Q14&lt;=79,"A",IF(Q14&lt;=89,"A+","O"))))))))</f>
        <v/>
      </c>
      <c r="U14" s="18">
        <f>R14*S14</f>
        <v/>
      </c>
      <c r="V14" s="18" t="n"/>
      <c r="W14" s="9" t="n">
        <v>47</v>
      </c>
      <c r="X14" s="9" t="n">
        <v>45</v>
      </c>
      <c r="Y14" s="18" t="n"/>
      <c r="Z14" s="18">
        <f>SUM(W14:X14)</f>
        <v/>
      </c>
      <c r="AA14" s="18" t="n">
        <v>3</v>
      </c>
      <c r="AB14" s="18">
        <f>IF(X14&lt;=17,"0",IF(Z14&lt;=39,"0",IF(Z14&lt;=49,"4",IF(Z14&lt;=54,"5",IF(Z14&lt;=59,"6",IF(Z14&lt;=69,"7",IF(Z14&lt;=79,"8",IF(Z14&lt;=89,"9","10"))))))))</f>
        <v/>
      </c>
      <c r="AC14" s="18">
        <f>IF(X14&lt;=17,"F",IF(Z14&lt;=39,"F",IF(Z14&lt;=49,"P",IF(Z14&lt;=54,"C",IF(Z14&lt;=59,"B",IF(Z14&lt;=69,"B+",IF(Z14&lt;=79,"A",IF(Z14&lt;=89,"A+","O"))))))))</f>
        <v/>
      </c>
      <c r="AD14" s="18">
        <f>AA14*AB14</f>
        <v/>
      </c>
      <c r="AE14" s="18" t="n"/>
      <c r="AF14" s="46" t="n">
        <v>36</v>
      </c>
      <c r="AG14" s="46" t="n">
        <v>42</v>
      </c>
      <c r="AH14" s="9" t="n"/>
      <c r="AI14" s="18">
        <f>SUM(AF14:AG14)</f>
        <v/>
      </c>
      <c r="AJ14" s="18" t="n">
        <v>3</v>
      </c>
      <c r="AK14" s="18">
        <f>IF(AG14&lt;=17,"0",IF(AI14&lt;=39,"0",IF(AI14&lt;=49,"4",IF(AI14&lt;=54,"5",IF(AI14&lt;=59,"6",IF(AI14&lt;=69,"7",IF(AI14&lt;=79,"8",IF(AI14&lt;=89,"9","10"))))))))</f>
        <v/>
      </c>
      <c r="AL14" s="18">
        <f>IF(AG14&lt;=17,"F",IF(AI14&lt;=39,"F",IF(AI14&lt;=49,"P",IF(AI14&lt;=54,"C",IF(AI14&lt;=59,"B",IF(AI14&lt;=69,"B+",IF(AI14&lt;=79,"A",IF(AI14&lt;=89,"A+","O"))))))))</f>
        <v/>
      </c>
      <c r="AM14" s="18">
        <f>AJ14*AK14</f>
        <v/>
      </c>
      <c r="AN14" s="18" t="n"/>
      <c r="AO14" s="46" t="n">
        <v>23</v>
      </c>
      <c r="AP14" s="46" t="n">
        <v>47</v>
      </c>
      <c r="AQ14" s="9" t="n"/>
      <c r="AR14" s="18">
        <f>(AO14+AP14)</f>
        <v/>
      </c>
      <c r="AS14" s="18" t="n">
        <v>3</v>
      </c>
      <c r="AT14" s="18">
        <f>IF(AP14&lt;=17,"0",IF(AR14&lt;=39,"0",IF(AR14&lt;=49,"4",IF(AR14&lt;=54,"5",IF(AR14&lt;=59,"6",IF(AR14&lt;=69,"7",IF(AR14&lt;=79,"8",IF(AR14&lt;=89,"9","10"))))))))</f>
        <v/>
      </c>
      <c r="AU14" s="18">
        <f>IF(AP14&lt;=17,"F",IF(AR14&lt;=39,"F",IF(AR14&lt;=49,"P",IF(AR14&lt;=54,"C",IF(AR14&lt;=59,"B",IF(AR14&lt;=69,"B+",IF(AR14&lt;=79,"A",IF(AR14&lt;=89,"A+","O"))))))))</f>
        <v/>
      </c>
      <c r="AV14" s="18">
        <f>AS14*AT14</f>
        <v/>
      </c>
      <c r="AW14" s="18" t="n"/>
      <c r="AX14" s="9" t="n">
        <v>42</v>
      </c>
      <c r="AY14" s="9" t="n">
        <v>45</v>
      </c>
      <c r="AZ14" s="9" t="n"/>
      <c r="BA14" s="18">
        <f>(AX14+AY14)</f>
        <v/>
      </c>
      <c r="BB14" s="18" t="n">
        <v>1</v>
      </c>
      <c r="BC14" s="18">
        <f>IF(AY14&lt;=17,"0",IF(BA14&lt;=39,"0",IF(BA14&lt;=49,"4",IF(BA14&lt;=54,"5",IF(BA14&lt;=59,"6",IF(BA14&lt;=69,"7",IF(BA14&lt;=79,"8",IF(BA14&lt;=89,"9","10"))))))))</f>
        <v/>
      </c>
      <c r="BD14" s="18">
        <f>IF(AY14&lt;=17,"F",IF(BA14&lt;=39,"F",IF(BA14&lt;=49,"P",IF(BA14&lt;=54,"C",IF(BA14&lt;=59,"B",IF(BA14&lt;=69,"B+",IF(BA14&lt;=79,"A",IF(BA14&lt;=89,"A+","O"))))))))</f>
        <v/>
      </c>
      <c r="BE14" s="18">
        <f>BB14*BC14</f>
        <v/>
      </c>
      <c r="BF14" s="43" t="inlineStr">
        <is>
          <t>Samskrutika Kannada</t>
        </is>
      </c>
      <c r="BG14" s="9" t="n">
        <v>37</v>
      </c>
      <c r="BH14" s="9" t="n">
        <v>48</v>
      </c>
      <c r="BI14" s="9" t="n"/>
      <c r="BJ14" s="18">
        <f>(BG14+BH14)</f>
        <v/>
      </c>
      <c r="BK14" s="18" t="n">
        <v>1</v>
      </c>
      <c r="BL14" s="18">
        <f>IF(BH14&lt;=17,"0",IF(BJ14&lt;=39,"0",IF(BJ14&lt;=49,"4",IF(BJ14&lt;=54,"5",IF(BJ14&lt;=59,"6",IF(BJ14&lt;=69,"7",IF(BJ14&lt;=79,"8",IF(BJ14&lt;=89,"9","10"))))))))</f>
        <v/>
      </c>
      <c r="BM14" s="18">
        <f>IF(BH14&lt;=17,"F",IF(BJ14&lt;=39,"F",IF(BJ14&lt;=49,"P",IF(BJ14&lt;=54,"C",IF(BJ14&lt;=59,"B",IF(BJ14&lt;=69,"B+",IF(BJ14&lt;=79,"A",IF(BJ14&lt;=89,"A+","O"))))))))</f>
        <v/>
      </c>
      <c r="BN14" s="18">
        <f>BK14*BL14</f>
        <v/>
      </c>
      <c r="BO14" s="18" t="n"/>
      <c r="BP14" s="9" t="n">
        <v>34</v>
      </c>
      <c r="BQ14" s="9" t="n">
        <v>647</v>
      </c>
      <c r="BR14" s="9" t="n"/>
      <c r="BS14" s="18">
        <f>(BP14+BQ14)</f>
        <v/>
      </c>
      <c r="BT14" s="18" t="n">
        <v>1</v>
      </c>
      <c r="BU14" s="18">
        <f>IF(BQ14&lt;=17,"0",IF(BS14&lt;=39,"0",IF(BS14&lt;=49,"4",IF(BS14&lt;=54,"5",IF(BS14&lt;=59,"6",IF(BS14&lt;=69,"7",IF(BS14&lt;=79,"8",IF(BS14&lt;=89,"9","10"))))))))</f>
        <v/>
      </c>
      <c r="BV14" s="18">
        <f>IF(BQ14&lt;=17,"F",IF(BS14&lt;=39,"F",IF(BS14&lt;=49,"P",IF(BS14&lt;=54,"C",IF(BS14&lt;=59,"B",IF(BS14&lt;=69,"B+",IF(BS14&lt;=79,"A",IF(BS14&lt;=89,"A+","O"))))))))</f>
        <v/>
      </c>
      <c r="BW14" s="18">
        <f>BT14*BU14</f>
        <v/>
      </c>
      <c r="BX14" s="18" t="n"/>
      <c r="BY14" s="18" t="n"/>
      <c r="BZ14" s="18">
        <f>L14+U14+AD14+AM14+AV14+BE14+BN14+BW14</f>
        <v/>
      </c>
      <c r="CA14" s="19">
        <f>BZ14/20</f>
        <v/>
      </c>
      <c r="CB14" s="28">
        <f>IF(CA14&lt;4,"F",IF(BV14="F","F",IF(BM14="F","F",IF(BD14="F","F",IF(AU14="F","F",IF(AL14="F","F",IF(AC14="F","F",IF(T14="F","F",IF(K14="F","F",IF(CA14&lt;=5,"C",IF(CA14&lt;6,"B",IF(CA14&lt;7,"B+",IF(CA14&lt;8,"A",IF(CA14&lt;=9,"A+","O"))))))))))))))</f>
        <v/>
      </c>
      <c r="CC14" s="27">
        <f>CA14*9.5</f>
        <v/>
      </c>
      <c r="CD14" s="27" t="n"/>
      <c r="CE14" s="28">
        <f>SUM(BS14,BJ14,BA14,AR14,AI14,Z14,Q14,H14)</f>
        <v/>
      </c>
      <c r="CF14" s="28">
        <f>(CE14/800)*100</f>
        <v/>
      </c>
      <c r="CG14" s="27" t="n"/>
      <c r="CH14" s="27" t="n"/>
      <c r="CI14" s="27">
        <f>IF(CA14&lt;=4,"F",IF(CA14&lt;=6,"PASS",IF(CA14&lt;=6.5,"SC",IF(CA14&lt;=7.5,"FC",IF(CA14&lt;="10","FCD")))))</f>
        <v/>
      </c>
    </row>
    <row r="15" ht="15.75" customFormat="1" customHeight="1" s="59">
      <c r="A15" s="86">
        <f>A14+1</f>
        <v/>
      </c>
      <c r="B15" s="111" t="inlineStr">
        <is>
          <t>1bi23cd008</t>
        </is>
      </c>
      <c r="C15" s="111" t="inlineStr">
        <is>
          <t>AYUSH KUMAR BHADANI</t>
        </is>
      </c>
      <c r="D15" s="87" t="inlineStr">
        <is>
          <t>D</t>
        </is>
      </c>
      <c r="E15" s="9" t="n">
        <v>42</v>
      </c>
      <c r="F15" s="9" t="n">
        <v>50</v>
      </c>
      <c r="G15" s="88" t="n"/>
      <c r="H15" s="89">
        <f>SUM(E15:F15)</f>
        <v/>
      </c>
      <c r="I15" s="89" t="n">
        <v>4</v>
      </c>
      <c r="J15" s="89">
        <f>IF(F15&lt;=17,"0",IF(H15&lt;=39,"0",IF(H15&lt;=49,"4",IF(H15&lt;=54,"5",IF(H15&lt;=59,"6",IF(H15&lt;=69,"7",IF(H15&lt;=79,"8",IF(H15&lt;=89,"9","10"))))))))</f>
        <v/>
      </c>
      <c r="K15" s="89">
        <f>IF(F15&lt;=17,"F",IF(H15&lt;=39,"F",IF(H15&lt;=49,"P",IF(H15&lt;=54,"C",IF(H15&lt;=59,"B",IF(H15&lt;=69,"B+",IF(H15&lt;=79,"A",IF(H15&lt;=89,"A+","O"))))))))</f>
        <v/>
      </c>
      <c r="L15" s="89">
        <f>I15*J15</f>
        <v/>
      </c>
      <c r="M15" s="89" t="n"/>
      <c r="N15" s="88" t="n">
        <v>41</v>
      </c>
      <c r="O15" s="88" t="n">
        <v>50</v>
      </c>
      <c r="P15" s="88" t="n"/>
      <c r="Q15" s="89">
        <f>SUM(N15:O15)</f>
        <v/>
      </c>
      <c r="R15" s="89" t="n">
        <v>4</v>
      </c>
      <c r="S15" s="89">
        <f>IF(O15&lt;=17,"0",IF(Q15&lt;=39,"4",IF(Q15&lt;=49,"4",IF(Q15&lt;=54,"5",IF(Q15&lt;=59,"6",IF(Q15&lt;=69,"7",IF(Q15&lt;=79,"8",IF(Q15&lt;=89,"9","10"))))))))</f>
        <v/>
      </c>
      <c r="T15" s="89">
        <f>IF(O15&lt;=17,"F",IF(Q15&lt;=39,"F",IF(Q15&lt;=49,"P",IF(Q15&lt;=54,"C",IF(Q15&lt;=59,"B",IF(Q15&lt;=69,"B+",IF(Q15&lt;=79,"A",IF(Q15&lt;=89,"A+","O"))))))))</f>
        <v/>
      </c>
      <c r="U15" s="89">
        <f>R15*S15</f>
        <v/>
      </c>
      <c r="V15" s="89" t="n"/>
      <c r="W15" s="88" t="n">
        <v>49</v>
      </c>
      <c r="X15" s="88" t="n">
        <v>49</v>
      </c>
      <c r="Y15" s="89" t="n"/>
      <c r="Z15" s="89">
        <f>SUM(W15:X15)</f>
        <v/>
      </c>
      <c r="AA15" s="89" t="n">
        <v>3</v>
      </c>
      <c r="AB15" s="89">
        <f>IF(X15&lt;=17,"0",IF(Z15&lt;=39,"0",IF(Z15&lt;=49,"4",IF(Z15&lt;=54,"5",IF(Z15&lt;=59,"6",IF(Z15&lt;=69,"7",IF(Z15&lt;=79,"8",IF(Z15&lt;=89,"9","10"))))))))</f>
        <v/>
      </c>
      <c r="AC15" s="89">
        <f>IF(X15&lt;=17,"F",IF(Z15&lt;=39,"F",IF(Z15&lt;=49,"P",IF(Z15&lt;=54,"C",IF(Z15&lt;=59,"B",IF(Z15&lt;=69,"B+",IF(Z15&lt;=79,"A",IF(Z15&lt;=89,"A+","O"))))))))</f>
        <v/>
      </c>
      <c r="AD15" s="89">
        <f>AA15*AB15</f>
        <v/>
      </c>
      <c r="AE15" s="89" t="n"/>
      <c r="AF15" s="90" t="n">
        <v>41</v>
      </c>
      <c r="AG15" s="90" t="n">
        <v>50</v>
      </c>
      <c r="AH15" s="88" t="n"/>
      <c r="AI15" s="89">
        <f>SUM(AF15:AG15)</f>
        <v/>
      </c>
      <c r="AJ15" s="89" t="n">
        <v>3</v>
      </c>
      <c r="AK15" s="89">
        <f>IF(AG15&lt;=17,"0",IF(AI15&lt;=39,"0",IF(AI15&lt;=49,"4",IF(AI15&lt;=54,"5",IF(AI15&lt;=59,"6",IF(AI15&lt;=69,"7",IF(AI15&lt;=79,"8",IF(AI15&lt;=89,"9","10"))))))))</f>
        <v/>
      </c>
      <c r="AL15" s="89">
        <f>IF(AG15&lt;=17,"F",IF(AI15&lt;=39,"F",IF(AI15&lt;=49,"P",IF(AI15&lt;=54,"C",IF(AI15&lt;=59,"B",IF(AI15&lt;=69,"B+",IF(AI15&lt;=79,"A",IF(AI15&lt;=89,"A+","O"))))))))</f>
        <v/>
      </c>
      <c r="AM15" s="89">
        <f>AJ15*AK15</f>
        <v/>
      </c>
      <c r="AN15" s="89" t="n"/>
      <c r="AO15" s="90" t="n">
        <v>26</v>
      </c>
      <c r="AP15" s="90" t="n">
        <v>50</v>
      </c>
      <c r="AQ15" s="88" t="n"/>
      <c r="AR15" s="89">
        <f>(AO15+AP15)</f>
        <v/>
      </c>
      <c r="AS15" s="89" t="n">
        <v>3</v>
      </c>
      <c r="AT15" s="89">
        <f>IF(AP15&lt;=17,"0",IF(AR15&lt;=39,"0",IF(AR15&lt;=49,"4",IF(AR15&lt;=54,"5",IF(AR15&lt;=59,"6",IF(AR15&lt;=69,"7",IF(AR15&lt;=79,"8",IF(AR15&lt;=89,"9","10"))))))))</f>
        <v/>
      </c>
      <c r="AU15" s="89">
        <f>IF(AP15&lt;=17,"F",IF(AR15&lt;=39,"F",IF(AR15&lt;=49,"P",IF(AR15&lt;=54,"C",IF(AR15&lt;=59,"B",IF(AR15&lt;=69,"B+",IF(AR15&lt;=79,"A",IF(AR15&lt;=89,"A+","O"))))))))</f>
        <v/>
      </c>
      <c r="AV15" s="89">
        <f>AS15*AT15</f>
        <v/>
      </c>
      <c r="AW15" s="89" t="n"/>
      <c r="AX15" s="88" t="n">
        <v>45</v>
      </c>
      <c r="AY15" s="88" t="n">
        <v>50</v>
      </c>
      <c r="AZ15" s="88" t="n"/>
      <c r="BA15" s="89">
        <f>(AX15+AY15)</f>
        <v/>
      </c>
      <c r="BB15" s="89" t="n">
        <v>1</v>
      </c>
      <c r="BC15" s="89">
        <f>IF(AY15&lt;=17,"0",IF(BA15&lt;=39,"0",IF(BA15&lt;=49,"4",IF(BA15&lt;=54,"5",IF(BA15&lt;=59,"6",IF(BA15&lt;=69,"7",IF(BA15&lt;=79,"8",IF(BA15&lt;=89,"9","10"))))))))</f>
        <v/>
      </c>
      <c r="BD15" s="89">
        <f>IF(AY15&lt;=17,"F",IF(BA15&lt;=39,"F",IF(BA15&lt;=49,"P",IF(BA15&lt;=54,"C",IF(BA15&lt;=59,"B",IF(BA15&lt;=69,"B+",IF(BA15&lt;=79,"A",IF(BA15&lt;=89,"A+","O"))))))))</f>
        <v/>
      </c>
      <c r="BE15" s="89">
        <f>BB15*BC15</f>
        <v/>
      </c>
      <c r="BF15" s="91" t="inlineStr">
        <is>
          <t>Samskrutika Kannada</t>
        </is>
      </c>
      <c r="BG15" s="88" t="n">
        <v>36</v>
      </c>
      <c r="BH15" s="88" t="n">
        <v>50</v>
      </c>
      <c r="BI15" s="88" t="n"/>
      <c r="BJ15" s="89">
        <f>(BG15+BH15)</f>
        <v/>
      </c>
      <c r="BK15" s="89" t="n">
        <v>1</v>
      </c>
      <c r="BL15" s="89">
        <f>IF(BH15&lt;=17,"0",IF(BJ15&lt;=39,"0",IF(BJ15&lt;=49,"4",IF(BJ15&lt;=54,"5",IF(BJ15&lt;=59,"6",IF(BJ15&lt;=69,"7",IF(BJ15&lt;=79,"8",IF(BJ15&lt;=89,"9","10"))))))))</f>
        <v/>
      </c>
      <c r="BM15" s="89">
        <f>IF(BH15&lt;=17,"F",IF(BJ15&lt;=39,"F",IF(BJ15&lt;=49,"P",IF(BJ15&lt;=54,"C",IF(BJ15&lt;=59,"B",IF(BJ15&lt;=69,"B+",IF(BJ15&lt;=79,"A",IF(BJ15&lt;=89,"A+","O"))))))))</f>
        <v/>
      </c>
      <c r="BN15" s="89">
        <f>BK15*BL15</f>
        <v/>
      </c>
      <c r="BO15" s="89" t="n"/>
      <c r="BP15" s="88" t="n">
        <v>41</v>
      </c>
      <c r="BQ15" s="88" t="n">
        <v>720</v>
      </c>
      <c r="BR15" s="88" t="n"/>
      <c r="BS15" s="89">
        <f>(BP15+BQ15)</f>
        <v/>
      </c>
      <c r="BT15" s="89" t="n">
        <v>1</v>
      </c>
      <c r="BU15" s="89">
        <f>IF(BQ15&lt;=17,"0",IF(BS15&lt;=39,"0",IF(BS15&lt;=49,"4",IF(BS15&lt;=54,"5",IF(BS15&lt;=59,"6",IF(BS15&lt;=69,"7",IF(BS15&lt;=79,"8",IF(BS15&lt;=89,"9","10"))))))))</f>
        <v/>
      </c>
      <c r="BV15" s="89">
        <f>IF(BQ15&lt;=17,"F",IF(BS15&lt;=39,"F",IF(BS15&lt;=49,"P",IF(BS15&lt;=54,"C",IF(BS15&lt;=59,"B",IF(BS15&lt;=69,"B+",IF(BS15&lt;=79,"A",IF(BS15&lt;=89,"A+","O"))))))))</f>
        <v/>
      </c>
      <c r="BW15" s="89">
        <f>BT15*BU15</f>
        <v/>
      </c>
      <c r="BX15" s="89" t="n"/>
      <c r="BY15" s="89" t="n"/>
      <c r="BZ15" s="89">
        <f>L15+U15+AD15+AM15+AV15+BE15+BN15+BW15</f>
        <v/>
      </c>
      <c r="CA15" s="92">
        <f>BZ15/20</f>
        <v/>
      </c>
      <c r="CB15" s="93">
        <f>IF(CA15&lt;4,"F",IF(BV15="F","F",IF(BM15="F","F",IF(BD15="F","F",IF(AU15="F","F",IF(AL15="F","F",IF(AC15="F","F",IF(T15="F","F",IF(K15="F","F",IF(CA15&lt;=5,"C",IF(CA15&lt;6,"B",IF(CA15&lt;7,"B+",IF(CA15&lt;8,"A",IF(CA15&lt;=9,"A+","O"))))))))))))))</f>
        <v/>
      </c>
      <c r="CC15" s="94">
        <f>CA15*9.5</f>
        <v/>
      </c>
      <c r="CD15" s="94" t="n"/>
      <c r="CE15" s="93">
        <f>SUM(BS15,BJ15,BA15,AR15,AI15,Z15,Q15,H15)</f>
        <v/>
      </c>
      <c r="CF15" s="93">
        <f>(CE15/800)*100</f>
        <v/>
      </c>
      <c r="CG15" s="94" t="n"/>
      <c r="CH15" s="94" t="n"/>
      <c r="CI15" s="94">
        <f>IF(CA15&lt;=4,"F",IF(CA15&lt;=6,"PASS",IF(CA15&lt;=6.5,"SC",IF(CA15&lt;=7.5,"FC",IF(CA15&lt;="10","FCD")))))</f>
        <v/>
      </c>
    </row>
    <row r="16" ht="15.75" customHeight="1">
      <c r="A16" s="35">
        <f>A15+1</f>
        <v/>
      </c>
      <c r="B16" s="111" t="inlineStr">
        <is>
          <t>1bi23cd009</t>
        </is>
      </c>
      <c r="C16" s="111" t="inlineStr">
        <is>
          <t>AYUSH RAJ</t>
        </is>
      </c>
      <c r="D16" s="47" t="inlineStr">
        <is>
          <t>D</t>
        </is>
      </c>
      <c r="E16" s="9" t="n">
        <v>33</v>
      </c>
      <c r="F16" s="9" t="n">
        <v>50</v>
      </c>
      <c r="G16" s="9" t="n"/>
      <c r="H16" s="18">
        <f>SUM(E16:F16)</f>
        <v/>
      </c>
      <c r="I16" s="18" t="n">
        <v>4</v>
      </c>
      <c r="J16" s="18">
        <f>IF(F16&lt;=17,"0",IF(H16&lt;=39,"0",IF(H16&lt;=49,"4",IF(H16&lt;=54,"5",IF(H16&lt;=59,"6",IF(H16&lt;=69,"7",IF(H16&lt;=79,"8",IF(H16&lt;=89,"9","10"))))))))</f>
        <v/>
      </c>
      <c r="K16" s="18">
        <f>IF(F16&lt;=17,"F",IF(H16&lt;=39,"F",IF(H16&lt;=49,"P",IF(H16&lt;=54,"C",IF(H16&lt;=59,"B",IF(H16&lt;=69,"B+",IF(H16&lt;=79,"A",IF(H16&lt;=89,"A+","O"))))))))</f>
        <v/>
      </c>
      <c r="L16" s="18">
        <f>I16*J16</f>
        <v/>
      </c>
      <c r="M16" s="18" t="n"/>
      <c r="N16" s="9" t="n">
        <v>30</v>
      </c>
      <c r="O16" s="9" t="n">
        <v>40</v>
      </c>
      <c r="P16" s="9" t="n"/>
      <c r="Q16" s="18">
        <f>SUM(N16:O16)</f>
        <v/>
      </c>
      <c r="R16" s="18" t="n">
        <v>4</v>
      </c>
      <c r="S16" s="18">
        <f>IF(O16&lt;=17,"0",IF(Q16&lt;=39,"4",IF(Q16&lt;=49,"4",IF(Q16&lt;=54,"5",IF(Q16&lt;=59,"6",IF(Q16&lt;=69,"7",IF(Q16&lt;=79,"8",IF(Q16&lt;=89,"9","10"))))))))</f>
        <v/>
      </c>
      <c r="T16" s="18">
        <f>IF(O16&lt;=17,"F",IF(Q16&lt;=39,"F",IF(Q16&lt;=49,"P",IF(Q16&lt;=54,"C",IF(Q16&lt;=59,"B",IF(Q16&lt;=69,"B+",IF(Q16&lt;=79,"A",IF(Q16&lt;=89,"A+","O"))))))))</f>
        <v/>
      </c>
      <c r="U16" s="18">
        <f>R16*S16</f>
        <v/>
      </c>
      <c r="V16" s="18" t="n"/>
      <c r="W16" s="9" t="n">
        <v>49</v>
      </c>
      <c r="X16" s="9" t="n">
        <v>45</v>
      </c>
      <c r="Y16" s="18" t="n"/>
      <c r="Z16" s="18">
        <f>SUM(W16:X16)</f>
        <v/>
      </c>
      <c r="AA16" s="18" t="n">
        <v>3</v>
      </c>
      <c r="AB16" s="18">
        <f>IF(X16&lt;=17,"0",IF(Z16&lt;=39,"0",IF(Z16&lt;=49,"4",IF(Z16&lt;=54,"5",IF(Z16&lt;=59,"6",IF(Z16&lt;=69,"7",IF(Z16&lt;=79,"8",IF(Z16&lt;=89,"9","10"))))))))</f>
        <v/>
      </c>
      <c r="AC16" s="18">
        <f>IF(X16&lt;=17,"F",IF(Z16&lt;=39,"F",IF(Z16&lt;=49,"P",IF(Z16&lt;=54,"C",IF(Z16&lt;=59,"B",IF(Z16&lt;=69,"B+",IF(Z16&lt;=79,"A",IF(Z16&lt;=89,"A+","O"))))))))</f>
        <v/>
      </c>
      <c r="AD16" s="18">
        <f>AA16*AB16</f>
        <v/>
      </c>
      <c r="AE16" s="18" t="n"/>
      <c r="AF16" s="46" t="n">
        <v>41</v>
      </c>
      <c r="AG16" s="46" t="n">
        <v>48</v>
      </c>
      <c r="AH16" s="9" t="n"/>
      <c r="AI16" s="18">
        <f>SUM(AF16:AG16)</f>
        <v/>
      </c>
      <c r="AJ16" s="18" t="n">
        <v>3</v>
      </c>
      <c r="AK16" s="18">
        <f>IF(AG16&lt;=17,"0",IF(AI16&lt;=39,"0",IF(AI16&lt;=49,"4",IF(AI16&lt;=54,"5",IF(AI16&lt;=59,"6",IF(AI16&lt;=69,"7",IF(AI16&lt;=79,"8",IF(AI16&lt;=89,"9","10"))))))))</f>
        <v/>
      </c>
      <c r="AL16" s="18">
        <f>IF(AG16&lt;=17,"F",IF(AI16&lt;=39,"F",IF(AI16&lt;=49,"P",IF(AI16&lt;=54,"C",IF(AI16&lt;=59,"B",IF(AI16&lt;=69,"B+",IF(AI16&lt;=79,"A",IF(AI16&lt;=89,"A+","O"))))))))</f>
        <v/>
      </c>
      <c r="AM16" s="18">
        <f>AJ16*AK16</f>
        <v/>
      </c>
      <c r="AN16" s="18" t="n"/>
      <c r="AO16" s="46" t="n">
        <v>33</v>
      </c>
      <c r="AP16" s="46" t="n">
        <v>46</v>
      </c>
      <c r="AQ16" s="9" t="n"/>
      <c r="AR16" s="18">
        <f>(AO16+AP16)</f>
        <v/>
      </c>
      <c r="AS16" s="18" t="n">
        <v>3</v>
      </c>
      <c r="AT16" s="18">
        <f>IF(AP16&lt;=17,"0",IF(AR16&lt;=39,"0",IF(AR16&lt;=49,"4",IF(AR16&lt;=54,"5",IF(AR16&lt;=59,"6",IF(AR16&lt;=69,"7",IF(AR16&lt;=79,"8",IF(AR16&lt;=89,"9","10"))))))))</f>
        <v/>
      </c>
      <c r="AU16" s="18">
        <f>IF(AP16&lt;=17,"F",IF(AR16&lt;=39,"F",IF(AR16&lt;=49,"P",IF(AR16&lt;=54,"C",IF(AR16&lt;=59,"B",IF(AR16&lt;=69,"B+",IF(AR16&lt;=79,"A",IF(AR16&lt;=89,"A+","O"))))))))</f>
        <v/>
      </c>
      <c r="AV16" s="18">
        <f>AS16*AT16</f>
        <v/>
      </c>
      <c r="AW16" s="18" t="n"/>
      <c r="AX16" s="9" t="n">
        <v>42</v>
      </c>
      <c r="AY16" s="9" t="n">
        <v>48</v>
      </c>
      <c r="AZ16" s="9" t="n"/>
      <c r="BA16" s="18">
        <f>(AX16+AY16)</f>
        <v/>
      </c>
      <c r="BB16" s="18" t="n">
        <v>1</v>
      </c>
      <c r="BC16" s="18">
        <f>IF(AY16&lt;=17,"0",IF(BA16&lt;=39,"0",IF(BA16&lt;=49,"4",IF(BA16&lt;=54,"5",IF(BA16&lt;=59,"6",IF(BA16&lt;=69,"7",IF(BA16&lt;=79,"8",IF(BA16&lt;=89,"9","10"))))))))</f>
        <v/>
      </c>
      <c r="BD16" s="18">
        <f>IF(AY16&lt;=17,"F",IF(BA16&lt;=39,"F",IF(BA16&lt;=49,"P",IF(BA16&lt;=54,"C",IF(BA16&lt;=59,"B",IF(BA16&lt;=69,"B+",IF(BA16&lt;=79,"A",IF(BA16&lt;=89,"A+","O"))))))))</f>
        <v/>
      </c>
      <c r="BE16" s="18">
        <f>BB16*BC16</f>
        <v/>
      </c>
      <c r="BF16" s="43" t="inlineStr">
        <is>
          <t>Samskrutika Kannada</t>
        </is>
      </c>
      <c r="BG16" s="9" t="n">
        <v>40</v>
      </c>
      <c r="BH16" s="9" t="n">
        <v>46</v>
      </c>
      <c r="BI16" s="9" t="n"/>
      <c r="BJ16" s="18">
        <f>(BG16+BH16)</f>
        <v/>
      </c>
      <c r="BK16" s="18" t="n">
        <v>1</v>
      </c>
      <c r="BL16" s="18">
        <f>IF(BH16&lt;=17,"0",IF(BJ16&lt;=39,"0",IF(BJ16&lt;=49,"4",IF(BJ16&lt;=54,"5",IF(BJ16&lt;=59,"6",IF(BJ16&lt;=69,"7",IF(BJ16&lt;=79,"8",IF(BJ16&lt;=89,"9","10"))))))))</f>
        <v/>
      </c>
      <c r="BM16" s="18">
        <f>IF(BH16&lt;=17,"F",IF(BJ16&lt;=39,"F",IF(BJ16&lt;=49,"P",IF(BJ16&lt;=54,"C",IF(BJ16&lt;=59,"B",IF(BJ16&lt;=69,"B+",IF(BJ16&lt;=79,"A",IF(BJ16&lt;=89,"A+","O"))))))))</f>
        <v/>
      </c>
      <c r="BN16" s="18">
        <f>BK16*BL16</f>
        <v/>
      </c>
      <c r="BO16" s="18" t="n"/>
      <c r="BP16" s="9" t="n">
        <v>30</v>
      </c>
      <c r="BQ16" s="9" t="n">
        <v>668</v>
      </c>
      <c r="BR16" s="9" t="n"/>
      <c r="BS16" s="18">
        <f>(BP16+BQ16)</f>
        <v/>
      </c>
      <c r="BT16" s="18" t="n">
        <v>1</v>
      </c>
      <c r="BU16" s="18">
        <f>IF(BQ16&lt;=17,"0",IF(BS16&lt;=39,"0",IF(BS16&lt;=49,"4",IF(BS16&lt;=54,"5",IF(BS16&lt;=59,"6",IF(BS16&lt;=69,"7",IF(BS16&lt;=79,"8",IF(BS16&lt;=89,"9","10"))))))))</f>
        <v/>
      </c>
      <c r="BV16" s="18">
        <f>IF(BQ16&lt;=17,"F",IF(BS16&lt;=39,"F",IF(BS16&lt;=49,"P",IF(BS16&lt;=54,"C",IF(BS16&lt;=59,"B",IF(BS16&lt;=69,"B+",IF(BS16&lt;=79,"A",IF(BS16&lt;=89,"A+","O"))))))))</f>
        <v/>
      </c>
      <c r="BW16" s="18">
        <f>BT16*BU16</f>
        <v/>
      </c>
      <c r="BX16" s="18" t="n"/>
      <c r="BY16" s="18" t="n"/>
      <c r="BZ16" s="18">
        <f>L16+U16+AD16+AM16+AV16+BE16+BN16+BW16</f>
        <v/>
      </c>
      <c r="CA16" s="19">
        <f>BZ16/20</f>
        <v/>
      </c>
      <c r="CB16" s="28">
        <f>IF(CA16&lt;4,"F",IF(BV16="F","F",IF(BM16="F","F",IF(BD16="F","F",IF(AU16="F","F",IF(AL16="F","F",IF(AC16="F","F",IF(T16="F","F",IF(K16="F","F",IF(CA16&lt;=5,"C",IF(CA16&lt;6,"B",IF(CA16&lt;7,"B+",IF(CA16&lt;8,"A",IF(CA16&lt;=9,"A+","O"))))))))))))))</f>
        <v/>
      </c>
      <c r="CC16" s="27">
        <f>CA16*9.5</f>
        <v/>
      </c>
      <c r="CD16" s="27" t="n"/>
      <c r="CE16" s="28">
        <f>SUM(BS16,BJ16,BA16,AR16,AI16,Z16,Q16,H16)</f>
        <v/>
      </c>
      <c r="CF16" s="28">
        <f>(CE16/800)*100</f>
        <v/>
      </c>
      <c r="CG16" s="27" t="n"/>
      <c r="CH16" s="27" t="n"/>
      <c r="CI16" s="27">
        <f>IF(CA16&lt;=4,"F",IF(CA16&lt;=6,"PASS",IF(CA16&lt;=6.5,"SC",IF(CA16&lt;=7.5,"FC",IF(CA16&lt;="10","FCD")))))</f>
        <v/>
      </c>
    </row>
    <row r="17" ht="15.75" customHeight="1">
      <c r="A17" s="35">
        <f>A16+1</f>
        <v/>
      </c>
      <c r="B17" s="111" t="inlineStr">
        <is>
          <t>1bi23cd010</t>
        </is>
      </c>
      <c r="C17" s="111" t="inlineStr">
        <is>
          <t>B ANKITH KUMAR</t>
        </is>
      </c>
      <c r="D17" s="47" t="inlineStr">
        <is>
          <t>D</t>
        </is>
      </c>
      <c r="E17" s="9" t="n">
        <v>40</v>
      </c>
      <c r="F17" s="9" t="n">
        <v>48</v>
      </c>
      <c r="G17" s="9" t="n"/>
      <c r="H17" s="18">
        <f>SUM(E17:F17)</f>
        <v/>
      </c>
      <c r="I17" s="18" t="n">
        <v>4</v>
      </c>
      <c r="J17" s="18">
        <f>IF(F17&lt;=17,"0",IF(H17&lt;=39,"0",IF(H17&lt;=49,"4",IF(H17&lt;=54,"5",IF(H17&lt;=59,"6",IF(H17&lt;=69,"7",IF(H17&lt;=79,"8",IF(H17&lt;=89,"9","10"))))))))</f>
        <v/>
      </c>
      <c r="K17" s="18">
        <f>IF(F17&lt;=17,"F",IF(H17&lt;=39,"F",IF(H17&lt;=49,"P",IF(H17&lt;=54,"C",IF(H17&lt;=59,"B",IF(H17&lt;=69,"B+",IF(H17&lt;=79,"A",IF(H17&lt;=89,"A+","O"))))))))</f>
        <v/>
      </c>
      <c r="L17" s="18">
        <f>I17*J17</f>
        <v/>
      </c>
      <c r="M17" s="18" t="n"/>
      <c r="N17" s="9" t="n">
        <v>37</v>
      </c>
      <c r="O17" s="9" t="n">
        <v>50</v>
      </c>
      <c r="P17" s="9" t="n"/>
      <c r="Q17" s="18">
        <f>SUM(N17:O17)</f>
        <v/>
      </c>
      <c r="R17" s="18" t="n">
        <v>4</v>
      </c>
      <c r="S17" s="18">
        <f>IF(O17&lt;=17,"0",IF(Q17&lt;=39,"4",IF(Q17&lt;=49,"4",IF(Q17&lt;=54,"5",IF(Q17&lt;=59,"6",IF(Q17&lt;=69,"7",IF(Q17&lt;=79,"8",IF(Q17&lt;=89,"9","10"))))))))</f>
        <v/>
      </c>
      <c r="T17" s="18">
        <f>IF(O17&lt;=17,"F",IF(Q17&lt;=39,"F",IF(Q17&lt;=49,"P",IF(Q17&lt;=54,"C",IF(Q17&lt;=59,"B",IF(Q17&lt;=69,"B+",IF(Q17&lt;=79,"A",IF(Q17&lt;=89,"A+","O"))))))))</f>
        <v/>
      </c>
      <c r="U17" s="18">
        <f>R17*S17</f>
        <v/>
      </c>
      <c r="V17" s="18" t="n"/>
      <c r="W17" s="9" t="n">
        <v>48</v>
      </c>
      <c r="X17" s="9" t="n">
        <v>49</v>
      </c>
      <c r="Y17" s="18" t="n"/>
      <c r="Z17" s="18">
        <f>SUM(W17:X17)</f>
        <v/>
      </c>
      <c r="AA17" s="18" t="n">
        <v>3</v>
      </c>
      <c r="AB17" s="18">
        <f>IF(X17&lt;=17,"0",IF(Z17&lt;=39,"0",IF(Z17&lt;=49,"4",IF(Z17&lt;=54,"5",IF(Z17&lt;=59,"6",IF(Z17&lt;=69,"7",IF(Z17&lt;=79,"8",IF(Z17&lt;=89,"9","10"))))))))</f>
        <v/>
      </c>
      <c r="AC17" s="18">
        <f>IF(X17&lt;=17,"F",IF(Z17&lt;=39,"F",IF(Z17&lt;=49,"P",IF(Z17&lt;=54,"C",IF(Z17&lt;=59,"B",IF(Z17&lt;=69,"B+",IF(Z17&lt;=79,"A",IF(Z17&lt;=89,"A+","O"))))))))</f>
        <v/>
      </c>
      <c r="AD17" s="18">
        <f>AA17*AB17</f>
        <v/>
      </c>
      <c r="AE17" s="18" t="n"/>
      <c r="AF17" s="46" t="n">
        <v>40</v>
      </c>
      <c r="AG17" s="46" t="n">
        <v>50</v>
      </c>
      <c r="AH17" s="9" t="n"/>
      <c r="AI17" s="18">
        <f>SUM(AF17:AG17)</f>
        <v/>
      </c>
      <c r="AJ17" s="18" t="n">
        <v>3</v>
      </c>
      <c r="AK17" s="18">
        <f>IF(AG17&lt;=17,"0",IF(AI17&lt;=39,"0",IF(AI17&lt;=49,"4",IF(AI17&lt;=54,"5",IF(AI17&lt;=59,"6",IF(AI17&lt;=69,"7",IF(AI17&lt;=79,"8",IF(AI17&lt;=89,"9","10"))))))))</f>
        <v/>
      </c>
      <c r="AL17" s="18">
        <f>IF(AG17&lt;=17,"F",IF(AI17&lt;=39,"F",IF(AI17&lt;=49,"P",IF(AI17&lt;=54,"C",IF(AI17&lt;=59,"B",IF(AI17&lt;=69,"B+",IF(AI17&lt;=79,"A",IF(AI17&lt;=89,"A+","O"))))))))</f>
        <v/>
      </c>
      <c r="AM17" s="18">
        <f>AJ17*AK17</f>
        <v/>
      </c>
      <c r="AN17" s="18" t="n"/>
      <c r="AO17" s="46" t="n">
        <v>31</v>
      </c>
      <c r="AP17" s="46" t="n">
        <v>48</v>
      </c>
      <c r="AQ17" s="9" t="n"/>
      <c r="AR17" s="18">
        <f>(AO17+AP17)</f>
        <v/>
      </c>
      <c r="AS17" s="18" t="n">
        <v>3</v>
      </c>
      <c r="AT17" s="18">
        <f>IF(AP17&lt;=17,"0",IF(AR17&lt;=39,"0",IF(AR17&lt;=49,"4",IF(AR17&lt;=54,"5",IF(AR17&lt;=59,"6",IF(AR17&lt;=69,"7",IF(AR17&lt;=79,"8",IF(AR17&lt;=89,"9","10"))))))))</f>
        <v/>
      </c>
      <c r="AU17" s="18">
        <f>IF(AP17&lt;=17,"F",IF(AR17&lt;=39,"F",IF(AR17&lt;=49,"P",IF(AR17&lt;=54,"C",IF(AR17&lt;=59,"B",IF(AR17&lt;=69,"B+",IF(AR17&lt;=79,"A",IF(AR17&lt;=89,"A+","O"))))))))</f>
        <v/>
      </c>
      <c r="AV17" s="18">
        <f>AS17*AT17</f>
        <v/>
      </c>
      <c r="AW17" s="18" t="n"/>
      <c r="AX17" s="9" t="n">
        <v>37</v>
      </c>
      <c r="AY17" s="9" t="n">
        <v>50</v>
      </c>
      <c r="AZ17" s="9" t="n"/>
      <c r="BA17" s="18">
        <f>(AX17+AY17)</f>
        <v/>
      </c>
      <c r="BB17" s="18" t="n">
        <v>1</v>
      </c>
      <c r="BC17" s="18">
        <f>IF(AY17&lt;=17,"0",IF(BA17&lt;=39,"0",IF(BA17&lt;=49,"4",IF(BA17&lt;=54,"5",IF(BA17&lt;=59,"6",IF(BA17&lt;=69,"7",IF(BA17&lt;=79,"8",IF(BA17&lt;=89,"9","10"))))))))</f>
        <v/>
      </c>
      <c r="BD17" s="18">
        <f>IF(AY17&lt;=17,"F",IF(BA17&lt;=39,"F",IF(BA17&lt;=49,"P",IF(BA17&lt;=54,"C",IF(BA17&lt;=59,"B",IF(BA17&lt;=69,"B+",IF(BA17&lt;=79,"A",IF(BA17&lt;=89,"A+","O"))))))))</f>
        <v/>
      </c>
      <c r="BE17" s="18">
        <f>BB17*BC17</f>
        <v/>
      </c>
      <c r="BF17" s="43" t="inlineStr">
        <is>
          <t>Samskrutika Kannada</t>
        </is>
      </c>
      <c r="BG17" s="9" t="n">
        <v>41</v>
      </c>
      <c r="BH17" s="9" t="n">
        <v>48</v>
      </c>
      <c r="BI17" s="9" t="n"/>
      <c r="BJ17" s="18">
        <f>(BG17+BH17)</f>
        <v/>
      </c>
      <c r="BK17" s="18" t="n">
        <v>1</v>
      </c>
      <c r="BL17" s="18">
        <f>IF(BH17&lt;=17,"0",IF(BJ17&lt;=39,"0",IF(BJ17&lt;=49,"4",IF(BJ17&lt;=54,"5",IF(BJ17&lt;=59,"6",IF(BJ17&lt;=69,"7",IF(BJ17&lt;=79,"8",IF(BJ17&lt;=89,"9","10"))))))))</f>
        <v/>
      </c>
      <c r="BM17" s="18">
        <f>IF(BH17&lt;=17,"F",IF(BJ17&lt;=39,"F",IF(BJ17&lt;=49,"P",IF(BJ17&lt;=54,"C",IF(BJ17&lt;=59,"B",IF(BJ17&lt;=69,"B+",IF(BJ17&lt;=79,"A",IF(BJ17&lt;=89,"A+","O"))))))))</f>
        <v/>
      </c>
      <c r="BN17" s="18">
        <f>BK17*BL17</f>
        <v/>
      </c>
      <c r="BO17" s="18" t="n"/>
      <c r="BP17" s="9" t="n">
        <v>33</v>
      </c>
      <c r="BQ17" s="9" t="n">
        <v>698</v>
      </c>
      <c r="BR17" s="9" t="n"/>
      <c r="BS17" s="18">
        <f>(BP17+BQ17)</f>
        <v/>
      </c>
      <c r="BT17" s="18" t="n">
        <v>1</v>
      </c>
      <c r="BU17" s="18">
        <f>IF(BQ17&lt;=17,"0",IF(BS17&lt;=39,"0",IF(BS17&lt;=49,"4",IF(BS17&lt;=54,"5",IF(BS17&lt;=59,"6",IF(BS17&lt;=69,"7",IF(BS17&lt;=79,"8",IF(BS17&lt;=89,"9","10"))))))))</f>
        <v/>
      </c>
      <c r="BV17" s="18">
        <f>IF(BQ17&lt;=17,"F",IF(BS17&lt;=39,"F",IF(BS17&lt;=49,"P",IF(BS17&lt;=54,"C",IF(BS17&lt;=59,"B",IF(BS17&lt;=69,"B+",IF(BS17&lt;=79,"A",IF(BS17&lt;=89,"A+","O"))))))))</f>
        <v/>
      </c>
      <c r="BW17" s="18">
        <f>BT17*BU17</f>
        <v/>
      </c>
      <c r="BX17" s="18" t="n"/>
      <c r="BY17" s="18" t="n"/>
      <c r="BZ17" s="18">
        <f>L17+U17+AD17+AM17+AV17+BE17+BN17+BW17</f>
        <v/>
      </c>
      <c r="CA17" s="19">
        <f>BZ17/20</f>
        <v/>
      </c>
      <c r="CB17" s="28">
        <f>IF(CA17&lt;4,"F",IF(BV17="F","F",IF(BM17="F","F",IF(BD17="F","F",IF(AU17="F","F",IF(AL17="F","F",IF(AC17="F","F",IF(T17="F","F",IF(K17="F","F",IF(CA17&lt;=5,"C",IF(CA17&lt;6,"B",IF(CA17&lt;7,"B+",IF(CA17&lt;8,"A",IF(CA17&lt;=9,"A+","O"))))))))))))))</f>
        <v/>
      </c>
      <c r="CC17" s="27">
        <f>CA17*9.5</f>
        <v/>
      </c>
      <c r="CD17" s="27" t="n"/>
      <c r="CE17" s="28">
        <f>SUM(BS17,BJ17,BA17,AR17,AI17,Z17,Q17,H17)</f>
        <v/>
      </c>
      <c r="CF17" s="28">
        <f>(CE17/800)*100</f>
        <v/>
      </c>
      <c r="CG17" s="27" t="n"/>
      <c r="CH17" s="27" t="n"/>
      <c r="CI17" s="27">
        <f>IF(CA17&lt;=4,"F",IF(CA17&lt;=6,"PASS",IF(CA17&lt;=6.5,"SC",IF(CA17&lt;=7.5,"FC",IF(CA17&lt;="10","FCD")))))</f>
        <v/>
      </c>
    </row>
    <row r="18" ht="15.75" customHeight="1">
      <c r="A18" s="35">
        <f>A17+1</f>
        <v/>
      </c>
      <c r="B18" s="111" t="inlineStr">
        <is>
          <t>1bi23cd011</t>
        </is>
      </c>
      <c r="C18" s="111" t="inlineStr">
        <is>
          <t>BASAVARAJ</t>
        </is>
      </c>
      <c r="D18" s="47" t="inlineStr">
        <is>
          <t>D</t>
        </is>
      </c>
      <c r="E18" s="9" t="n">
        <v>18</v>
      </c>
      <c r="F18" s="9" t="n">
        <v>44</v>
      </c>
      <c r="G18" s="9" t="n"/>
      <c r="H18" s="18">
        <f>SUM(E18:F18)</f>
        <v/>
      </c>
      <c r="I18" s="18" t="n">
        <v>4</v>
      </c>
      <c r="J18" s="18">
        <f>IF(F18&lt;=17,"0",IF(H18&lt;=39,"0",IF(H18&lt;=49,"4",IF(H18&lt;=54,"5",IF(H18&lt;=59,"6",IF(H18&lt;=69,"7",IF(H18&lt;=79,"8",IF(H18&lt;=89,"9","10"))))))))</f>
        <v/>
      </c>
      <c r="K18" s="18">
        <f>IF(F18&lt;=17,"F",IF(H18&lt;=39,"F",IF(H18&lt;=49,"P",IF(H18&lt;=54,"C",IF(H18&lt;=59,"B",IF(H18&lt;=69,"B+",IF(H18&lt;=79,"A",IF(H18&lt;=89,"A+","O"))))))))</f>
        <v/>
      </c>
      <c r="L18" s="18">
        <f>I18*J18</f>
        <v/>
      </c>
      <c r="M18" s="18" t="n"/>
      <c r="N18" s="9" t="n">
        <v>9</v>
      </c>
      <c r="O18" s="9" t="n">
        <v>46</v>
      </c>
      <c r="P18" s="9" t="n"/>
      <c r="Q18" s="18">
        <f>SUM(N18:O18)</f>
        <v/>
      </c>
      <c r="R18" s="18" t="n">
        <v>4</v>
      </c>
      <c r="S18" s="18">
        <f>IF(O18&lt;=17,"0",IF(Q18&lt;=39,"4",IF(Q18&lt;=49,"4",IF(Q18&lt;=54,"5",IF(Q18&lt;=59,"6",IF(Q18&lt;=69,"7",IF(Q18&lt;=79,"8",IF(Q18&lt;=89,"9","10"))))))))</f>
        <v/>
      </c>
      <c r="T18" s="18">
        <f>IF(O18&lt;=17,"F",IF(Q18&lt;=39,"F",IF(Q18&lt;=49,"P",IF(Q18&lt;=54,"C",IF(Q18&lt;=59,"B",IF(Q18&lt;=69,"B+",IF(Q18&lt;=79,"A",IF(Q18&lt;=89,"A+","O"))))))))</f>
        <v/>
      </c>
      <c r="U18" s="18">
        <f>R18*S18</f>
        <v/>
      </c>
      <c r="V18" s="18" t="n"/>
      <c r="W18" s="9" t="n">
        <v>49</v>
      </c>
      <c r="X18" s="9" t="n">
        <v>41</v>
      </c>
      <c r="Y18" s="18" t="n"/>
      <c r="Z18" s="18">
        <f>SUM(W18:X18)</f>
        <v/>
      </c>
      <c r="AA18" s="18" t="n">
        <v>3</v>
      </c>
      <c r="AB18" s="18">
        <f>IF(X18&lt;=17,"0",IF(Z18&lt;=39,"0",IF(Z18&lt;=49,"4",IF(Z18&lt;=54,"5",IF(Z18&lt;=59,"6",IF(Z18&lt;=69,"7",IF(Z18&lt;=79,"8",IF(Z18&lt;=89,"9","10"))))))))</f>
        <v/>
      </c>
      <c r="AC18" s="18">
        <f>IF(X18&lt;=17,"F",IF(Z18&lt;=39,"F",IF(Z18&lt;=49,"P",IF(Z18&lt;=54,"C",IF(Z18&lt;=59,"B",IF(Z18&lt;=69,"B+",IF(Z18&lt;=79,"A",IF(Z18&lt;=89,"A+","O"))))))))</f>
        <v/>
      </c>
      <c r="AD18" s="18">
        <f>AA18*AB18</f>
        <v/>
      </c>
      <c r="AE18" s="18" t="n"/>
      <c r="AF18" s="46" t="n">
        <v>31</v>
      </c>
      <c r="AG18" s="46" t="n">
        <v>40</v>
      </c>
      <c r="AH18" s="9" t="n"/>
      <c r="AI18" s="18">
        <f>SUM(AF18:AG18)</f>
        <v/>
      </c>
      <c r="AJ18" s="18" t="n">
        <v>3</v>
      </c>
      <c r="AK18" s="18">
        <f>IF(AG18&lt;=17,"0",IF(AI18&lt;=39,"0",IF(AI18&lt;=49,"4",IF(AI18&lt;=54,"5",IF(AI18&lt;=59,"6",IF(AI18&lt;=69,"7",IF(AI18&lt;=79,"8",IF(AI18&lt;=89,"9","10"))))))))</f>
        <v/>
      </c>
      <c r="AL18" s="18">
        <f>IF(AG18&lt;=17,"F",IF(AI18&lt;=39,"F",IF(AI18&lt;=49,"P",IF(AI18&lt;=54,"C",IF(AI18&lt;=59,"B",IF(AI18&lt;=69,"B+",IF(AI18&lt;=79,"A",IF(AI18&lt;=89,"A+","O"))))))))</f>
        <v/>
      </c>
      <c r="AM18" s="18">
        <f>AJ18*AK18</f>
        <v/>
      </c>
      <c r="AN18" s="18" t="n"/>
      <c r="AO18" s="46" t="n">
        <v>25</v>
      </c>
      <c r="AP18" s="46" t="n">
        <v>46</v>
      </c>
      <c r="AQ18" s="9" t="n"/>
      <c r="AR18" s="18">
        <f>(AO18+AP18)</f>
        <v/>
      </c>
      <c r="AS18" s="18" t="n">
        <v>3</v>
      </c>
      <c r="AT18" s="18">
        <f>IF(AP18&lt;=17,"0",IF(AR18&lt;=39,"0",IF(AR18&lt;=49,"4",IF(AR18&lt;=54,"5",IF(AR18&lt;=59,"6",IF(AR18&lt;=69,"7",IF(AR18&lt;=79,"8",IF(AR18&lt;=89,"9","10"))))))))</f>
        <v/>
      </c>
      <c r="AU18" s="18">
        <f>IF(AP18&lt;=17,"F",IF(AR18&lt;=39,"F",IF(AR18&lt;=49,"P",IF(AR18&lt;=54,"C",IF(AR18&lt;=59,"B",IF(AR18&lt;=69,"B+",IF(AR18&lt;=79,"A",IF(AR18&lt;=89,"A+","O"))))))))</f>
        <v/>
      </c>
      <c r="AV18" s="18">
        <f>AS18*AT18</f>
        <v/>
      </c>
      <c r="AW18" s="18" t="n"/>
      <c r="AX18" s="9" t="n">
        <v>29</v>
      </c>
      <c r="AY18" s="9" t="n">
        <v>39</v>
      </c>
      <c r="AZ18" s="9" t="n"/>
      <c r="BA18" s="18">
        <f>(AX18+AY18)</f>
        <v/>
      </c>
      <c r="BB18" s="18" t="n">
        <v>1</v>
      </c>
      <c r="BC18" s="18">
        <f>IF(AY18&lt;=17,"0",IF(BA18&lt;=39,"0",IF(BA18&lt;=49,"4",IF(BA18&lt;=54,"5",IF(BA18&lt;=59,"6",IF(BA18&lt;=69,"7",IF(BA18&lt;=79,"8",IF(BA18&lt;=89,"9","10"))))))))</f>
        <v/>
      </c>
      <c r="BD18" s="18">
        <f>IF(AY18&lt;=17,"F",IF(BA18&lt;=39,"F",IF(BA18&lt;=49,"P",IF(BA18&lt;=54,"C",IF(BA18&lt;=59,"B",IF(BA18&lt;=69,"B+",IF(BA18&lt;=79,"A",IF(BA18&lt;=89,"A+","O"))))))))</f>
        <v/>
      </c>
      <c r="BE18" s="18">
        <f>BB18*BC18</f>
        <v/>
      </c>
      <c r="BF18" s="43" t="inlineStr">
        <is>
          <t>Balake Kannada</t>
        </is>
      </c>
      <c r="BG18" s="9" t="n">
        <v>25</v>
      </c>
      <c r="BH18" s="9" t="n">
        <v>41</v>
      </c>
      <c r="BI18" s="9" t="n"/>
      <c r="BJ18" s="18">
        <f>(BG18+BH18)</f>
        <v/>
      </c>
      <c r="BK18" s="18" t="n">
        <v>1</v>
      </c>
      <c r="BL18" s="18">
        <f>IF(BH18&lt;=17,"0",IF(BJ18&lt;=39,"0",IF(BJ18&lt;=49,"4",IF(BJ18&lt;=54,"5",IF(BJ18&lt;=59,"6",IF(BJ18&lt;=69,"7",IF(BJ18&lt;=79,"8",IF(BJ18&lt;=89,"9","10"))))))))</f>
        <v/>
      </c>
      <c r="BM18" s="18">
        <f>IF(BH18&lt;=17,"F",IF(BJ18&lt;=39,"F",IF(BJ18&lt;=49,"P",IF(BJ18&lt;=54,"C",IF(BJ18&lt;=59,"B",IF(BJ18&lt;=69,"B+",IF(BJ18&lt;=79,"A",IF(BJ18&lt;=89,"A+","O"))))))))</f>
        <v/>
      </c>
      <c r="BN18" s="18">
        <f>BK18*BL18</f>
        <v/>
      </c>
      <c r="BO18" s="18" t="n"/>
      <c r="BP18" s="9" t="n">
        <v>18</v>
      </c>
      <c r="BQ18" s="9" t="n">
        <v>538</v>
      </c>
      <c r="BR18" s="9" t="n"/>
      <c r="BS18" s="18">
        <f>(BP18+BQ18)</f>
        <v/>
      </c>
      <c r="BT18" s="18" t="n">
        <v>1</v>
      </c>
      <c r="BU18" s="18">
        <f>IF(BQ18&lt;=17,"0",IF(BS18&lt;=39,"0",IF(BS18&lt;=49,"4",IF(BS18&lt;=54,"5",IF(BS18&lt;=59,"6",IF(BS18&lt;=69,"7",IF(BS18&lt;=79,"8",IF(BS18&lt;=89,"9","10"))))))))</f>
        <v/>
      </c>
      <c r="BV18" s="18">
        <f>IF(BQ18&lt;=17,"F",IF(BS18&lt;=39,"F",IF(BS18&lt;=49,"P",IF(BS18&lt;=54,"C",IF(BS18&lt;=59,"B",IF(BS18&lt;=69,"B+",IF(BS18&lt;=79,"A",IF(BS18&lt;=89,"A+","O"))))))))</f>
        <v/>
      </c>
      <c r="BW18" s="18">
        <f>BT18*BU18</f>
        <v/>
      </c>
      <c r="BX18" s="18" t="n"/>
      <c r="BY18" s="18" t="n"/>
      <c r="BZ18" s="18">
        <f>L18+U18+AD18+AM18+AV18+BE18+BN18+BW18</f>
        <v/>
      </c>
      <c r="CA18" s="19">
        <f>BZ18/20</f>
        <v/>
      </c>
      <c r="CB18" s="28">
        <f>IF(CA18&lt;4,"F",IF(BV18="F","F",IF(BM18="F","F",IF(BD18="F","F",IF(AU18="F","F",IF(AL18="F","F",IF(AC18="F","F",IF(T18="F","F",IF(K18="F","F",IF(CA18&lt;=5,"C",IF(CA18&lt;6,"B",IF(CA18&lt;7,"B+",IF(CA18&lt;8,"A",IF(CA18&lt;=9,"A+","O"))))))))))))))</f>
        <v/>
      </c>
      <c r="CC18" s="27">
        <f>CA18*9.5</f>
        <v/>
      </c>
      <c r="CD18" s="27" t="n"/>
      <c r="CE18" s="28">
        <f>SUM(BS18,BJ18,BA18,AR18,AI18,Z18,Q18,H18)</f>
        <v/>
      </c>
      <c r="CF18" s="28">
        <f>(CE18/800)*100</f>
        <v/>
      </c>
      <c r="CG18" s="27" t="n"/>
      <c r="CH18" s="27" t="n"/>
      <c r="CI18" s="27">
        <f>IF(CA18&lt;=4,"F",IF(CA18&lt;=6,"PASS",IF(CA18&lt;=6.5,"SC",IF(CA18&lt;=7.5,"FC",IF(CA18&lt;="10","FCD")))))</f>
        <v/>
      </c>
    </row>
    <row r="19" ht="15.75" customHeight="1">
      <c r="A19" s="35">
        <f>A18+1</f>
        <v/>
      </c>
      <c r="B19" s="111" t="inlineStr">
        <is>
          <t>1bi23cd012</t>
        </is>
      </c>
      <c r="C19" s="111" t="inlineStr">
        <is>
          <t>BINDU SHREE R</t>
        </is>
      </c>
      <c r="D19" s="47" t="inlineStr">
        <is>
          <t>D</t>
        </is>
      </c>
      <c r="E19" s="9" t="n">
        <v>46</v>
      </c>
      <c r="F19" s="9" t="n">
        <v>50</v>
      </c>
      <c r="G19" s="9" t="n"/>
      <c r="H19" s="18">
        <f>SUM(E19:F19)</f>
        <v/>
      </c>
      <c r="I19" s="18" t="n">
        <v>4</v>
      </c>
      <c r="J19" s="18">
        <f>IF(F19&lt;=17,"0",IF(H19&lt;=39,"0",IF(H19&lt;=49,"4",IF(H19&lt;=54,"5",IF(H19&lt;=59,"6",IF(H19&lt;=69,"7",IF(H19&lt;=79,"8",IF(H19&lt;=89,"9","10"))))))))</f>
        <v/>
      </c>
      <c r="K19" s="18">
        <f>IF(F19&lt;=17,"F",IF(H19&lt;=39,"F",IF(H19&lt;=49,"P",IF(H19&lt;=54,"C",IF(H19&lt;=59,"B",IF(H19&lt;=69,"B+",IF(H19&lt;=79,"A",IF(H19&lt;=89,"A+","O"))))))))</f>
        <v/>
      </c>
      <c r="L19" s="18">
        <f>I19*J19</f>
        <v/>
      </c>
      <c r="M19" s="18" t="n"/>
      <c r="N19" s="9" t="n">
        <v>31</v>
      </c>
      <c r="O19" s="9" t="n">
        <v>50</v>
      </c>
      <c r="P19" s="9" t="n"/>
      <c r="Q19" s="18">
        <f>SUM(N19:O19)</f>
        <v/>
      </c>
      <c r="R19" s="18" t="n">
        <v>4</v>
      </c>
      <c r="S19" s="18">
        <f>IF(O19&lt;=17,"0",IF(Q19&lt;=39,"4",IF(Q19&lt;=49,"4",IF(Q19&lt;=54,"5",IF(Q19&lt;=59,"6",IF(Q19&lt;=69,"7",IF(Q19&lt;=79,"8",IF(Q19&lt;=89,"9","10"))))))))</f>
        <v/>
      </c>
      <c r="T19" s="18">
        <f>IF(O19&lt;=17,"F",IF(Q19&lt;=39,"F",IF(Q19&lt;=49,"P",IF(Q19&lt;=54,"C",IF(Q19&lt;=59,"B",IF(Q19&lt;=69,"B+",IF(Q19&lt;=79,"A",IF(Q19&lt;=89,"A+","O"))))))))</f>
        <v/>
      </c>
      <c r="U19" s="18">
        <f>R19*S19</f>
        <v/>
      </c>
      <c r="V19" s="18" t="n"/>
      <c r="W19" s="9" t="n">
        <v>48</v>
      </c>
      <c r="X19" s="9" t="n">
        <v>49</v>
      </c>
      <c r="Y19" s="18" t="n"/>
      <c r="Z19" s="18">
        <f>SUM(W19:X19)</f>
        <v/>
      </c>
      <c r="AA19" s="18" t="n">
        <v>3</v>
      </c>
      <c r="AB19" s="18">
        <f>IF(X19&lt;=17,"0",IF(Z19&lt;=39,"0",IF(Z19&lt;=49,"4",IF(Z19&lt;=54,"5",IF(Z19&lt;=59,"6",IF(Z19&lt;=69,"7",IF(Z19&lt;=79,"8",IF(Z19&lt;=89,"9","10"))))))))</f>
        <v/>
      </c>
      <c r="AC19" s="18">
        <f>IF(X19&lt;=17,"F",IF(Z19&lt;=39,"F",IF(Z19&lt;=49,"P",IF(Z19&lt;=54,"C",IF(Z19&lt;=59,"B",IF(Z19&lt;=69,"B+",IF(Z19&lt;=79,"A",IF(Z19&lt;=89,"A+","O"))))))))</f>
        <v/>
      </c>
      <c r="AD19" s="18">
        <f>AA19*AB19</f>
        <v/>
      </c>
      <c r="AE19" s="18" t="n"/>
      <c r="AF19" s="46" t="n">
        <v>40</v>
      </c>
      <c r="AG19" s="46" t="n">
        <v>50</v>
      </c>
      <c r="AH19" s="9" t="n"/>
      <c r="AI19" s="18">
        <f>SUM(AF19:AG19)</f>
        <v/>
      </c>
      <c r="AJ19" s="18" t="n">
        <v>3</v>
      </c>
      <c r="AK19" s="18">
        <f>IF(AG19&lt;=17,"0",IF(AI19&lt;=39,"0",IF(AI19&lt;=49,"4",IF(AI19&lt;=54,"5",IF(AI19&lt;=59,"6",IF(AI19&lt;=69,"7",IF(AI19&lt;=79,"8",IF(AI19&lt;=89,"9","10"))))))))</f>
        <v/>
      </c>
      <c r="AL19" s="18">
        <f>IF(AG19&lt;=17,"F",IF(AI19&lt;=39,"F",IF(AI19&lt;=49,"P",IF(AI19&lt;=54,"C",IF(AI19&lt;=59,"B",IF(AI19&lt;=69,"B+",IF(AI19&lt;=79,"A",IF(AI19&lt;=89,"A+","O"))))))))</f>
        <v/>
      </c>
      <c r="AM19" s="18">
        <f>AJ19*AK19</f>
        <v/>
      </c>
      <c r="AN19" s="18" t="n"/>
      <c r="AO19" s="46" t="n">
        <v>39</v>
      </c>
      <c r="AP19" s="46" t="n">
        <v>50</v>
      </c>
      <c r="AQ19" s="9" t="n"/>
      <c r="AR19" s="18">
        <f>(AO19+AP19)</f>
        <v/>
      </c>
      <c r="AS19" s="18" t="n">
        <v>3</v>
      </c>
      <c r="AT19" s="18">
        <f>IF(AP19&lt;=17,"0",IF(AR19&lt;=39,"0",IF(AR19&lt;=49,"4",IF(AR19&lt;=54,"5",IF(AR19&lt;=59,"6",IF(AR19&lt;=69,"7",IF(AR19&lt;=79,"8",IF(AR19&lt;=89,"9","10"))))))))</f>
        <v/>
      </c>
      <c r="AU19" s="18">
        <f>IF(AP19&lt;=17,"F",IF(AR19&lt;=39,"F",IF(AR19&lt;=49,"P",IF(AR19&lt;=54,"C",IF(AR19&lt;=59,"B",IF(AR19&lt;=69,"B+",IF(AR19&lt;=79,"A",IF(AR19&lt;=89,"A+","O"))))))))</f>
        <v/>
      </c>
      <c r="AV19" s="18">
        <f>AS19*AT19</f>
        <v/>
      </c>
      <c r="AW19" s="18" t="n"/>
      <c r="AX19" s="9" t="n">
        <v>46</v>
      </c>
      <c r="AY19" s="9" t="n">
        <v>50</v>
      </c>
      <c r="AZ19" s="9" t="n"/>
      <c r="BA19" s="18">
        <f>(AX19+AY19)</f>
        <v/>
      </c>
      <c r="BB19" s="18" t="n">
        <v>1</v>
      </c>
      <c r="BC19" s="18">
        <f>IF(AY19&lt;=17,"0",IF(BA19&lt;=39,"0",IF(BA19&lt;=49,"4",IF(BA19&lt;=54,"5",IF(BA19&lt;=59,"6",IF(BA19&lt;=69,"7",IF(BA19&lt;=79,"8",IF(BA19&lt;=89,"9","10"))))))))</f>
        <v/>
      </c>
      <c r="BD19" s="18">
        <f>IF(AY19&lt;=17,"F",IF(BA19&lt;=39,"F",IF(BA19&lt;=49,"P",IF(BA19&lt;=54,"C",IF(BA19&lt;=59,"B",IF(BA19&lt;=69,"B+",IF(BA19&lt;=79,"A",IF(BA19&lt;=89,"A+","O"))))))))</f>
        <v/>
      </c>
      <c r="BE19" s="18">
        <f>BB19*BC19</f>
        <v/>
      </c>
      <c r="BF19" s="43" t="inlineStr">
        <is>
          <t>Samskrutika Kannada</t>
        </is>
      </c>
      <c r="BG19" s="9" t="n">
        <v>44</v>
      </c>
      <c r="BH19" s="9" t="n">
        <v>50</v>
      </c>
      <c r="BI19" s="9" t="n"/>
      <c r="BJ19" s="18">
        <f>(BG19+BH19)</f>
        <v/>
      </c>
      <c r="BK19" s="18" t="n">
        <v>1</v>
      </c>
      <c r="BL19" s="18">
        <f>IF(BH19&lt;=17,"0",IF(BJ19&lt;=39,"0",IF(BJ19&lt;=49,"4",IF(BJ19&lt;=54,"5",IF(BJ19&lt;=59,"6",IF(BJ19&lt;=69,"7",IF(BJ19&lt;=79,"8",IF(BJ19&lt;=89,"9","10"))))))))</f>
        <v/>
      </c>
      <c r="BM19" s="18">
        <f>IF(BH19&lt;=17,"F",IF(BJ19&lt;=39,"F",IF(BJ19&lt;=49,"P",IF(BJ19&lt;=54,"C",IF(BJ19&lt;=59,"B",IF(BJ19&lt;=69,"B+",IF(BJ19&lt;=79,"A",IF(BJ19&lt;=89,"A+","O"))))))))</f>
        <v/>
      </c>
      <c r="BN19" s="18">
        <f>BK19*BL19</f>
        <v/>
      </c>
      <c r="BO19" s="18" t="n"/>
      <c r="BP19" s="9" t="n">
        <v>42</v>
      </c>
      <c r="BQ19" s="9" t="n">
        <v>733</v>
      </c>
      <c r="BR19" s="9" t="n"/>
      <c r="BS19" s="18">
        <f>(BP19+BQ19)</f>
        <v/>
      </c>
      <c r="BT19" s="18" t="n">
        <v>1</v>
      </c>
      <c r="BU19" s="18">
        <f>IF(BQ19&lt;=17,"0",IF(BS19&lt;=39,"0",IF(BS19&lt;=49,"4",IF(BS19&lt;=54,"5",IF(BS19&lt;=59,"6",IF(BS19&lt;=69,"7",IF(BS19&lt;=79,"8",IF(BS19&lt;=89,"9","10"))))))))</f>
        <v/>
      </c>
      <c r="BV19" s="18">
        <f>IF(BQ19&lt;=17,"F",IF(BS19&lt;=39,"F",IF(BS19&lt;=49,"P",IF(BS19&lt;=54,"C",IF(BS19&lt;=59,"B",IF(BS19&lt;=69,"B+",IF(BS19&lt;=79,"A",IF(BS19&lt;=89,"A+","O"))))))))</f>
        <v/>
      </c>
      <c r="BW19" s="18">
        <f>BT19*BU19</f>
        <v/>
      </c>
      <c r="BX19" s="18" t="n"/>
      <c r="BY19" s="18" t="n"/>
      <c r="BZ19" s="18">
        <f>L19+U19+AD19+AM19+AV19+BE19+BN19+BW19</f>
        <v/>
      </c>
      <c r="CA19" s="19">
        <f>BZ19/20</f>
        <v/>
      </c>
      <c r="CB19" s="28">
        <f>IF(CA19&lt;4,"F",IF(BV19="F","F",IF(BM19="F","F",IF(BD19="F","F",IF(AU19="F","F",IF(AL19="F","F",IF(AC19="F","F",IF(T19="F","F",IF(K19="F","F",IF(CA19&lt;=5,"C",IF(CA19&lt;6,"B",IF(CA19&lt;7,"B+",IF(CA19&lt;8,"A",IF(CA19&lt;=9,"A+","O"))))))))))))))</f>
        <v/>
      </c>
      <c r="CC19" s="27">
        <f>CA19*9.5</f>
        <v/>
      </c>
      <c r="CD19" s="27" t="n"/>
      <c r="CE19" s="28">
        <f>SUM(BS19,BJ19,BA19,AR19,AI19,Z19,Q19,H19)</f>
        <v/>
      </c>
      <c r="CF19" s="28">
        <f>(CE19/800)*100</f>
        <v/>
      </c>
      <c r="CG19" s="27" t="n"/>
      <c r="CH19" s="27" t="n"/>
      <c r="CI19" s="27">
        <f>IF(CA19&lt;=4,"F",IF(CA19&lt;=6,"PASS",IF(CA19&lt;=6.5,"SC",IF(CA19&lt;=7.5,"FC",IF(CA19&lt;="10","FCD")))))</f>
        <v/>
      </c>
    </row>
    <row r="20" ht="15.75" customHeight="1">
      <c r="A20" s="35">
        <f>A19+1</f>
        <v/>
      </c>
      <c r="B20" s="111" t="inlineStr">
        <is>
          <t>1bi23cd013</t>
        </is>
      </c>
      <c r="C20" s="111" t="inlineStr">
        <is>
          <t>CHETHAN S</t>
        </is>
      </c>
      <c r="D20" s="47" t="inlineStr">
        <is>
          <t>D</t>
        </is>
      </c>
      <c r="E20" s="9" t="n">
        <v>34</v>
      </c>
      <c r="F20" s="9" t="n">
        <v>49</v>
      </c>
      <c r="G20" s="9" t="n"/>
      <c r="H20" s="18">
        <f>SUM(E20:F20)</f>
        <v/>
      </c>
      <c r="I20" s="18" t="n">
        <v>4</v>
      </c>
      <c r="J20" s="18">
        <f>IF(F20&lt;=17,"0",IF(H20&lt;=39,"0",IF(H20&lt;=49,"4",IF(H20&lt;=54,"5",IF(H20&lt;=59,"6",IF(H20&lt;=69,"7",IF(H20&lt;=79,"8",IF(H20&lt;=89,"9","10"))))))))</f>
        <v/>
      </c>
      <c r="K20" s="18">
        <f>IF(F20&lt;=17,"F",IF(H20&lt;=39,"F",IF(H20&lt;=49,"P",IF(H20&lt;=54,"C",IF(H20&lt;=59,"B",IF(H20&lt;=69,"B+",IF(H20&lt;=79,"A",IF(H20&lt;=89,"A+","O"))))))))</f>
        <v/>
      </c>
      <c r="L20" s="18">
        <f>I20*J20</f>
        <v/>
      </c>
      <c r="M20" s="18" t="n"/>
      <c r="N20" s="9" t="n">
        <v>26</v>
      </c>
      <c r="O20" s="9" t="n">
        <v>40</v>
      </c>
      <c r="P20" s="9" t="n"/>
      <c r="Q20" s="18">
        <f>SUM(N20:O20)</f>
        <v/>
      </c>
      <c r="R20" s="18" t="n">
        <v>4</v>
      </c>
      <c r="S20" s="18">
        <f>IF(O20&lt;=17,"0",IF(Q20&lt;=39,"4",IF(Q20&lt;=49,"4",IF(Q20&lt;=54,"5",IF(Q20&lt;=59,"6",IF(Q20&lt;=69,"7",IF(Q20&lt;=79,"8",IF(Q20&lt;=89,"9","10"))))))))</f>
        <v/>
      </c>
      <c r="T20" s="18">
        <f>IF(O20&lt;=17,"F",IF(Q20&lt;=39,"F",IF(Q20&lt;=49,"P",IF(Q20&lt;=54,"C",IF(Q20&lt;=59,"B",IF(Q20&lt;=69,"B+",IF(Q20&lt;=79,"A",IF(Q20&lt;=89,"A+","O"))))))))</f>
        <v/>
      </c>
      <c r="U20" s="18">
        <f>R20*S20</f>
        <v/>
      </c>
      <c r="V20" s="18" t="n"/>
      <c r="W20" s="9" t="n">
        <v>47</v>
      </c>
      <c r="X20" s="9" t="n">
        <v>43</v>
      </c>
      <c r="Y20" s="18" t="n"/>
      <c r="Z20" s="18">
        <f>SUM(W20:X20)</f>
        <v/>
      </c>
      <c r="AA20" s="18" t="n">
        <v>3</v>
      </c>
      <c r="AB20" s="18">
        <f>IF(X20&lt;=17,"0",IF(Z20&lt;=39,"0",IF(Z20&lt;=49,"4",IF(Z20&lt;=54,"5",IF(Z20&lt;=59,"6",IF(Z20&lt;=69,"7",IF(Z20&lt;=79,"8",IF(Z20&lt;=89,"9","10"))))))))</f>
        <v/>
      </c>
      <c r="AC20" s="18">
        <f>IF(X20&lt;=17,"F",IF(Z20&lt;=39,"F",IF(Z20&lt;=49,"P",IF(Z20&lt;=54,"C",IF(Z20&lt;=59,"B",IF(Z20&lt;=69,"B+",IF(Z20&lt;=79,"A",IF(Z20&lt;=89,"A+","O"))))))))</f>
        <v/>
      </c>
      <c r="AD20" s="18">
        <f>AA20*AB20</f>
        <v/>
      </c>
      <c r="AE20" s="18" t="n"/>
      <c r="AF20" s="46" t="n">
        <v>33</v>
      </c>
      <c r="AG20" s="46" t="n">
        <v>40</v>
      </c>
      <c r="AH20" s="9" t="n"/>
      <c r="AI20" s="18">
        <f>SUM(AF20:AG20)</f>
        <v/>
      </c>
      <c r="AJ20" s="18" t="n">
        <v>3</v>
      </c>
      <c r="AK20" s="18">
        <f>IF(AG20&lt;=17,"0",IF(AI20&lt;=39,"0",IF(AI20&lt;=49,"4",IF(AI20&lt;=54,"5",IF(AI20&lt;=59,"6",IF(AI20&lt;=69,"7",IF(AI20&lt;=79,"8",IF(AI20&lt;=89,"9","10"))))))))</f>
        <v/>
      </c>
      <c r="AL20" s="18">
        <f>IF(AG20&lt;=17,"F",IF(AI20&lt;=39,"F",IF(AI20&lt;=49,"P",IF(AI20&lt;=54,"C",IF(AI20&lt;=59,"B",IF(AI20&lt;=69,"B+",IF(AI20&lt;=79,"A",IF(AI20&lt;=89,"A+","O"))))))))</f>
        <v/>
      </c>
      <c r="AM20" s="18">
        <f>AJ20*AK20</f>
        <v/>
      </c>
      <c r="AN20" s="18" t="n"/>
      <c r="AO20" s="46" t="n">
        <v>25</v>
      </c>
      <c r="AP20" s="46" t="n">
        <v>44</v>
      </c>
      <c r="AQ20" s="9" t="n"/>
      <c r="AR20" s="18">
        <f>(AO20+AP20)</f>
        <v/>
      </c>
      <c r="AS20" s="18" t="n">
        <v>3</v>
      </c>
      <c r="AT20" s="18">
        <f>IF(AP20&lt;=17,"0",IF(AR20&lt;=39,"0",IF(AR20&lt;=49,"4",IF(AR20&lt;=54,"5",IF(AR20&lt;=59,"6",IF(AR20&lt;=69,"7",IF(AR20&lt;=79,"8",IF(AR20&lt;=89,"9","10"))))))))</f>
        <v/>
      </c>
      <c r="AU20" s="18">
        <f>IF(AP20&lt;=17,"F",IF(AR20&lt;=39,"F",IF(AR20&lt;=49,"P",IF(AR20&lt;=54,"C",IF(AR20&lt;=59,"B",IF(AR20&lt;=69,"B+",IF(AR20&lt;=79,"A",IF(AR20&lt;=89,"A+","O"))))))))</f>
        <v/>
      </c>
      <c r="AV20" s="18">
        <f>AS20*AT20</f>
        <v/>
      </c>
      <c r="AW20" s="18" t="n"/>
      <c r="AX20" s="9" t="n">
        <v>39</v>
      </c>
      <c r="AY20" s="9" t="n">
        <v>42</v>
      </c>
      <c r="AZ20" s="9" t="n"/>
      <c r="BA20" s="18">
        <f>(AX20+AY20)</f>
        <v/>
      </c>
      <c r="BB20" s="18" t="n">
        <v>1</v>
      </c>
      <c r="BC20" s="18">
        <f>IF(AY20&lt;=17,"0",IF(BA20&lt;=39,"0",IF(BA20&lt;=49,"4",IF(BA20&lt;=54,"5",IF(BA20&lt;=59,"6",IF(BA20&lt;=69,"7",IF(BA20&lt;=79,"8",IF(BA20&lt;=89,"9","10"))))))))</f>
        <v/>
      </c>
      <c r="BD20" s="18">
        <f>IF(AY20&lt;=17,"F",IF(BA20&lt;=39,"F",IF(BA20&lt;=49,"P",IF(BA20&lt;=54,"C",IF(BA20&lt;=59,"B",IF(BA20&lt;=69,"B+",IF(BA20&lt;=79,"A",IF(BA20&lt;=89,"A+","O"))))))))</f>
        <v/>
      </c>
      <c r="BE20" s="18">
        <f>BB20*BC20</f>
        <v/>
      </c>
      <c r="BF20" s="43" t="inlineStr">
        <is>
          <t>Balake Kannada</t>
        </is>
      </c>
      <c r="BG20" s="9" t="n">
        <v>36</v>
      </c>
      <c r="BH20" s="9" t="n">
        <v>44</v>
      </c>
      <c r="BI20" s="9" t="n"/>
      <c r="BJ20" s="18">
        <f>(BG20+BH20)</f>
        <v/>
      </c>
      <c r="BK20" s="18" t="n">
        <v>1</v>
      </c>
      <c r="BL20" s="18">
        <f>IF(BH20&lt;=17,"0",IF(BJ20&lt;=39,"0",IF(BJ20&lt;=49,"4",IF(BJ20&lt;=54,"5",IF(BJ20&lt;=59,"6",IF(BJ20&lt;=69,"7",IF(BJ20&lt;=79,"8",IF(BJ20&lt;=89,"9","10"))))))))</f>
        <v/>
      </c>
      <c r="BM20" s="18">
        <f>IF(BH20&lt;=17,"F",IF(BJ20&lt;=39,"F",IF(BJ20&lt;=49,"P",IF(BJ20&lt;=54,"C",IF(BJ20&lt;=59,"B",IF(BJ20&lt;=69,"B+",IF(BJ20&lt;=79,"A",IF(BJ20&lt;=89,"A+","O"))))))))</f>
        <v/>
      </c>
      <c r="BN20" s="18">
        <f>BK20*BL20</f>
        <v/>
      </c>
      <c r="BO20" s="18" t="n"/>
      <c r="BP20" s="9" t="n">
        <v>30</v>
      </c>
      <c r="BQ20" s="9" t="n">
        <v>616</v>
      </c>
      <c r="BR20" s="9" t="n"/>
      <c r="BS20" s="18">
        <f>(BP20+BQ20)</f>
        <v/>
      </c>
      <c r="BT20" s="18" t="n">
        <v>1</v>
      </c>
      <c r="BU20" s="18">
        <f>IF(BQ20&lt;=17,"0",IF(BS20&lt;=39,"0",IF(BS20&lt;=49,"4",IF(BS20&lt;=54,"5",IF(BS20&lt;=59,"6",IF(BS20&lt;=69,"7",IF(BS20&lt;=79,"8",IF(BS20&lt;=89,"9","10"))))))))</f>
        <v/>
      </c>
      <c r="BV20" s="18">
        <f>IF(BQ20&lt;=17,"F",IF(BS20&lt;=39,"F",IF(BS20&lt;=49,"P",IF(BS20&lt;=54,"C",IF(BS20&lt;=59,"B",IF(BS20&lt;=69,"B+",IF(BS20&lt;=79,"A",IF(BS20&lt;=89,"A+","O"))))))))</f>
        <v/>
      </c>
      <c r="BW20" s="18">
        <f>BT20*BU20</f>
        <v/>
      </c>
      <c r="BX20" s="18" t="n"/>
      <c r="BY20" s="18" t="n"/>
      <c r="BZ20" s="18">
        <f>L20+U20+AD20+AM20+AV20+BE20+BN20+BW20</f>
        <v/>
      </c>
      <c r="CA20" s="19">
        <f>BZ20/20</f>
        <v/>
      </c>
      <c r="CB20" s="28">
        <f>IF(CA20&lt;4,"F",IF(BV20="F","F",IF(BM20="F","F",IF(BD20="F","F",IF(AU20="F","F",IF(AL20="F","F",IF(AC20="F","F",IF(T20="F","F",IF(K20="F","F",IF(CA20&lt;=5,"C",IF(CA20&lt;6,"B",IF(CA20&lt;7,"B+",IF(CA20&lt;8,"A",IF(CA20&lt;=9,"A+","O"))))))))))))))</f>
        <v/>
      </c>
      <c r="CC20" s="27">
        <f>CA20*9.5</f>
        <v/>
      </c>
      <c r="CD20" s="27" t="n"/>
      <c r="CE20" s="28">
        <f>SUM(BS20,BJ20,BA20,AR20,AI20,Z20,Q20,H20)</f>
        <v/>
      </c>
      <c r="CF20" s="28">
        <f>(CE20/800)*100</f>
        <v/>
      </c>
      <c r="CG20" s="27" t="n"/>
      <c r="CH20" s="27" t="n"/>
      <c r="CI20" s="27">
        <f>IF(CA20&lt;=4,"F",IF(CA20&lt;=6,"PASS",IF(CA20&lt;=6.5,"SC",IF(CA20&lt;=7.5,"FC",IF(CA20&lt;="10","FCD")))))</f>
        <v/>
      </c>
    </row>
    <row r="21" ht="15.75" customHeight="1">
      <c r="A21" s="35">
        <f>A20+1</f>
        <v/>
      </c>
      <c r="B21" s="111" t="inlineStr">
        <is>
          <t>1bi23cd014</t>
        </is>
      </c>
      <c r="C21" s="111" t="inlineStr">
        <is>
          <t>DARSHITH C M</t>
        </is>
      </c>
      <c r="D21" s="47" t="inlineStr">
        <is>
          <t>D</t>
        </is>
      </c>
      <c r="E21" s="9" t="n">
        <v>34</v>
      </c>
      <c r="F21" s="9" t="n">
        <v>50</v>
      </c>
      <c r="G21" s="9" t="n"/>
      <c r="H21" s="18">
        <f>SUM(E21:F21)</f>
        <v/>
      </c>
      <c r="I21" s="18" t="n">
        <v>4</v>
      </c>
      <c r="J21" s="18">
        <f>IF(F21&lt;=17,"0",IF(H21&lt;=39,"0",IF(H21&lt;=49,"4",IF(H21&lt;=54,"5",IF(H21&lt;=59,"6",IF(H21&lt;=69,"7",IF(H21&lt;=79,"8",IF(H21&lt;=89,"9","10"))))))))</f>
        <v/>
      </c>
      <c r="K21" s="18">
        <f>IF(F21&lt;=17,"F",IF(H21&lt;=39,"F",IF(H21&lt;=49,"P",IF(H21&lt;=54,"C",IF(H21&lt;=59,"B",IF(H21&lt;=69,"B+",IF(H21&lt;=79,"A",IF(H21&lt;=89,"A+","O"))))))))</f>
        <v/>
      </c>
      <c r="L21" s="18">
        <f>I21*J21</f>
        <v/>
      </c>
      <c r="M21" s="18" t="n"/>
      <c r="N21" s="9" t="n">
        <v>49</v>
      </c>
      <c r="O21" s="9" t="n">
        <v>49</v>
      </c>
      <c r="P21" s="9" t="n"/>
      <c r="Q21" s="18">
        <f>SUM(N21:O21)</f>
        <v/>
      </c>
      <c r="R21" s="18" t="n">
        <v>4</v>
      </c>
      <c r="S21" s="18">
        <f>IF(O21&lt;=17,"0",IF(Q21&lt;=39,"4",IF(Q21&lt;=49,"4",IF(Q21&lt;=54,"5",IF(Q21&lt;=59,"6",IF(Q21&lt;=69,"7",IF(Q21&lt;=79,"8",IF(Q21&lt;=89,"9","10"))))))))</f>
        <v/>
      </c>
      <c r="T21" s="18">
        <f>IF(O21&lt;=17,"F",IF(Q21&lt;=39,"F",IF(Q21&lt;=49,"P",IF(Q21&lt;=54,"C",IF(Q21&lt;=59,"B",IF(Q21&lt;=69,"B+",IF(Q21&lt;=79,"A",IF(Q21&lt;=89,"A+","O"))))))))</f>
        <v/>
      </c>
      <c r="U21" s="18">
        <f>R21*S21</f>
        <v/>
      </c>
      <c r="V21" s="18" t="n"/>
      <c r="W21" s="9" t="n">
        <v>49</v>
      </c>
      <c r="X21" s="9" t="n">
        <v>46</v>
      </c>
      <c r="Y21" s="18" t="n"/>
      <c r="Z21" s="18">
        <f>SUM(W21:X21)</f>
        <v/>
      </c>
      <c r="AA21" s="18" t="n">
        <v>3</v>
      </c>
      <c r="AB21" s="18">
        <f>IF(X21&lt;=17,"0",IF(Z21&lt;=39,"0",IF(Z21&lt;=49,"4",IF(Z21&lt;=54,"5",IF(Z21&lt;=59,"6",IF(Z21&lt;=69,"7",IF(Z21&lt;=79,"8",IF(Z21&lt;=89,"9","10"))))))))</f>
        <v/>
      </c>
      <c r="AC21" s="18">
        <f>IF(X21&lt;=17,"F",IF(Z21&lt;=39,"F",IF(Z21&lt;=49,"P",IF(Z21&lt;=54,"C",IF(Z21&lt;=59,"B",IF(Z21&lt;=69,"B+",IF(Z21&lt;=79,"A",IF(Z21&lt;=89,"A+","O"))))))))</f>
        <v/>
      </c>
      <c r="AD21" s="18">
        <f>AA21*AB21</f>
        <v/>
      </c>
      <c r="AE21" s="18" t="n"/>
      <c r="AF21" s="46" t="n">
        <v>43</v>
      </c>
      <c r="AG21" s="46" t="n">
        <v>45</v>
      </c>
      <c r="AH21" s="9" t="n"/>
      <c r="AI21" s="18">
        <f>SUM(AF21:AG21)</f>
        <v/>
      </c>
      <c r="AJ21" s="18" t="n">
        <v>3</v>
      </c>
      <c r="AK21" s="18">
        <f>IF(AG21&lt;=17,"0",IF(AI21&lt;=39,"0",IF(AI21&lt;=49,"4",IF(AI21&lt;=54,"5",IF(AI21&lt;=59,"6",IF(AI21&lt;=69,"7",IF(AI21&lt;=79,"8",IF(AI21&lt;=89,"9","10"))))))))</f>
        <v/>
      </c>
      <c r="AL21" s="18">
        <f>IF(AG21&lt;=17,"F",IF(AI21&lt;=39,"F",IF(AI21&lt;=49,"P",IF(AI21&lt;=54,"C",IF(AI21&lt;=59,"B",IF(AI21&lt;=69,"B+",IF(AI21&lt;=79,"A",IF(AI21&lt;=89,"A+","O"))))))))</f>
        <v/>
      </c>
      <c r="AM21" s="18">
        <f>AJ21*AK21</f>
        <v/>
      </c>
      <c r="AN21" s="18" t="n"/>
      <c r="AO21" s="46" t="n">
        <v>24</v>
      </c>
      <c r="AP21" s="46" t="n">
        <v>47</v>
      </c>
      <c r="AQ21" s="9" t="n"/>
      <c r="AR21" s="18">
        <f>(AO21+AP21)</f>
        <v/>
      </c>
      <c r="AS21" s="18" t="n">
        <v>3</v>
      </c>
      <c r="AT21" s="18">
        <f>IF(AP21&lt;=17,"0",IF(AR21&lt;=39,"0",IF(AR21&lt;=49,"4",IF(AR21&lt;=54,"5",IF(AR21&lt;=59,"6",IF(AR21&lt;=69,"7",IF(AR21&lt;=79,"8",IF(AR21&lt;=89,"9","10"))))))))</f>
        <v/>
      </c>
      <c r="AU21" s="18">
        <f>IF(AP21&lt;=17,"F",IF(AR21&lt;=39,"F",IF(AR21&lt;=49,"P",IF(AR21&lt;=54,"C",IF(AR21&lt;=59,"B",IF(AR21&lt;=69,"B+",IF(AR21&lt;=79,"A",IF(AR21&lt;=89,"A+","O"))))))))</f>
        <v/>
      </c>
      <c r="AV21" s="18">
        <f>AS21*AT21</f>
        <v/>
      </c>
      <c r="AW21" s="18" t="n"/>
      <c r="AX21" s="9" t="n">
        <v>40</v>
      </c>
      <c r="AY21" s="9" t="n">
        <v>50</v>
      </c>
      <c r="AZ21" s="9" t="n"/>
      <c r="BA21" s="18">
        <f>(AX21+AY21)</f>
        <v/>
      </c>
      <c r="BB21" s="18" t="n">
        <v>1</v>
      </c>
      <c r="BC21" s="18">
        <f>IF(AY21&lt;=17,"0",IF(BA21&lt;=39,"0",IF(BA21&lt;=49,"4",IF(BA21&lt;=54,"5",IF(BA21&lt;=59,"6",IF(BA21&lt;=69,"7",IF(BA21&lt;=79,"8",IF(BA21&lt;=89,"9","10"))))))))</f>
        <v/>
      </c>
      <c r="BD21" s="18">
        <f>IF(AY21&lt;=17,"F",IF(BA21&lt;=39,"F",IF(BA21&lt;=49,"P",IF(BA21&lt;=54,"C",IF(BA21&lt;=59,"B",IF(BA21&lt;=69,"B+",IF(BA21&lt;=79,"A",IF(BA21&lt;=89,"A+","O"))))))))</f>
        <v/>
      </c>
      <c r="BE21" s="18">
        <f>BB21*BC21</f>
        <v/>
      </c>
      <c r="BF21" s="43" t="inlineStr">
        <is>
          <t>Balake Kannada</t>
        </is>
      </c>
      <c r="BG21" s="9" t="n">
        <v>38</v>
      </c>
      <c r="BH21" s="9" t="n">
        <v>48</v>
      </c>
      <c r="BI21" s="9" t="n"/>
      <c r="BJ21" s="18">
        <f>(BG21+BH21)</f>
        <v/>
      </c>
      <c r="BK21" s="18" t="n">
        <v>1</v>
      </c>
      <c r="BL21" s="18">
        <f>IF(BH21&lt;=17,"0",IF(BJ21&lt;=39,"0",IF(BJ21&lt;=49,"4",IF(BJ21&lt;=54,"5",IF(BJ21&lt;=59,"6",IF(BJ21&lt;=69,"7",IF(BJ21&lt;=79,"8",IF(BJ21&lt;=89,"9","10"))))))))</f>
        <v/>
      </c>
      <c r="BM21" s="18">
        <f>IF(BH21&lt;=17,"F",IF(BJ21&lt;=39,"F",IF(BJ21&lt;=49,"P",IF(BJ21&lt;=54,"C",IF(BJ21&lt;=59,"B",IF(BJ21&lt;=69,"B+",IF(BJ21&lt;=79,"A",IF(BJ21&lt;=89,"A+","O"))))))))</f>
        <v/>
      </c>
      <c r="BN21" s="18">
        <f>BK21*BL21</f>
        <v/>
      </c>
      <c r="BO21" s="18" t="n"/>
      <c r="BP21" s="9" t="n">
        <v>40</v>
      </c>
      <c r="BQ21" s="9" t="n">
        <v>699</v>
      </c>
      <c r="BR21" s="9" t="n"/>
      <c r="BS21" s="18">
        <f>(BP21+BQ21)</f>
        <v/>
      </c>
      <c r="BT21" s="18" t="n">
        <v>1</v>
      </c>
      <c r="BU21" s="18">
        <f>IF(BQ21&lt;=17,"0",IF(BS21&lt;=39,"0",IF(BS21&lt;=49,"4",IF(BS21&lt;=54,"5",IF(BS21&lt;=59,"6",IF(BS21&lt;=69,"7",IF(BS21&lt;=79,"8",IF(BS21&lt;=89,"9","10"))))))))</f>
        <v/>
      </c>
      <c r="BV21" s="18">
        <f>IF(BQ21&lt;=17,"F",IF(BS21&lt;=39,"F",IF(BS21&lt;=49,"P",IF(BS21&lt;=54,"C",IF(BS21&lt;=59,"B",IF(BS21&lt;=69,"B+",IF(BS21&lt;=79,"A",IF(BS21&lt;=89,"A+","O"))))))))</f>
        <v/>
      </c>
      <c r="BW21" s="18">
        <f>BT21*BU21</f>
        <v/>
      </c>
      <c r="BX21" s="18" t="n"/>
      <c r="BY21" s="18" t="n"/>
      <c r="BZ21" s="18">
        <f>L21+U21+AD21+AM21+AV21+BE21+BN21+BW21</f>
        <v/>
      </c>
      <c r="CA21" s="19">
        <f>BZ21/20</f>
        <v/>
      </c>
      <c r="CB21" s="28">
        <f>IF(CA21&lt;4,"F",IF(BV21="F","F",IF(BM21="F","F",IF(BD21="F","F",IF(AU21="F","F",IF(AL21="F","F",IF(AC21="F","F",IF(T21="F","F",IF(K21="F","F",IF(CA21&lt;=5,"C",IF(CA21&lt;6,"B",IF(CA21&lt;7,"B+",IF(CA21&lt;8,"A",IF(CA21&lt;=9,"A+","O"))))))))))))))</f>
        <v/>
      </c>
      <c r="CC21" s="27">
        <f>CA21*9.5</f>
        <v/>
      </c>
      <c r="CD21" s="27" t="n"/>
      <c r="CE21" s="28">
        <f>SUM(BS21,BJ21,BA21,AR21,AI21,Z21,Q21,H21)</f>
        <v/>
      </c>
      <c r="CF21" s="28">
        <f>(CE21/800)*100</f>
        <v/>
      </c>
      <c r="CG21" s="27" t="n"/>
      <c r="CH21" s="27" t="n"/>
      <c r="CI21" s="27">
        <f>IF(CA21&lt;=4,"F",IF(CA21&lt;=6,"PASS",IF(CA21&lt;=6.5,"SC",IF(CA21&lt;=7.5,"FC",IF(CA21&lt;="10","FCD")))))</f>
        <v/>
      </c>
    </row>
    <row r="22" ht="15.75" customHeight="1">
      <c r="A22" s="35">
        <f>A21+1</f>
        <v/>
      </c>
      <c r="B22" s="111" t="inlineStr">
        <is>
          <t>1bi23cd015</t>
        </is>
      </c>
      <c r="C22" s="111" t="inlineStr">
        <is>
          <t>DEEKSHA R S</t>
        </is>
      </c>
      <c r="D22" s="47" t="inlineStr">
        <is>
          <t>D</t>
        </is>
      </c>
      <c r="E22" s="9" t="n">
        <v>31</v>
      </c>
      <c r="F22" s="9" t="n">
        <v>50</v>
      </c>
      <c r="G22" s="9" t="n"/>
      <c r="H22" s="18">
        <f>SUM(E22:F22)</f>
        <v/>
      </c>
      <c r="I22" s="18" t="n">
        <v>4</v>
      </c>
      <c r="J22" s="18">
        <f>IF(F22&lt;=17,"0",IF(H22&lt;=39,"0",IF(H22&lt;=49,"4",IF(H22&lt;=54,"5",IF(H22&lt;=59,"6",IF(H22&lt;=69,"7",IF(H22&lt;=79,"8",IF(H22&lt;=89,"9","10"))))))))</f>
        <v/>
      </c>
      <c r="K22" s="18">
        <f>IF(F22&lt;=17,"F",IF(H22&lt;=39,"F",IF(H22&lt;=49,"P",IF(H22&lt;=54,"C",IF(H22&lt;=59,"B",IF(H22&lt;=69,"B+",IF(H22&lt;=79,"A",IF(H22&lt;=89,"A+","O"))))))))</f>
        <v/>
      </c>
      <c r="L22" s="18">
        <f>I22*J22</f>
        <v/>
      </c>
      <c r="M22" s="18" t="n"/>
      <c r="N22" s="9" t="n">
        <v>31</v>
      </c>
      <c r="O22" s="9" t="n">
        <v>50</v>
      </c>
      <c r="P22" s="9" t="n"/>
      <c r="Q22" s="18">
        <f>SUM(N22:O22)</f>
        <v/>
      </c>
      <c r="R22" s="18" t="n">
        <v>4</v>
      </c>
      <c r="S22" s="18">
        <f>IF(O22&lt;=17,"0",IF(Q22&lt;=39,"4",IF(Q22&lt;=49,"4",IF(Q22&lt;=54,"5",IF(Q22&lt;=59,"6",IF(Q22&lt;=69,"7",IF(Q22&lt;=79,"8",IF(Q22&lt;=89,"9","10"))))))))</f>
        <v/>
      </c>
      <c r="T22" s="18">
        <f>IF(O22&lt;=17,"F",IF(Q22&lt;=39,"F",IF(Q22&lt;=49,"P",IF(Q22&lt;=54,"C",IF(Q22&lt;=59,"B",IF(Q22&lt;=69,"B+",IF(Q22&lt;=79,"A",IF(Q22&lt;=89,"A+","O"))))))))</f>
        <v/>
      </c>
      <c r="U22" s="18">
        <f>R22*S22</f>
        <v/>
      </c>
      <c r="V22" s="18" t="n"/>
      <c r="W22" s="9" t="n">
        <v>49</v>
      </c>
      <c r="X22" s="9" t="n">
        <v>49</v>
      </c>
      <c r="Y22" s="18" t="n"/>
      <c r="Z22" s="18">
        <f>SUM(W22:X22)</f>
        <v/>
      </c>
      <c r="AA22" s="18" t="n">
        <v>3</v>
      </c>
      <c r="AB22" s="18">
        <f>IF(X22&lt;=17,"0",IF(Z22&lt;=39,"0",IF(Z22&lt;=49,"4",IF(Z22&lt;=54,"5",IF(Z22&lt;=59,"6",IF(Z22&lt;=69,"7",IF(Z22&lt;=79,"8",IF(Z22&lt;=89,"9","10"))))))))</f>
        <v/>
      </c>
      <c r="AC22" s="18">
        <f>IF(X22&lt;=17,"F",IF(Z22&lt;=39,"F",IF(Z22&lt;=49,"P",IF(Z22&lt;=54,"C",IF(Z22&lt;=59,"B",IF(Z22&lt;=69,"B+",IF(Z22&lt;=79,"A",IF(Z22&lt;=89,"A+","O"))))))))</f>
        <v/>
      </c>
      <c r="AD22" s="18">
        <f>AA22*AB22</f>
        <v/>
      </c>
      <c r="AE22" s="18" t="n"/>
      <c r="AF22" s="46" t="n">
        <v>40</v>
      </c>
      <c r="AG22" s="46" t="n">
        <v>50</v>
      </c>
      <c r="AH22" s="9" t="n"/>
      <c r="AI22" s="18">
        <f>SUM(AF22:AG22)</f>
        <v/>
      </c>
      <c r="AJ22" s="18" t="n">
        <v>3</v>
      </c>
      <c r="AK22" s="18">
        <f>IF(AG22&lt;=17,"0",IF(AI22&lt;=39,"0",IF(AI22&lt;=49,"4",IF(AI22&lt;=54,"5",IF(AI22&lt;=59,"6",IF(AI22&lt;=69,"7",IF(AI22&lt;=79,"8",IF(AI22&lt;=89,"9","10"))))))))</f>
        <v/>
      </c>
      <c r="AL22" s="18">
        <f>IF(AG22&lt;=17,"F",IF(AI22&lt;=39,"F",IF(AI22&lt;=49,"P",IF(AI22&lt;=54,"C",IF(AI22&lt;=59,"B",IF(AI22&lt;=69,"B+",IF(AI22&lt;=79,"A",IF(AI22&lt;=89,"A+","O"))))))))</f>
        <v/>
      </c>
      <c r="AM22" s="18">
        <f>AJ22*AK22</f>
        <v/>
      </c>
      <c r="AN22" s="18" t="n"/>
      <c r="AO22" s="46" t="n">
        <v>32</v>
      </c>
      <c r="AP22" s="46" t="n">
        <v>50</v>
      </c>
      <c r="AQ22" s="9" t="n"/>
      <c r="AR22" s="18">
        <f>(AO22+AP22)</f>
        <v/>
      </c>
      <c r="AS22" s="18" t="n">
        <v>3</v>
      </c>
      <c r="AT22" s="18">
        <f>IF(AP22&lt;=17,"0",IF(AR22&lt;=39,"0",IF(AR22&lt;=49,"4",IF(AR22&lt;=54,"5",IF(AR22&lt;=59,"6",IF(AR22&lt;=69,"7",IF(AR22&lt;=79,"8",IF(AR22&lt;=89,"9","10"))))))))</f>
        <v/>
      </c>
      <c r="AU22" s="18">
        <f>IF(AP22&lt;=17,"F",IF(AR22&lt;=39,"F",IF(AR22&lt;=49,"P",IF(AR22&lt;=54,"C",IF(AR22&lt;=59,"B",IF(AR22&lt;=69,"B+",IF(AR22&lt;=79,"A",IF(AR22&lt;=89,"A+","O"))))))))</f>
        <v/>
      </c>
      <c r="AV22" s="18">
        <f>AS22*AT22</f>
        <v/>
      </c>
      <c r="AW22" s="18" t="n"/>
      <c r="AX22" s="9" t="n">
        <v>46</v>
      </c>
      <c r="AY22" s="9" t="n">
        <v>50</v>
      </c>
      <c r="AZ22" s="9" t="n"/>
      <c r="BA22" s="18">
        <f>(AX22+AY22)</f>
        <v/>
      </c>
      <c r="BB22" s="18" t="n">
        <v>1</v>
      </c>
      <c r="BC22" s="18">
        <f>IF(AY22&lt;=17,"0",IF(BA22&lt;=39,"0",IF(BA22&lt;=49,"4",IF(BA22&lt;=54,"5",IF(BA22&lt;=59,"6",IF(BA22&lt;=69,"7",IF(BA22&lt;=79,"8",IF(BA22&lt;=89,"9","10"))))))))</f>
        <v/>
      </c>
      <c r="BD22" s="18">
        <f>IF(AY22&lt;=17,"F",IF(BA22&lt;=39,"F",IF(BA22&lt;=49,"P",IF(BA22&lt;=54,"C",IF(BA22&lt;=59,"B",IF(BA22&lt;=69,"B+",IF(BA22&lt;=79,"A",IF(BA22&lt;=89,"A+","O"))))))))</f>
        <v/>
      </c>
      <c r="BE22" s="18">
        <f>BB22*BC22</f>
        <v/>
      </c>
      <c r="BF22" s="43" t="inlineStr">
        <is>
          <t>Samskrutika Kannada</t>
        </is>
      </c>
      <c r="BG22" s="9" t="n">
        <v>29</v>
      </c>
      <c r="BH22" s="9" t="n">
        <v>50</v>
      </c>
      <c r="BI22" s="9" t="n"/>
      <c r="BJ22" s="18">
        <f>(BG22+BH22)</f>
        <v/>
      </c>
      <c r="BK22" s="18" t="n">
        <v>1</v>
      </c>
      <c r="BL22" s="18">
        <f>IF(BH22&lt;=17,"0",IF(BJ22&lt;=39,"0",IF(BJ22&lt;=49,"4",IF(BJ22&lt;=54,"5",IF(BJ22&lt;=59,"6",IF(BJ22&lt;=69,"7",IF(BJ22&lt;=79,"8",IF(BJ22&lt;=89,"9","10"))))))))</f>
        <v/>
      </c>
      <c r="BM22" s="18">
        <f>IF(BH22&lt;=17,"F",IF(BJ22&lt;=39,"F",IF(BJ22&lt;=49,"P",IF(BJ22&lt;=54,"C",IF(BJ22&lt;=59,"B",IF(BJ22&lt;=69,"B+",IF(BJ22&lt;=79,"A",IF(BJ22&lt;=89,"A+","O"))))))))</f>
        <v/>
      </c>
      <c r="BN22" s="18">
        <f>BK22*BL22</f>
        <v/>
      </c>
      <c r="BO22" s="18" t="n"/>
      <c r="BP22" s="9" t="n">
        <v>43</v>
      </c>
      <c r="BQ22" s="9" t="n">
        <v>699</v>
      </c>
      <c r="BR22" s="9" t="n"/>
      <c r="BS22" s="18">
        <f>(BP22+BQ22)</f>
        <v/>
      </c>
      <c r="BT22" s="18" t="n">
        <v>1</v>
      </c>
      <c r="BU22" s="18">
        <f>IF(BQ22&lt;=17,"0",IF(BS22&lt;=39,"0",IF(BS22&lt;=49,"4",IF(BS22&lt;=54,"5",IF(BS22&lt;=59,"6",IF(BS22&lt;=69,"7",IF(BS22&lt;=79,"8",IF(BS22&lt;=89,"9","10"))))))))</f>
        <v/>
      </c>
      <c r="BV22" s="18">
        <f>IF(BQ22&lt;=17,"F",IF(BS22&lt;=39,"F",IF(BS22&lt;=49,"P",IF(BS22&lt;=54,"C",IF(BS22&lt;=59,"B",IF(BS22&lt;=69,"B+",IF(BS22&lt;=79,"A",IF(BS22&lt;=89,"A+","O"))))))))</f>
        <v/>
      </c>
      <c r="BW22" s="18">
        <f>BT22*BU22</f>
        <v/>
      </c>
      <c r="BX22" s="18" t="n"/>
      <c r="BY22" s="18" t="n"/>
      <c r="BZ22" s="18">
        <f>L22+U22+AD22+AM22+AV22+BE22+BN22+BW22</f>
        <v/>
      </c>
      <c r="CA22" s="19">
        <f>BZ22/20</f>
        <v/>
      </c>
      <c r="CB22" s="28">
        <f>IF(CA22&lt;4,"F",IF(BV22="F","F",IF(BM22="F","F",IF(BD22="F","F",IF(AU22="F","F",IF(AL22="F","F",IF(AC22="F","F",IF(T22="F","F",IF(K22="F","F",IF(CA22&lt;=5,"C",IF(CA22&lt;6,"B",IF(CA22&lt;7,"B+",IF(CA22&lt;8,"A",IF(CA22&lt;=9,"A+","O"))))))))))))))</f>
        <v/>
      </c>
      <c r="CC22" s="27">
        <f>CA22*9.5</f>
        <v/>
      </c>
      <c r="CD22" s="27" t="n"/>
      <c r="CE22" s="28">
        <f>SUM(BS22,BJ22,BA22,AR22,AI22,Z22,Q22,H22)</f>
        <v/>
      </c>
      <c r="CF22" s="28">
        <f>(CE22/800)*100</f>
        <v/>
      </c>
      <c r="CG22" s="27" t="n"/>
      <c r="CH22" s="27" t="n"/>
      <c r="CI22" s="27">
        <f>IF(CA22&lt;=4,"F",IF(CA22&lt;=6,"PASS",IF(CA22&lt;=6.5,"SC",IF(CA22&lt;=7.5,"FC",IF(CA22&lt;="10","FCD")))))</f>
        <v/>
      </c>
    </row>
    <row r="23" ht="15.75" customHeight="1">
      <c r="A23" s="35">
        <f>A22+1</f>
        <v/>
      </c>
      <c r="B23" s="111" t="inlineStr">
        <is>
          <t>1bi23cd016</t>
        </is>
      </c>
      <c r="C23" s="111" t="inlineStr">
        <is>
          <t>ESHWAR R J</t>
        </is>
      </c>
      <c r="D23" s="47" t="inlineStr">
        <is>
          <t>D</t>
        </is>
      </c>
      <c r="E23" s="9" t="n">
        <v>24</v>
      </c>
      <c r="F23" s="9" t="n">
        <v>46</v>
      </c>
      <c r="G23" s="9" t="n"/>
      <c r="H23" s="18">
        <f>SUM(E23:F23)</f>
        <v/>
      </c>
      <c r="I23" s="18" t="n">
        <v>4</v>
      </c>
      <c r="J23" s="18">
        <f>IF(F23&lt;=17,"0",IF(H23&lt;=39,"0",IF(H23&lt;=49,"4",IF(H23&lt;=54,"5",IF(H23&lt;=59,"6",IF(H23&lt;=69,"7",IF(H23&lt;=79,"8",IF(H23&lt;=89,"9","10"))))))))</f>
        <v/>
      </c>
      <c r="K23" s="18">
        <f>IF(F23&lt;=17,"F",IF(H23&lt;=39,"F",IF(H23&lt;=49,"P",IF(H23&lt;=54,"C",IF(H23&lt;=59,"B",IF(H23&lt;=69,"B+",IF(H23&lt;=79,"A",IF(H23&lt;=89,"A+","O"))))))))</f>
        <v/>
      </c>
      <c r="L23" s="18">
        <f>I23*J23</f>
        <v/>
      </c>
      <c r="M23" s="18" t="n"/>
      <c r="N23" s="9" t="n">
        <v>31</v>
      </c>
      <c r="O23" s="9" t="n">
        <v>42</v>
      </c>
      <c r="P23" s="9" t="n"/>
      <c r="Q23" s="18">
        <f>SUM(N23:O23)</f>
        <v/>
      </c>
      <c r="R23" s="18" t="n">
        <v>4</v>
      </c>
      <c r="S23" s="18">
        <f>IF(O23&lt;=17,"0",IF(Q23&lt;=39,"4",IF(Q23&lt;=49,"4",IF(Q23&lt;=54,"5",IF(Q23&lt;=59,"6",IF(Q23&lt;=69,"7",IF(Q23&lt;=79,"8",IF(Q23&lt;=89,"9","10"))))))))</f>
        <v/>
      </c>
      <c r="T23" s="18">
        <f>IF(O23&lt;=17,"F",IF(Q23&lt;=39,"F",IF(Q23&lt;=49,"P",IF(Q23&lt;=54,"C",IF(Q23&lt;=59,"B",IF(Q23&lt;=69,"B+",IF(Q23&lt;=79,"A",IF(Q23&lt;=89,"A+","O"))))))))</f>
        <v/>
      </c>
      <c r="U23" s="18">
        <f>R23*S23</f>
        <v/>
      </c>
      <c r="V23" s="18" t="n"/>
      <c r="W23" s="9" t="n">
        <v>46</v>
      </c>
      <c r="X23" s="9" t="n">
        <v>45</v>
      </c>
      <c r="Y23" s="18" t="n"/>
      <c r="Z23" s="18">
        <f>SUM(W23:X23)</f>
        <v/>
      </c>
      <c r="AA23" s="18" t="n">
        <v>3</v>
      </c>
      <c r="AB23" s="18">
        <f>IF(X23&lt;=17,"0",IF(Z23&lt;=39,"0",IF(Z23&lt;=49,"4",IF(Z23&lt;=54,"5",IF(Z23&lt;=59,"6",IF(Z23&lt;=69,"7",IF(Z23&lt;=79,"8",IF(Z23&lt;=89,"9","10"))))))))</f>
        <v/>
      </c>
      <c r="AC23" s="18">
        <f>IF(X23&lt;=17,"F",IF(Z23&lt;=39,"F",IF(Z23&lt;=49,"P",IF(Z23&lt;=54,"C",IF(Z23&lt;=59,"B",IF(Z23&lt;=69,"B+",IF(Z23&lt;=79,"A",IF(Z23&lt;=89,"A+","O"))))))))</f>
        <v/>
      </c>
      <c r="AD23" s="18">
        <f>AA23*AB23</f>
        <v/>
      </c>
      <c r="AE23" s="18" t="n"/>
      <c r="AF23" s="46" t="n">
        <v>37</v>
      </c>
      <c r="AG23" s="46" t="n">
        <v>45</v>
      </c>
      <c r="AH23" s="9" t="n"/>
      <c r="AI23" s="18">
        <f>SUM(AF23:AG23)</f>
        <v/>
      </c>
      <c r="AJ23" s="18" t="n">
        <v>3</v>
      </c>
      <c r="AK23" s="18">
        <f>IF(AG23&lt;=17,"0",IF(AI23&lt;=39,"0",IF(AI23&lt;=49,"4",IF(AI23&lt;=54,"5",IF(AI23&lt;=59,"6",IF(AI23&lt;=69,"7",IF(AI23&lt;=79,"8",IF(AI23&lt;=89,"9","10"))))))))</f>
        <v/>
      </c>
      <c r="AL23" s="18">
        <f>IF(AG23&lt;=17,"F",IF(AI23&lt;=39,"F",IF(AI23&lt;=49,"P",IF(AI23&lt;=54,"C",IF(AI23&lt;=59,"B",IF(AI23&lt;=69,"B+",IF(AI23&lt;=79,"A",IF(AI23&lt;=89,"A+","O"))))))))</f>
        <v/>
      </c>
      <c r="AM23" s="18">
        <f>AJ23*AK23</f>
        <v/>
      </c>
      <c r="AN23" s="18" t="n"/>
      <c r="AO23" s="46" t="n">
        <v>28</v>
      </c>
      <c r="AP23" s="46" t="n">
        <v>47</v>
      </c>
      <c r="AQ23" s="9" t="n"/>
      <c r="AR23" s="18">
        <f>(AO23+AP23)</f>
        <v/>
      </c>
      <c r="AS23" s="18" t="n">
        <v>3</v>
      </c>
      <c r="AT23" s="18">
        <f>IF(AP23&lt;=17,"0",IF(AR23&lt;=39,"0",IF(AR23&lt;=49,"4",IF(AR23&lt;=54,"5",IF(AR23&lt;=59,"6",IF(AR23&lt;=69,"7",IF(AR23&lt;=79,"8",IF(AR23&lt;=89,"9","10"))))))))</f>
        <v/>
      </c>
      <c r="AU23" s="18">
        <f>IF(AP23&lt;=17,"F",IF(AR23&lt;=39,"F",IF(AR23&lt;=49,"P",IF(AR23&lt;=54,"C",IF(AR23&lt;=59,"B",IF(AR23&lt;=69,"B+",IF(AR23&lt;=79,"A",IF(AR23&lt;=89,"A+","O"))))))))</f>
        <v/>
      </c>
      <c r="AV23" s="18">
        <f>AS23*AT23</f>
        <v/>
      </c>
      <c r="AW23" s="18" t="n"/>
      <c r="AX23" s="9" t="n">
        <v>38</v>
      </c>
      <c r="AY23" s="9" t="n">
        <v>44</v>
      </c>
      <c r="AZ23" s="9" t="n"/>
      <c r="BA23" s="18">
        <f>(AX23+AY23)</f>
        <v/>
      </c>
      <c r="BB23" s="18" t="n">
        <v>1</v>
      </c>
      <c r="BC23" s="18">
        <f>IF(AY23&lt;=17,"0",IF(BA23&lt;=39,"0",IF(BA23&lt;=49,"4",IF(BA23&lt;=54,"5",IF(BA23&lt;=59,"6",IF(BA23&lt;=69,"7",IF(BA23&lt;=79,"8",IF(BA23&lt;=89,"9","10"))))))))</f>
        <v/>
      </c>
      <c r="BD23" s="18">
        <f>IF(AY23&lt;=17,"F",IF(BA23&lt;=39,"F",IF(BA23&lt;=49,"P",IF(BA23&lt;=54,"C",IF(BA23&lt;=59,"B",IF(BA23&lt;=69,"B+",IF(BA23&lt;=79,"A",IF(BA23&lt;=89,"A+","O"))))))))</f>
        <v/>
      </c>
      <c r="BE23" s="18">
        <f>BB23*BC23</f>
        <v/>
      </c>
      <c r="BF23" s="43" t="inlineStr">
        <is>
          <t>Balake Kannada</t>
        </is>
      </c>
      <c r="BG23" s="9" t="n">
        <v>28</v>
      </c>
      <c r="BH23" s="9" t="n">
        <v>41</v>
      </c>
      <c r="BI23" s="9" t="n"/>
      <c r="BJ23" s="18">
        <f>(BG23+BH23)</f>
        <v/>
      </c>
      <c r="BK23" s="18" t="n">
        <v>1</v>
      </c>
      <c r="BL23" s="18">
        <f>IF(BH23&lt;=17,"0",IF(BJ23&lt;=39,"0",IF(BJ23&lt;=49,"4",IF(BJ23&lt;=54,"5",IF(BJ23&lt;=59,"6",IF(BJ23&lt;=69,"7",IF(BJ23&lt;=79,"8",IF(BJ23&lt;=89,"9","10"))))))))</f>
        <v/>
      </c>
      <c r="BM23" s="18">
        <f>IF(BH23&lt;=17,"F",IF(BJ23&lt;=39,"F",IF(BJ23&lt;=49,"P",IF(BJ23&lt;=54,"C",IF(BJ23&lt;=59,"B",IF(BJ23&lt;=69,"B+",IF(BJ23&lt;=79,"A",IF(BJ23&lt;=89,"A+","O"))))))))</f>
        <v/>
      </c>
      <c r="BN23" s="18">
        <f>BK23*BL23</f>
        <v/>
      </c>
      <c r="BO23" s="18" t="n"/>
      <c r="BP23" s="9" t="n">
        <v>33</v>
      </c>
      <c r="BQ23" s="9" t="n">
        <v>619</v>
      </c>
      <c r="BR23" s="9" t="n"/>
      <c r="BS23" s="18">
        <f>(BP23+BQ23)</f>
        <v/>
      </c>
      <c r="BT23" s="18" t="n">
        <v>1</v>
      </c>
      <c r="BU23" s="18">
        <f>IF(BQ23&lt;=17,"0",IF(BS23&lt;=39,"0",IF(BS23&lt;=49,"4",IF(BS23&lt;=54,"5",IF(BS23&lt;=59,"6",IF(BS23&lt;=69,"7",IF(BS23&lt;=79,"8",IF(BS23&lt;=89,"9","10"))))))))</f>
        <v/>
      </c>
      <c r="BV23" s="18">
        <f>IF(BQ23&lt;=17,"F",IF(BS23&lt;=39,"F",IF(BS23&lt;=49,"P",IF(BS23&lt;=54,"C",IF(BS23&lt;=59,"B",IF(BS23&lt;=69,"B+",IF(BS23&lt;=79,"A",IF(BS23&lt;=89,"A+","O"))))))))</f>
        <v/>
      </c>
      <c r="BW23" s="18">
        <f>BT23*BU23</f>
        <v/>
      </c>
      <c r="BX23" s="18" t="n"/>
      <c r="BY23" s="18" t="n"/>
      <c r="BZ23" s="18">
        <f>L23+U23+AD23+AM23+AV23+BE23+BN23+BW23</f>
        <v/>
      </c>
      <c r="CA23" s="19">
        <f>BZ23/20</f>
        <v/>
      </c>
      <c r="CB23" s="28">
        <f>IF(CA23&lt;4,"F",IF(BV23="F","F",IF(BM23="F","F",IF(BD23="F","F",IF(AU23="F","F",IF(AL23="F","F",IF(AC23="F","F",IF(T23="F","F",IF(K23="F","F",IF(CA23&lt;=5,"C",IF(CA23&lt;6,"B",IF(CA23&lt;7,"B+",IF(CA23&lt;8,"A",IF(CA23&lt;=9,"A+","O"))))))))))))))</f>
        <v/>
      </c>
      <c r="CC23" s="27">
        <f>CA23*9.5</f>
        <v/>
      </c>
      <c r="CD23" s="27" t="n"/>
      <c r="CE23" s="28">
        <f>SUM(BS23,BJ23,BA23,AR23,AI23,Z23,Q23,H23)</f>
        <v/>
      </c>
      <c r="CF23" s="28">
        <f>(CE23/800)*100</f>
        <v/>
      </c>
      <c r="CG23" s="27" t="n"/>
      <c r="CH23" s="27" t="n"/>
      <c r="CI23" s="27">
        <f>IF(CA23&lt;=4,"F",IF(CA23&lt;=6,"PASS",IF(CA23&lt;=6.5,"SC",IF(CA23&lt;=7.5,"FC",IF(CA23&lt;="10","FCD")))))</f>
        <v/>
      </c>
    </row>
    <row r="24" ht="15.75" customHeight="1">
      <c r="A24" s="35">
        <f>A23+1</f>
        <v/>
      </c>
      <c r="B24" s="111" t="inlineStr">
        <is>
          <t>1bi23cd017</t>
        </is>
      </c>
      <c r="C24" s="111" t="inlineStr">
        <is>
          <t>G VINITH SAI REDDY</t>
        </is>
      </c>
      <c r="D24" s="47" t="inlineStr">
        <is>
          <t>D</t>
        </is>
      </c>
      <c r="E24" s="9" t="n">
        <v>35</v>
      </c>
      <c r="F24" s="9" t="n">
        <v>43</v>
      </c>
      <c r="G24" s="9" t="n"/>
      <c r="H24" s="18">
        <f>SUM(E24:F24)</f>
        <v/>
      </c>
      <c r="I24" s="18" t="n">
        <v>4</v>
      </c>
      <c r="J24" s="18">
        <f>IF(F24&lt;=17,"0",IF(H24&lt;=39,"0",IF(H24&lt;=49,"4",IF(H24&lt;=54,"5",IF(H24&lt;=59,"6",IF(H24&lt;=69,"7",IF(H24&lt;=79,"8",IF(H24&lt;=89,"9","10"))))))))</f>
        <v/>
      </c>
      <c r="K24" s="18">
        <f>IF(F24&lt;=17,"F",IF(H24&lt;=39,"F",IF(H24&lt;=49,"P",IF(H24&lt;=54,"C",IF(H24&lt;=59,"B",IF(H24&lt;=69,"B+",IF(H24&lt;=79,"A",IF(H24&lt;=89,"A+","O"))))))))</f>
        <v/>
      </c>
      <c r="L24" s="18">
        <f>I24*J24</f>
        <v/>
      </c>
      <c r="M24" s="18" t="n"/>
      <c r="N24" s="9" t="n">
        <v>33</v>
      </c>
      <c r="O24" s="9" t="n">
        <v>45</v>
      </c>
      <c r="P24" s="9" t="n"/>
      <c r="Q24" s="18">
        <f>SUM(N24:O24)</f>
        <v/>
      </c>
      <c r="R24" s="18" t="n">
        <v>4</v>
      </c>
      <c r="S24" s="18">
        <f>IF(O24&lt;=17,"0",IF(Q24&lt;=39,"4",IF(Q24&lt;=49,"4",IF(Q24&lt;=54,"5",IF(Q24&lt;=59,"6",IF(Q24&lt;=69,"7",IF(Q24&lt;=79,"8",IF(Q24&lt;=89,"9","10"))))))))</f>
        <v/>
      </c>
      <c r="T24" s="18">
        <f>IF(O24&lt;=17,"F",IF(Q24&lt;=39,"F",IF(Q24&lt;=49,"P",IF(Q24&lt;=54,"C",IF(Q24&lt;=59,"B",IF(Q24&lt;=69,"B+",IF(Q24&lt;=79,"A",IF(Q24&lt;=89,"A+","O"))))))))</f>
        <v/>
      </c>
      <c r="U24" s="18">
        <f>R24*S24</f>
        <v/>
      </c>
      <c r="V24" s="18" t="n"/>
      <c r="W24" s="9" t="n">
        <v>48</v>
      </c>
      <c r="X24" s="9" t="n">
        <v>43</v>
      </c>
      <c r="Y24" s="18" t="n"/>
      <c r="Z24" s="18">
        <f>SUM(W24:X24)</f>
        <v/>
      </c>
      <c r="AA24" s="18" t="n">
        <v>3</v>
      </c>
      <c r="AB24" s="18">
        <f>IF(X24&lt;=17,"0",IF(Z24&lt;=39,"0",IF(Z24&lt;=49,"4",IF(Z24&lt;=54,"5",IF(Z24&lt;=59,"6",IF(Z24&lt;=69,"7",IF(Z24&lt;=79,"8",IF(Z24&lt;=89,"9","10"))))))))</f>
        <v/>
      </c>
      <c r="AC24" s="18">
        <f>IF(X24&lt;=17,"F",IF(Z24&lt;=39,"F",IF(Z24&lt;=49,"P",IF(Z24&lt;=54,"C",IF(Z24&lt;=59,"B",IF(Z24&lt;=69,"B+",IF(Z24&lt;=79,"A",IF(Z24&lt;=89,"A+","O"))))))))</f>
        <v/>
      </c>
      <c r="AD24" s="18">
        <f>AA24*AB24</f>
        <v/>
      </c>
      <c r="AE24" s="18" t="n"/>
      <c r="AF24" s="46" t="n">
        <v>36</v>
      </c>
      <c r="AG24" s="46" t="n">
        <v>41</v>
      </c>
      <c r="AH24" s="9" t="n"/>
      <c r="AI24" s="18">
        <f>SUM(AF24:AG24)</f>
        <v/>
      </c>
      <c r="AJ24" s="18" t="n">
        <v>3</v>
      </c>
      <c r="AK24" s="18">
        <f>IF(AG24&lt;=17,"0",IF(AI24&lt;=39,"0",IF(AI24&lt;=49,"4",IF(AI24&lt;=54,"5",IF(AI24&lt;=59,"6",IF(AI24&lt;=69,"7",IF(AI24&lt;=79,"8",IF(AI24&lt;=89,"9","10"))))))))</f>
        <v/>
      </c>
      <c r="AL24" s="18">
        <f>IF(AG24&lt;=17,"F",IF(AI24&lt;=39,"F",IF(AI24&lt;=49,"P",IF(AI24&lt;=54,"C",IF(AI24&lt;=59,"B",IF(AI24&lt;=69,"B+",IF(AI24&lt;=79,"A",IF(AI24&lt;=89,"A+","O"))))))))</f>
        <v/>
      </c>
      <c r="AM24" s="18">
        <f>AJ24*AK24</f>
        <v/>
      </c>
      <c r="AN24" s="18" t="n"/>
      <c r="AO24" s="46" t="n">
        <v>28</v>
      </c>
      <c r="AP24" s="46" t="n">
        <v>47</v>
      </c>
      <c r="AQ24" s="9" t="n"/>
      <c r="AR24" s="18">
        <f>(AO24+AP24)</f>
        <v/>
      </c>
      <c r="AS24" s="18" t="n">
        <v>3</v>
      </c>
      <c r="AT24" s="18">
        <f>IF(AP24&lt;=17,"0",IF(AR24&lt;=39,"0",IF(AR24&lt;=49,"4",IF(AR24&lt;=54,"5",IF(AR24&lt;=59,"6",IF(AR24&lt;=69,"7",IF(AR24&lt;=79,"8",IF(AR24&lt;=89,"9","10"))))))))</f>
        <v/>
      </c>
      <c r="AU24" s="18">
        <f>IF(AP24&lt;=17,"F",IF(AR24&lt;=39,"F",IF(AR24&lt;=49,"P",IF(AR24&lt;=54,"C",IF(AR24&lt;=59,"B",IF(AR24&lt;=69,"B+",IF(AR24&lt;=79,"A",IF(AR24&lt;=89,"A+","O"))))))))</f>
        <v/>
      </c>
      <c r="AV24" s="18">
        <f>AS24*AT24</f>
        <v/>
      </c>
      <c r="AW24" s="18" t="n"/>
      <c r="AX24" s="9" t="n">
        <v>34</v>
      </c>
      <c r="AY24" s="9" t="n">
        <v>43</v>
      </c>
      <c r="AZ24" s="9" t="n"/>
      <c r="BA24" s="18">
        <f>(AX24+AY24)</f>
        <v/>
      </c>
      <c r="BB24" s="18" t="n">
        <v>1</v>
      </c>
      <c r="BC24" s="18">
        <f>IF(AY24&lt;=17,"0",IF(BA24&lt;=39,"0",IF(BA24&lt;=49,"4",IF(BA24&lt;=54,"5",IF(BA24&lt;=59,"6",IF(BA24&lt;=69,"7",IF(BA24&lt;=79,"8",IF(BA24&lt;=89,"9","10"))))))))</f>
        <v/>
      </c>
      <c r="BD24" s="18">
        <f>IF(AY24&lt;=17,"F",IF(BA24&lt;=39,"F",IF(BA24&lt;=49,"P",IF(BA24&lt;=54,"C",IF(BA24&lt;=59,"B",IF(BA24&lt;=69,"B+",IF(BA24&lt;=79,"A",IF(BA24&lt;=89,"A+","O"))))))))</f>
        <v/>
      </c>
      <c r="BE24" s="18">
        <f>BB24*BC24</f>
        <v/>
      </c>
      <c r="BF24" s="43" t="inlineStr">
        <is>
          <t>Samskrutika Kannada</t>
        </is>
      </c>
      <c r="BG24" s="9" t="n">
        <v>41</v>
      </c>
      <c r="BH24" s="9" t="n">
        <v>42</v>
      </c>
      <c r="BI24" s="9" t="n"/>
      <c r="BJ24" s="18">
        <f>(BG24+BH24)</f>
        <v/>
      </c>
      <c r="BK24" s="18" t="n">
        <v>1</v>
      </c>
      <c r="BL24" s="18">
        <f>IF(BH24&lt;=17,"0",IF(BJ24&lt;=39,"0",IF(BJ24&lt;=49,"4",IF(BJ24&lt;=54,"5",IF(BJ24&lt;=59,"6",IF(BJ24&lt;=69,"7",IF(BJ24&lt;=79,"8",IF(BJ24&lt;=89,"9","10"))))))))</f>
        <v/>
      </c>
      <c r="BM24" s="18">
        <f>IF(BH24&lt;=17,"F",IF(BJ24&lt;=39,"F",IF(BJ24&lt;=49,"P",IF(BJ24&lt;=54,"C",IF(BJ24&lt;=59,"B",IF(BJ24&lt;=69,"B+",IF(BJ24&lt;=79,"A",IF(BJ24&lt;=89,"A+","O"))))))))</f>
        <v/>
      </c>
      <c r="BN24" s="18">
        <f>BK24*BL24</f>
        <v/>
      </c>
      <c r="BO24" s="18" t="n"/>
      <c r="BP24" s="9" t="n">
        <v>28</v>
      </c>
      <c r="BQ24" s="9" t="n">
        <v>632</v>
      </c>
      <c r="BR24" s="9" t="n"/>
      <c r="BS24" s="18">
        <f>(BP24+BQ24)</f>
        <v/>
      </c>
      <c r="BT24" s="18" t="n">
        <v>1</v>
      </c>
      <c r="BU24" s="18">
        <f>IF(BQ24&lt;=17,"0",IF(BS24&lt;=39,"0",IF(BS24&lt;=49,"4",IF(BS24&lt;=54,"5",IF(BS24&lt;=59,"6",IF(BS24&lt;=69,"7",IF(BS24&lt;=79,"8",IF(BS24&lt;=89,"9","10"))))))))</f>
        <v/>
      </c>
      <c r="BV24" s="18">
        <f>IF(BQ24&lt;=17,"F",IF(BS24&lt;=39,"F",IF(BS24&lt;=49,"P",IF(BS24&lt;=54,"C",IF(BS24&lt;=59,"B",IF(BS24&lt;=69,"B+",IF(BS24&lt;=79,"A",IF(BS24&lt;=89,"A+","O"))))))))</f>
        <v/>
      </c>
      <c r="BW24" s="18">
        <f>BT24*BU24</f>
        <v/>
      </c>
      <c r="BX24" s="18" t="n"/>
      <c r="BY24" s="18" t="n"/>
      <c r="BZ24" s="18">
        <f>L24+U24+AD24+AM24+AV24+BE24+BN24+BW24</f>
        <v/>
      </c>
      <c r="CA24" s="19">
        <f>BZ24/20</f>
        <v/>
      </c>
      <c r="CB24" s="28">
        <f>IF(CA24&lt;4,"F",IF(BV24="F","F",IF(BM24="F","F",IF(BD24="F","F",IF(AU24="F","F",IF(AL24="F","F",IF(AC24="F","F",IF(T24="F","F",IF(K24="F","F",IF(CA24&lt;=5,"C",IF(CA24&lt;6,"B",IF(CA24&lt;7,"B+",IF(CA24&lt;8,"A",IF(CA24&lt;=9,"A+","O"))))))))))))))</f>
        <v/>
      </c>
      <c r="CC24" s="27">
        <f>CA24*9.5</f>
        <v/>
      </c>
      <c r="CD24" s="27" t="n"/>
      <c r="CE24" s="28">
        <f>SUM(BS24,BJ24,BA24,AR24,AI24,Z24,Q24,H24)</f>
        <v/>
      </c>
      <c r="CF24" s="28">
        <f>(CE24/800)*100</f>
        <v/>
      </c>
      <c r="CG24" s="27" t="n"/>
      <c r="CH24" s="27" t="n"/>
      <c r="CI24" s="27">
        <f>IF(CA24&lt;=4,"F",IF(CA24&lt;=6,"PASS",IF(CA24&lt;=6.5,"SC",IF(CA24&lt;=7.5,"FC",IF(CA24&lt;="10","FCD")))))</f>
        <v/>
      </c>
    </row>
    <row r="25" ht="15.75" customHeight="1">
      <c r="A25" s="35">
        <f>A24+1</f>
        <v/>
      </c>
      <c r="B25" s="111" t="inlineStr">
        <is>
          <t>1bi23cd018</t>
        </is>
      </c>
      <c r="C25" s="111" t="inlineStr">
        <is>
          <t>GALLA NAVATEJA</t>
        </is>
      </c>
      <c r="D25" s="47" t="inlineStr">
        <is>
          <t>D</t>
        </is>
      </c>
      <c r="E25" s="9" t="n">
        <v>34</v>
      </c>
      <c r="F25" s="9" t="n">
        <v>50</v>
      </c>
      <c r="G25" s="9" t="n"/>
      <c r="H25" s="18">
        <f>SUM(E25:F25)</f>
        <v/>
      </c>
      <c r="I25" s="18" t="n">
        <v>4</v>
      </c>
      <c r="J25" s="18">
        <f>IF(F25&lt;=17,"0",IF(H25&lt;=39,"0",IF(H25&lt;=49,"4",IF(H25&lt;=54,"5",IF(H25&lt;=59,"6",IF(H25&lt;=69,"7",IF(H25&lt;=79,"8",IF(H25&lt;=89,"9","10"))))))))</f>
        <v/>
      </c>
      <c r="K25" s="18">
        <f>IF(F25&lt;=17,"F",IF(H25&lt;=39,"F",IF(H25&lt;=49,"P",IF(H25&lt;=54,"C",IF(H25&lt;=59,"B",IF(H25&lt;=69,"B+",IF(H25&lt;=79,"A",IF(H25&lt;=89,"A+","O"))))))))</f>
        <v/>
      </c>
      <c r="L25" s="18">
        <f>I25*J25</f>
        <v/>
      </c>
      <c r="M25" s="18" t="n"/>
      <c r="N25" s="9" t="n">
        <v>38</v>
      </c>
      <c r="O25" s="9" t="n">
        <v>40</v>
      </c>
      <c r="P25" s="9" t="n"/>
      <c r="Q25" s="18">
        <f>SUM(N25:O25)</f>
        <v/>
      </c>
      <c r="R25" s="18" t="n">
        <v>4</v>
      </c>
      <c r="S25" s="18">
        <f>IF(O25&lt;=17,"0",IF(Q25&lt;=39,"4",IF(Q25&lt;=49,"4",IF(Q25&lt;=54,"5",IF(Q25&lt;=59,"6",IF(Q25&lt;=69,"7",IF(Q25&lt;=79,"8",IF(Q25&lt;=89,"9","10"))))))))</f>
        <v/>
      </c>
      <c r="T25" s="18">
        <f>IF(O25&lt;=17,"F",IF(Q25&lt;=39,"F",IF(Q25&lt;=49,"P",IF(Q25&lt;=54,"C",IF(Q25&lt;=59,"B",IF(Q25&lt;=69,"B+",IF(Q25&lt;=79,"A",IF(Q25&lt;=89,"A+","O"))))))))</f>
        <v/>
      </c>
      <c r="U25" s="18">
        <f>R25*S25</f>
        <v/>
      </c>
      <c r="V25" s="18" t="n"/>
      <c r="W25" s="9" t="n">
        <v>48</v>
      </c>
      <c r="X25" s="9" t="n">
        <v>44</v>
      </c>
      <c r="Y25" s="18" t="n"/>
      <c r="Z25" s="18">
        <f>SUM(W25:X25)</f>
        <v/>
      </c>
      <c r="AA25" s="18" t="n">
        <v>3</v>
      </c>
      <c r="AB25" s="18">
        <f>IF(X25&lt;=17,"0",IF(Z25&lt;=39,"0",IF(Z25&lt;=49,"4",IF(Z25&lt;=54,"5",IF(Z25&lt;=59,"6",IF(Z25&lt;=69,"7",IF(Z25&lt;=79,"8",IF(Z25&lt;=89,"9","10"))))))))</f>
        <v/>
      </c>
      <c r="AC25" s="18">
        <f>IF(X25&lt;=17,"F",IF(Z25&lt;=39,"F",IF(Z25&lt;=49,"P",IF(Z25&lt;=54,"C",IF(Z25&lt;=59,"B",IF(Z25&lt;=69,"B+",IF(Z25&lt;=79,"A",IF(Z25&lt;=89,"A+","O"))))))))</f>
        <v/>
      </c>
      <c r="AD25" s="18">
        <f>AA25*AB25</f>
        <v/>
      </c>
      <c r="AE25" s="18" t="n"/>
      <c r="AF25" s="46" t="n">
        <v>37</v>
      </c>
      <c r="AG25" s="46" t="n">
        <v>40</v>
      </c>
      <c r="AH25" s="9" t="n"/>
      <c r="AI25" s="18">
        <f>SUM(AF25:AG25)</f>
        <v/>
      </c>
      <c r="AJ25" s="18" t="n">
        <v>3</v>
      </c>
      <c r="AK25" s="18">
        <f>IF(AG25&lt;=17,"0",IF(AI25&lt;=39,"0",IF(AI25&lt;=49,"4",IF(AI25&lt;=54,"5",IF(AI25&lt;=59,"6",IF(AI25&lt;=69,"7",IF(AI25&lt;=79,"8",IF(AI25&lt;=89,"9","10"))))))))</f>
        <v/>
      </c>
      <c r="AL25" s="18">
        <f>IF(AG25&lt;=17,"F",IF(AI25&lt;=39,"F",IF(AI25&lt;=49,"P",IF(AI25&lt;=54,"C",IF(AI25&lt;=59,"B",IF(AI25&lt;=69,"B+",IF(AI25&lt;=79,"A",IF(AI25&lt;=89,"A+","O"))))))))</f>
        <v/>
      </c>
      <c r="AM25" s="18">
        <f>AJ25*AK25</f>
        <v/>
      </c>
      <c r="AN25" s="18" t="n"/>
      <c r="AO25" s="46" t="n">
        <v>28</v>
      </c>
      <c r="AP25" s="46" t="n">
        <v>43</v>
      </c>
      <c r="AQ25" s="9" t="n"/>
      <c r="AR25" s="18">
        <f>(AO25+AP25)</f>
        <v/>
      </c>
      <c r="AS25" s="18" t="n">
        <v>3</v>
      </c>
      <c r="AT25" s="18">
        <f>IF(AP25&lt;=17,"0",IF(AR25&lt;=39,"0",IF(AR25&lt;=49,"4",IF(AR25&lt;=54,"5",IF(AR25&lt;=59,"6",IF(AR25&lt;=69,"7",IF(AR25&lt;=79,"8",IF(AR25&lt;=89,"9","10"))))))))</f>
        <v/>
      </c>
      <c r="AU25" s="18">
        <f>IF(AP25&lt;=17,"F",IF(AR25&lt;=39,"F",IF(AR25&lt;=49,"P",IF(AR25&lt;=54,"C",IF(AR25&lt;=59,"B",IF(AR25&lt;=69,"B+",IF(AR25&lt;=79,"A",IF(AR25&lt;=89,"A+","O"))))))))</f>
        <v/>
      </c>
      <c r="AV25" s="18">
        <f>AS25*AT25</f>
        <v/>
      </c>
      <c r="AW25" s="18" t="n"/>
      <c r="AX25" s="9" t="n">
        <v>41</v>
      </c>
      <c r="AY25" s="9" t="n">
        <v>45</v>
      </c>
      <c r="AZ25" s="9" t="n"/>
      <c r="BA25" s="18">
        <f>(AX25+AY25)</f>
        <v/>
      </c>
      <c r="BB25" s="18" t="n">
        <v>1</v>
      </c>
      <c r="BC25" s="18">
        <f>IF(AY25&lt;=17,"0",IF(BA25&lt;=39,"0",IF(BA25&lt;=49,"4",IF(BA25&lt;=54,"5",IF(BA25&lt;=59,"6",IF(BA25&lt;=69,"7",IF(BA25&lt;=79,"8",IF(BA25&lt;=89,"9","10"))))))))</f>
        <v/>
      </c>
      <c r="BD25" s="18">
        <f>IF(AY25&lt;=17,"F",IF(BA25&lt;=39,"F",IF(BA25&lt;=49,"P",IF(BA25&lt;=54,"C",IF(BA25&lt;=59,"B",IF(BA25&lt;=69,"B+",IF(BA25&lt;=79,"A",IF(BA25&lt;=89,"A+","O"))))))))</f>
        <v/>
      </c>
      <c r="BE25" s="18">
        <f>BB25*BC25</f>
        <v/>
      </c>
      <c r="BF25" s="43" t="inlineStr">
        <is>
          <t>Samskrutika Kannada</t>
        </is>
      </c>
      <c r="BG25" s="9" t="n">
        <v>37</v>
      </c>
      <c r="BH25" s="9" t="n">
        <v>45</v>
      </c>
      <c r="BI25" s="9" t="n"/>
      <c r="BJ25" s="18">
        <f>(BG25+BH25)</f>
        <v/>
      </c>
      <c r="BK25" s="18" t="n">
        <v>1</v>
      </c>
      <c r="BL25" s="18">
        <f>IF(BH25&lt;=17,"0",IF(BJ25&lt;=39,"0",IF(BJ25&lt;=49,"4",IF(BJ25&lt;=54,"5",IF(BJ25&lt;=59,"6",IF(BJ25&lt;=69,"7",IF(BJ25&lt;=79,"8",IF(BJ25&lt;=89,"9","10"))))))))</f>
        <v/>
      </c>
      <c r="BM25" s="18">
        <f>IF(BH25&lt;=17,"F",IF(BJ25&lt;=39,"F",IF(BJ25&lt;=49,"P",IF(BJ25&lt;=54,"C",IF(BJ25&lt;=59,"B",IF(BJ25&lt;=69,"B+",IF(BJ25&lt;=79,"A",IF(BJ25&lt;=89,"A+","O"))))))))</f>
        <v/>
      </c>
      <c r="BN25" s="18">
        <f>BK25*BL25</f>
        <v/>
      </c>
      <c r="BO25" s="18" t="n"/>
      <c r="BP25" s="9" t="n">
        <v>25</v>
      </c>
      <c r="BQ25" s="9" t="n">
        <v>642</v>
      </c>
      <c r="BR25" s="9" t="n"/>
      <c r="BS25" s="18">
        <f>(BP25+BQ25)</f>
        <v/>
      </c>
      <c r="BT25" s="18" t="n">
        <v>1</v>
      </c>
      <c r="BU25" s="18">
        <f>IF(BQ25&lt;=17,"0",IF(BS25&lt;=39,"0",IF(BS25&lt;=49,"4",IF(BS25&lt;=54,"5",IF(BS25&lt;=59,"6",IF(BS25&lt;=69,"7",IF(BS25&lt;=79,"8",IF(BS25&lt;=89,"9","10"))))))))</f>
        <v/>
      </c>
      <c r="BV25" s="18">
        <f>IF(BQ25&lt;=17,"F",IF(BS25&lt;=39,"F",IF(BS25&lt;=49,"P",IF(BS25&lt;=54,"C",IF(BS25&lt;=59,"B",IF(BS25&lt;=69,"B+",IF(BS25&lt;=79,"A",IF(BS25&lt;=89,"A+","O"))))))))</f>
        <v/>
      </c>
      <c r="BW25" s="18">
        <f>BT25*BU25</f>
        <v/>
      </c>
      <c r="BX25" s="18" t="n"/>
      <c r="BY25" s="18" t="n"/>
      <c r="BZ25" s="18">
        <f>L25+U25+AD25+AM25+AV25+BE25+BN25+BW25</f>
        <v/>
      </c>
      <c r="CA25" s="19">
        <f>BZ25/20</f>
        <v/>
      </c>
      <c r="CB25" s="28">
        <f>IF(CA25&lt;4,"F",IF(BV25="F","F",IF(BM25="F","F",IF(BD25="F","F",IF(AU25="F","F",IF(AL25="F","F",IF(AC25="F","F",IF(T25="F","F",IF(K25="F","F",IF(CA25&lt;=5,"C",IF(CA25&lt;6,"B",IF(CA25&lt;7,"B+",IF(CA25&lt;8,"A",IF(CA25&lt;=9,"A+","O"))))))))))))))</f>
        <v/>
      </c>
      <c r="CC25" s="27">
        <f>CA25*9.5</f>
        <v/>
      </c>
      <c r="CD25" s="27" t="n"/>
      <c r="CE25" s="28">
        <f>SUM(BS25,BJ25,BA25,AR25,AI25,Z25,Q25,H25)</f>
        <v/>
      </c>
      <c r="CF25" s="28">
        <f>(CE25/800)*100</f>
        <v/>
      </c>
      <c r="CG25" s="27" t="n"/>
      <c r="CH25" s="27" t="n"/>
      <c r="CI25" s="27">
        <f>IF(CA25&lt;=4,"F",IF(CA25&lt;=6,"PASS",IF(CA25&lt;=6.5,"SC",IF(CA25&lt;=7.5,"FC",IF(CA25&lt;="10","FCD")))))</f>
        <v/>
      </c>
    </row>
    <row r="26" ht="15.75" customHeight="1">
      <c r="A26" s="35">
        <f>A25+1</f>
        <v/>
      </c>
      <c r="B26" s="111" t="inlineStr">
        <is>
          <t>1bi23cd019</t>
        </is>
      </c>
      <c r="C26" s="111" t="inlineStr">
        <is>
          <t>GOPA SAI RUTHVIK</t>
        </is>
      </c>
      <c r="D26" s="47" t="inlineStr">
        <is>
          <t>D</t>
        </is>
      </c>
      <c r="E26" s="53" t="n">
        <v>37</v>
      </c>
      <c r="F26" s="53" t="n">
        <v>49</v>
      </c>
      <c r="G26" s="9" t="n"/>
      <c r="H26" s="18">
        <f>SUM(E26:F26)</f>
        <v/>
      </c>
      <c r="I26" s="18" t="n">
        <v>4</v>
      </c>
      <c r="J26" s="18">
        <f>IF(F26&lt;=17,"0",IF(H26&lt;=39,"0",IF(H26&lt;=49,"4",IF(H26&lt;=54,"5",IF(H26&lt;=59,"6",IF(H26&lt;=69,"7",IF(H26&lt;=79,"8",IF(H26&lt;=89,"9","10"))))))))</f>
        <v/>
      </c>
      <c r="K26" s="18">
        <f>IF(F26&lt;=17,"F",IF(H26&lt;=39,"F",IF(H26&lt;=49,"P",IF(H26&lt;=54,"C",IF(H26&lt;=59,"B",IF(H26&lt;=69,"B+",IF(H26&lt;=79,"A",IF(H26&lt;=89,"A+","O"))))))))</f>
        <v/>
      </c>
      <c r="L26" s="18">
        <f>I26*J26</f>
        <v/>
      </c>
      <c r="M26" s="18" t="n"/>
      <c r="N26" s="9" t="n">
        <v>35</v>
      </c>
      <c r="O26" s="9" t="n">
        <v>47</v>
      </c>
      <c r="P26" s="9" t="n"/>
      <c r="Q26" s="18">
        <f>SUM(N26:O26)</f>
        <v/>
      </c>
      <c r="R26" s="18" t="n">
        <v>4</v>
      </c>
      <c r="S26" s="18">
        <f>IF(O26&lt;=17,"0",IF(Q26&lt;=39,"4",IF(Q26&lt;=49,"4",IF(Q26&lt;=54,"5",IF(Q26&lt;=59,"6",IF(Q26&lt;=69,"7",IF(Q26&lt;=79,"8",IF(Q26&lt;=89,"9","10"))))))))</f>
        <v/>
      </c>
      <c r="T26" s="18">
        <f>IF(O26&lt;=17,"F",IF(Q26&lt;=39,"F",IF(Q26&lt;=49,"P",IF(Q26&lt;=54,"C",IF(Q26&lt;=59,"B",IF(Q26&lt;=69,"B+",IF(Q26&lt;=79,"A",IF(Q26&lt;=89,"A+","O"))))))))</f>
        <v/>
      </c>
      <c r="U26" s="18">
        <f>R26*S26</f>
        <v/>
      </c>
      <c r="V26" s="18" t="n"/>
      <c r="W26" s="9" t="n">
        <v>46</v>
      </c>
      <c r="X26" s="9" t="n">
        <v>43</v>
      </c>
      <c r="Y26" s="18" t="n"/>
      <c r="Z26" s="18">
        <f>SUM(W26:X26)</f>
        <v/>
      </c>
      <c r="AA26" s="18" t="n">
        <v>3</v>
      </c>
      <c r="AB26" s="18">
        <f>IF(X26&lt;=17,"0",IF(Z26&lt;=39,"0",IF(Z26&lt;=49,"4",IF(Z26&lt;=54,"5",IF(Z26&lt;=59,"6",IF(Z26&lt;=69,"7",IF(Z26&lt;=79,"8",IF(Z26&lt;=89,"9","10"))))))))</f>
        <v/>
      </c>
      <c r="AC26" s="18">
        <f>IF(X26&lt;=17,"F",IF(Z26&lt;=39,"F",IF(Z26&lt;=49,"P",IF(Z26&lt;=54,"C",IF(Z26&lt;=59,"B",IF(Z26&lt;=69,"B+",IF(Z26&lt;=79,"A",IF(Z26&lt;=89,"A+","O"))))))))</f>
        <v/>
      </c>
      <c r="AD26" s="18">
        <f>AA26*AB26</f>
        <v/>
      </c>
      <c r="AE26" s="18" t="n"/>
      <c r="AF26" s="46" t="n">
        <v>39</v>
      </c>
      <c r="AG26" s="46" t="n">
        <v>40</v>
      </c>
      <c r="AH26" s="9" t="n"/>
      <c r="AI26" s="18">
        <f>SUM(AF26:AG26)</f>
        <v/>
      </c>
      <c r="AJ26" s="18" t="n">
        <v>3</v>
      </c>
      <c r="AK26" s="18">
        <f>IF(AG26&lt;=17,"0",IF(AI26&lt;=39,"0",IF(AI26&lt;=49,"4",IF(AI26&lt;=54,"5",IF(AI26&lt;=59,"6",IF(AI26&lt;=69,"7",IF(AI26&lt;=79,"8",IF(AI26&lt;=89,"9","10"))))))))</f>
        <v/>
      </c>
      <c r="AL26" s="18">
        <f>IF(AG26&lt;=17,"F",IF(AI26&lt;=39,"F",IF(AI26&lt;=49,"P",IF(AI26&lt;=54,"C",IF(AI26&lt;=59,"B",IF(AI26&lt;=69,"B+",IF(AI26&lt;=79,"A",IF(AI26&lt;=89,"A+","O"))))))))</f>
        <v/>
      </c>
      <c r="AM26" s="18">
        <f>AJ26*AK26</f>
        <v/>
      </c>
      <c r="AN26" s="18" t="n"/>
      <c r="AO26" s="46" t="n">
        <v>33</v>
      </c>
      <c r="AP26" s="46" t="n">
        <v>47</v>
      </c>
      <c r="AQ26" s="9" t="n"/>
      <c r="AR26" s="18">
        <f>(AO26+AP26)</f>
        <v/>
      </c>
      <c r="AS26" s="18" t="n">
        <v>3</v>
      </c>
      <c r="AT26" s="18">
        <f>IF(AP26&lt;=17,"0",IF(AR26&lt;=39,"0",IF(AR26&lt;=49,"4",IF(AR26&lt;=54,"5",IF(AR26&lt;=59,"6",IF(AR26&lt;=69,"7",IF(AR26&lt;=79,"8",IF(AR26&lt;=89,"9","10"))))))))</f>
        <v/>
      </c>
      <c r="AU26" s="18">
        <f>IF(AP26&lt;=17,"F",IF(AR26&lt;=39,"F",IF(AR26&lt;=49,"P",IF(AR26&lt;=54,"C",IF(AR26&lt;=59,"B",IF(AR26&lt;=69,"B+",IF(AR26&lt;=79,"A",IF(AR26&lt;=89,"A+","O"))))))))</f>
        <v/>
      </c>
      <c r="AV26" s="18">
        <f>AS26*AT26</f>
        <v/>
      </c>
      <c r="AW26" s="18" t="n"/>
      <c r="AX26" s="9" t="n">
        <v>43</v>
      </c>
      <c r="AY26" s="9" t="n">
        <v>50</v>
      </c>
      <c r="AZ26" s="9" t="n"/>
      <c r="BA26" s="18">
        <f>(AX26+AY26)</f>
        <v/>
      </c>
      <c r="BB26" s="18" t="n">
        <v>1</v>
      </c>
      <c r="BC26" s="18">
        <f>IF(AY26&lt;=17,"0",IF(BA26&lt;=39,"0",IF(BA26&lt;=49,"4",IF(BA26&lt;=54,"5",IF(BA26&lt;=59,"6",IF(BA26&lt;=69,"7",IF(BA26&lt;=79,"8",IF(BA26&lt;=89,"9","10"))))))))</f>
        <v/>
      </c>
      <c r="BD26" s="18">
        <f>IF(AY26&lt;=17,"F",IF(BA26&lt;=39,"F",IF(BA26&lt;=49,"P",IF(BA26&lt;=54,"C",IF(BA26&lt;=59,"B",IF(BA26&lt;=69,"B+",IF(BA26&lt;=79,"A",IF(BA26&lt;=89,"A+","O"))))))))</f>
        <v/>
      </c>
      <c r="BE26" s="18">
        <f>BB26*BC26</f>
        <v/>
      </c>
      <c r="BF26" s="43" t="inlineStr">
        <is>
          <t>Balake Kannada</t>
        </is>
      </c>
      <c r="BG26" s="9" t="n">
        <v>32</v>
      </c>
      <c r="BH26" s="9" t="n">
        <v>48</v>
      </c>
      <c r="BI26" s="9" t="n"/>
      <c r="BJ26" s="18">
        <f>(BG26+BH26)</f>
        <v/>
      </c>
      <c r="BK26" s="18" t="n">
        <v>1</v>
      </c>
      <c r="BL26" s="18">
        <f>IF(BH26&lt;=17,"0",IF(BJ26&lt;=39,"0",IF(BJ26&lt;=49,"4",IF(BJ26&lt;=54,"5",IF(BJ26&lt;=59,"6",IF(BJ26&lt;=69,"7",IF(BJ26&lt;=79,"8",IF(BJ26&lt;=89,"9","10"))))))))</f>
        <v/>
      </c>
      <c r="BM26" s="18">
        <f>IF(BH26&lt;=17,"F",IF(BJ26&lt;=39,"F",IF(BJ26&lt;=49,"P",IF(BJ26&lt;=54,"C",IF(BJ26&lt;=59,"B",IF(BJ26&lt;=69,"B+",IF(BJ26&lt;=79,"A",IF(BJ26&lt;=89,"A+","O"))))))))</f>
        <v/>
      </c>
      <c r="BN26" s="18">
        <f>BK26*BL26</f>
        <v/>
      </c>
      <c r="BO26" s="18" t="n"/>
      <c r="BP26" s="9" t="n">
        <v>24</v>
      </c>
      <c r="BQ26" s="9" t="n">
        <v>657</v>
      </c>
      <c r="BR26" s="9" t="n"/>
      <c r="BS26" s="18">
        <f>(BP26+BQ26)</f>
        <v/>
      </c>
      <c r="BT26" s="18" t="n">
        <v>1</v>
      </c>
      <c r="BU26" s="18">
        <f>IF(BQ26&lt;=17,"0",IF(BS26&lt;=39,"0",IF(BS26&lt;=49,"4",IF(BS26&lt;=54,"5",IF(BS26&lt;=59,"6",IF(BS26&lt;=69,"7",IF(BS26&lt;=79,"8",IF(BS26&lt;=89,"9","10"))))))))</f>
        <v/>
      </c>
      <c r="BV26" s="18">
        <f>IF(BQ26&lt;=17,"F",IF(BS26&lt;=39,"F",IF(BS26&lt;=49,"P",IF(BS26&lt;=54,"C",IF(BS26&lt;=59,"B",IF(BS26&lt;=69,"B+",IF(BS26&lt;=79,"A",IF(BS26&lt;=89,"A+","O"))))))))</f>
        <v/>
      </c>
      <c r="BW26" s="18">
        <f>BT26*BU26</f>
        <v/>
      </c>
      <c r="BX26" s="18" t="n"/>
      <c r="BY26" s="18" t="n"/>
      <c r="BZ26" s="18">
        <f>L26+U26+AD26+AM26+AV26+BE26+BN26+BW26</f>
        <v/>
      </c>
      <c r="CA26" s="19">
        <f>BZ26/20</f>
        <v/>
      </c>
      <c r="CB26" s="28">
        <f>IF(CA26&lt;4,"F",IF(BV26="F","F",IF(BM26="F","F",IF(BD26="F","F",IF(AU26="F","F",IF(AL26="F","F",IF(AC26="F","F",IF(T26="F","F",IF(K26="F","F",IF(CA26&lt;=5,"C",IF(CA26&lt;6,"B",IF(CA26&lt;7,"B+",IF(CA26&lt;8,"A",IF(CA26&lt;=9,"A+","O"))))))))))))))</f>
        <v/>
      </c>
      <c r="CC26" s="27">
        <f>CA26*9.5</f>
        <v/>
      </c>
      <c r="CD26" s="27" t="n"/>
      <c r="CE26" s="28">
        <f>SUM(BS26,BJ26,BA26,AR26,AI26,Z26,Q26,H26)</f>
        <v/>
      </c>
      <c r="CF26" s="28">
        <f>(CE26/800)*100</f>
        <v/>
      </c>
      <c r="CG26" s="27" t="n"/>
      <c r="CH26" s="27" t="n"/>
      <c r="CI26" s="27">
        <f>IF(CA26&lt;=4,"F",IF(CA26&lt;=6,"PASS",IF(CA26&lt;=6.5,"SC",IF(CA26&lt;=7.5,"FC",IF(CA26&lt;="10","FCD")))))</f>
        <v/>
      </c>
    </row>
    <row r="27" ht="15.75" customHeight="1">
      <c r="A27" s="35">
        <f>A26+1</f>
        <v/>
      </c>
      <c r="B27" s="111" t="inlineStr">
        <is>
          <t>1bi23cd020</t>
        </is>
      </c>
      <c r="C27" s="111" t="inlineStr">
        <is>
          <t>HARINI K</t>
        </is>
      </c>
      <c r="D27" s="47" t="inlineStr">
        <is>
          <t>D</t>
        </is>
      </c>
      <c r="E27" s="9" t="n">
        <v>48</v>
      </c>
      <c r="F27" s="9" t="n">
        <v>49</v>
      </c>
      <c r="G27" s="9" t="n"/>
      <c r="H27" s="18">
        <f>SUM(E27:F27)</f>
        <v/>
      </c>
      <c r="I27" s="18" t="n">
        <v>4</v>
      </c>
      <c r="J27" s="18">
        <f>IF(F27&lt;=17,"0",IF(H27&lt;=39,"0",IF(H27&lt;=49,"4",IF(H27&lt;=54,"5",IF(H27&lt;=59,"6",IF(H27&lt;=69,"7",IF(H27&lt;=79,"8",IF(H27&lt;=89,"9","10"))))))))</f>
        <v/>
      </c>
      <c r="K27" s="18">
        <f>IF(F27&lt;=17,"F",IF(H27&lt;=39,"F",IF(H27&lt;=49,"P",IF(H27&lt;=54,"C",IF(H27&lt;=59,"B",IF(H27&lt;=69,"B+",IF(H27&lt;=79,"A",IF(H27&lt;=89,"A+","O"))))))))</f>
        <v/>
      </c>
      <c r="L27" s="18">
        <f>I27*J27</f>
        <v/>
      </c>
      <c r="M27" s="18" t="n"/>
      <c r="N27" s="9" t="n">
        <v>42</v>
      </c>
      <c r="O27" s="9" t="n">
        <v>48</v>
      </c>
      <c r="P27" s="9" t="n"/>
      <c r="Q27" s="18">
        <f>SUM(N27:O27)</f>
        <v/>
      </c>
      <c r="R27" s="18" t="n">
        <v>4</v>
      </c>
      <c r="S27" s="18">
        <f>IF(O27&lt;=17,"0",IF(Q27&lt;=39,"4",IF(Q27&lt;=49,"4",IF(Q27&lt;=54,"5",IF(Q27&lt;=59,"6",IF(Q27&lt;=69,"7",IF(Q27&lt;=79,"8",IF(Q27&lt;=89,"9","10"))))))))</f>
        <v/>
      </c>
      <c r="T27" s="18">
        <f>IF(O27&lt;=17,"F",IF(Q27&lt;=39,"F",IF(Q27&lt;=49,"P",IF(Q27&lt;=54,"C",IF(Q27&lt;=59,"B",IF(Q27&lt;=69,"B+",IF(Q27&lt;=79,"A",IF(Q27&lt;=89,"A+","O"))))))))</f>
        <v/>
      </c>
      <c r="U27" s="18">
        <f>R27*S27</f>
        <v/>
      </c>
      <c r="V27" s="18" t="n"/>
      <c r="W27" s="9" t="n">
        <v>48</v>
      </c>
      <c r="X27" s="9" t="n">
        <v>49</v>
      </c>
      <c r="Y27" s="18" t="n"/>
      <c r="Z27" s="18">
        <f>SUM(W27:X27)</f>
        <v/>
      </c>
      <c r="AA27" s="18" t="n">
        <v>3</v>
      </c>
      <c r="AB27" s="18">
        <f>IF(X27&lt;=17,"0",IF(Z27&lt;=39,"0",IF(Z27&lt;=49,"4",IF(Z27&lt;=54,"5",IF(Z27&lt;=59,"6",IF(Z27&lt;=69,"7",IF(Z27&lt;=79,"8",IF(Z27&lt;=89,"9","10"))))))))</f>
        <v/>
      </c>
      <c r="AC27" s="18">
        <f>IF(X27&lt;=17,"F",IF(Z27&lt;=39,"F",IF(Z27&lt;=49,"P",IF(Z27&lt;=54,"C",IF(Z27&lt;=59,"B",IF(Z27&lt;=69,"B+",IF(Z27&lt;=79,"A",IF(Z27&lt;=89,"A+","O"))))))))</f>
        <v/>
      </c>
      <c r="AD27" s="18">
        <f>AA27*AB27</f>
        <v/>
      </c>
      <c r="AE27" s="18" t="n"/>
      <c r="AF27" s="46" t="n">
        <v>36</v>
      </c>
      <c r="AG27" s="46" t="n">
        <v>50</v>
      </c>
      <c r="AH27" s="9" t="n"/>
      <c r="AI27" s="18">
        <f>SUM(AF27:AG27)</f>
        <v/>
      </c>
      <c r="AJ27" s="18" t="n">
        <v>3</v>
      </c>
      <c r="AK27" s="18">
        <f>IF(AG27&lt;=17,"0",IF(AI27&lt;=39,"0",IF(AI27&lt;=49,"4",IF(AI27&lt;=54,"5",IF(AI27&lt;=59,"6",IF(AI27&lt;=69,"7",IF(AI27&lt;=79,"8",IF(AI27&lt;=89,"9","10"))))))))</f>
        <v/>
      </c>
      <c r="AL27" s="18">
        <f>IF(AG27&lt;=17,"F",IF(AI27&lt;=39,"F",IF(AI27&lt;=49,"P",IF(AI27&lt;=54,"C",IF(AI27&lt;=59,"B",IF(AI27&lt;=69,"B+",IF(AI27&lt;=79,"A",IF(AI27&lt;=89,"A+","O"))))))))</f>
        <v/>
      </c>
      <c r="AM27" s="18">
        <f>AJ27*AK27</f>
        <v/>
      </c>
      <c r="AN27" s="18" t="n"/>
      <c r="AO27" s="46" t="n">
        <v>23</v>
      </c>
      <c r="AP27" s="46" t="n">
        <v>50</v>
      </c>
      <c r="AQ27" s="9" t="n"/>
      <c r="AR27" s="18">
        <f>(AO27+AP27)</f>
        <v/>
      </c>
      <c r="AS27" s="18" t="n">
        <v>3</v>
      </c>
      <c r="AT27" s="18">
        <f>IF(AP27&lt;=17,"0",IF(AR27&lt;=39,"0",IF(AR27&lt;=49,"4",IF(AR27&lt;=54,"5",IF(AR27&lt;=59,"6",IF(AR27&lt;=69,"7",IF(AR27&lt;=79,"8",IF(AR27&lt;=89,"9","10"))))))))</f>
        <v/>
      </c>
      <c r="AU27" s="18">
        <f>IF(AP27&lt;=17,"F",IF(AR27&lt;=39,"F",IF(AR27&lt;=49,"P",IF(AR27&lt;=54,"C",IF(AR27&lt;=59,"B",IF(AR27&lt;=69,"B+",IF(AR27&lt;=79,"A",IF(AR27&lt;=89,"A+","O"))))))))</f>
        <v/>
      </c>
      <c r="AV27" s="18">
        <f>AS27*AT27</f>
        <v/>
      </c>
      <c r="AW27" s="18" t="n"/>
      <c r="AX27" s="9" t="n">
        <v>42</v>
      </c>
      <c r="AY27" s="9" t="n">
        <v>50</v>
      </c>
      <c r="AZ27" s="9" t="n"/>
      <c r="BA27" s="18">
        <f>(AX27+AY27)</f>
        <v/>
      </c>
      <c r="BB27" s="18" t="n">
        <v>1</v>
      </c>
      <c r="BC27" s="18">
        <f>IF(AY27&lt;=17,"0",IF(BA27&lt;=39,"0",IF(BA27&lt;=49,"4",IF(BA27&lt;=54,"5",IF(BA27&lt;=59,"6",IF(BA27&lt;=69,"7",IF(BA27&lt;=79,"8",IF(BA27&lt;=89,"9","10"))))))))</f>
        <v/>
      </c>
      <c r="BD27" s="18">
        <f>IF(AY27&lt;=17,"F",IF(BA27&lt;=39,"F",IF(BA27&lt;=49,"P",IF(BA27&lt;=54,"C",IF(BA27&lt;=59,"B",IF(BA27&lt;=69,"B+",IF(BA27&lt;=79,"A",IF(BA27&lt;=89,"A+","O"))))))))</f>
        <v/>
      </c>
      <c r="BE27" s="18">
        <f>BB27*BC27</f>
        <v/>
      </c>
      <c r="BF27" s="69" t="inlineStr">
        <is>
          <t>Samskrutika Kannada</t>
        </is>
      </c>
      <c r="BG27" s="9" t="n">
        <v>39</v>
      </c>
      <c r="BH27" s="9" t="n">
        <v>49</v>
      </c>
      <c r="BI27" s="9" t="n"/>
      <c r="BJ27" s="18">
        <f>(BG27+BH27)</f>
        <v/>
      </c>
      <c r="BK27" s="18" t="n">
        <v>1</v>
      </c>
      <c r="BL27" s="18">
        <f>IF(BH27&lt;=17,"0",IF(BJ27&lt;=39,"0",IF(BJ27&lt;=49,"4",IF(BJ27&lt;=54,"5",IF(BJ27&lt;=59,"6",IF(BJ27&lt;=69,"7",IF(BJ27&lt;=79,"8",IF(BJ27&lt;=89,"9","10"))))))))</f>
        <v/>
      </c>
      <c r="BM27" s="18">
        <f>IF(BH27&lt;=17,"F",IF(BJ27&lt;=39,"F",IF(BJ27&lt;=49,"P",IF(BJ27&lt;=54,"C",IF(BJ27&lt;=59,"B",IF(BJ27&lt;=69,"B+",IF(BJ27&lt;=79,"A",IF(BJ27&lt;=89,"A+","O"))))))))</f>
        <v/>
      </c>
      <c r="BN27" s="18">
        <f>BK27*BL27</f>
        <v/>
      </c>
      <c r="BO27" s="18" t="n"/>
      <c r="BP27" s="9" t="n">
        <v>35</v>
      </c>
      <c r="BQ27" s="9" t="n">
        <v>708</v>
      </c>
      <c r="BR27" s="9" t="n"/>
      <c r="BS27" s="18">
        <f>(BP27+BQ27)</f>
        <v/>
      </c>
      <c r="BT27" s="18" t="n">
        <v>1</v>
      </c>
      <c r="BU27" s="18">
        <f>IF(BQ27&lt;=17,"0",IF(BS27&lt;=39,"0",IF(BS27&lt;=49,"4",IF(BS27&lt;=54,"5",IF(BS27&lt;=59,"6",IF(BS27&lt;=69,"7",IF(BS27&lt;=79,"8",IF(BS27&lt;=89,"9","10"))))))))</f>
        <v/>
      </c>
      <c r="BV27" s="18">
        <f>IF(BQ27&lt;=17,"F",IF(BS27&lt;=39,"F",IF(BS27&lt;=49,"P",IF(BS27&lt;=54,"C",IF(BS27&lt;=59,"B",IF(BS27&lt;=69,"B+",IF(BS27&lt;=79,"A",IF(BS27&lt;=89,"A+","O"))))))))</f>
        <v/>
      </c>
      <c r="BW27" s="18">
        <f>BT27*BU27</f>
        <v/>
      </c>
      <c r="BX27" s="18" t="n"/>
      <c r="BY27" s="18" t="n"/>
      <c r="BZ27" s="18">
        <f>L27+U27+AD27+AM27+AV27+BE27+BN27+BW27</f>
        <v/>
      </c>
      <c r="CA27" s="19">
        <f>BZ27/20</f>
        <v/>
      </c>
      <c r="CB27" s="28">
        <f>IF(CA27&lt;4,"F",IF(BV27="F","F",IF(BM27="F","F",IF(BD27="F","F",IF(AU27="F","F",IF(AL27="F","F",IF(AC27="F","F",IF(T27="F","F",IF(K27="F","F",IF(CA27&lt;=5,"C",IF(CA27&lt;6,"B",IF(CA27&lt;7,"B+",IF(CA27&lt;8,"A",IF(CA27&lt;=9,"A+","O"))))))))))))))</f>
        <v/>
      </c>
      <c r="CC27" s="27">
        <f>CA27*9.5</f>
        <v/>
      </c>
      <c r="CD27" s="27" t="n"/>
      <c r="CE27" s="28">
        <f>SUM(BS27,BJ27,BA27,AR27,AI27,Z27,Q27,H27)</f>
        <v/>
      </c>
      <c r="CF27" s="28">
        <f>(CE27/800)*100</f>
        <v/>
      </c>
      <c r="CG27" s="27" t="n"/>
      <c r="CH27" s="27" t="n"/>
      <c r="CI27" s="27">
        <f>IF(CA27&lt;=4,"F",IF(CA27&lt;=6,"PASS",IF(CA27&lt;=6.5,"SC",IF(CA27&lt;=7.5,"FC",IF(CA27&lt;="10","FCD")))))</f>
        <v/>
      </c>
    </row>
    <row r="28" ht="15.75" customHeight="1">
      <c r="A28" s="35">
        <f>A27+1</f>
        <v/>
      </c>
      <c r="B28" s="111" t="inlineStr">
        <is>
          <t>1bi23cd021</t>
        </is>
      </c>
      <c r="C28" s="111" t="inlineStr">
        <is>
          <t>JASHANK K</t>
        </is>
      </c>
      <c r="D28" s="47" t="inlineStr">
        <is>
          <t>D</t>
        </is>
      </c>
      <c r="E28" s="9" t="n">
        <v>14</v>
      </c>
      <c r="F28" s="9" t="n">
        <v>35</v>
      </c>
      <c r="G28" s="9" t="n"/>
      <c r="H28" s="18">
        <f>SUM(E28:F28)</f>
        <v/>
      </c>
      <c r="I28" s="18" t="n">
        <v>4</v>
      </c>
      <c r="J28" s="18">
        <f>IF(F28&lt;=17,"0",IF(H28&lt;=39,"0",IF(H28&lt;=49,"4",IF(H28&lt;=54,"5",IF(H28&lt;=59,"6",IF(H28&lt;=69,"7",IF(H28&lt;=79,"8",IF(H28&lt;=89,"9","10"))))))))</f>
        <v/>
      </c>
      <c r="K28" s="18">
        <f>IF(F28&lt;=17,"F",IF(H28&lt;=39,"F",IF(H28&lt;=49,"P",IF(H28&lt;=54,"C",IF(H28&lt;=59,"B",IF(H28&lt;=69,"B+",IF(H28&lt;=79,"A",IF(H28&lt;=89,"A+","O"))))))))</f>
        <v/>
      </c>
      <c r="L28" s="18">
        <f>I28*J28</f>
        <v/>
      </c>
      <c r="M28" s="18" t="n"/>
      <c r="N28" s="9" t="n">
        <v>6</v>
      </c>
      <c r="O28" s="9" t="n">
        <v>25</v>
      </c>
      <c r="P28" s="9" t="n"/>
      <c r="Q28" s="18">
        <f>SUM(N28:O28)</f>
        <v/>
      </c>
      <c r="R28" s="18" t="n">
        <v>4</v>
      </c>
      <c r="S28" s="18">
        <f>IF(O28&lt;=17,"0",IF(Q28&lt;=39,"4",IF(Q28&lt;=49,"4",IF(Q28&lt;=54,"5",IF(Q28&lt;=59,"6",IF(Q28&lt;=69,"7",IF(Q28&lt;=79,"8",IF(Q28&lt;=89,"9","10"))))))))</f>
        <v/>
      </c>
      <c r="T28" s="18">
        <f>IF(O28&lt;=17,"F",IF(Q28&lt;=39,"F",IF(Q28&lt;=49,"P",IF(Q28&lt;=54,"C",IF(Q28&lt;=59,"B",IF(Q28&lt;=69,"B+",IF(Q28&lt;=79,"A",IF(Q28&lt;=89,"A+","O"))))))))</f>
        <v/>
      </c>
      <c r="U28" s="18">
        <f>R28*S28</f>
        <v/>
      </c>
      <c r="V28" s="18" t="n"/>
      <c r="W28" s="9" t="n">
        <v>34</v>
      </c>
      <c r="X28" s="9" t="n">
        <v>42</v>
      </c>
      <c r="Y28" s="18" t="n"/>
      <c r="Z28" s="18">
        <f>SUM(W28:X28)</f>
        <v/>
      </c>
      <c r="AA28" s="18" t="n">
        <v>3</v>
      </c>
      <c r="AB28" s="18">
        <f>IF(X28&lt;=17,"0",IF(Z28&lt;=39,"0",IF(Z28&lt;=49,"4",IF(Z28&lt;=54,"5",IF(Z28&lt;=59,"6",IF(Z28&lt;=69,"7",IF(Z28&lt;=79,"8",IF(Z28&lt;=89,"9","10"))))))))</f>
        <v/>
      </c>
      <c r="AC28" s="18">
        <f>IF(X28&lt;=17,"F",IF(Z28&lt;=39,"F",IF(Z28&lt;=49,"P",IF(Z28&lt;=54,"C",IF(Z28&lt;=59,"B",IF(Z28&lt;=69,"B+",IF(Z28&lt;=79,"A",IF(Z28&lt;=89,"A+","O"))))))))</f>
        <v/>
      </c>
      <c r="AD28" s="18">
        <f>AA28*AB28</f>
        <v/>
      </c>
      <c r="AE28" s="18" t="n"/>
      <c r="AF28" s="46" t="n">
        <v>40</v>
      </c>
      <c r="AG28" s="46" t="n">
        <v>33</v>
      </c>
      <c r="AH28" s="9" t="n"/>
      <c r="AI28" s="18">
        <f>SUM(AF28:AG28)</f>
        <v/>
      </c>
      <c r="AJ28" s="18" t="n">
        <v>3</v>
      </c>
      <c r="AK28" s="18">
        <f>IF(AG28&lt;=17,"0",IF(AI28&lt;=39,"0",IF(AI28&lt;=49,"4",IF(AI28&lt;=54,"5",IF(AI28&lt;=59,"6",IF(AI28&lt;=69,"7",IF(AI28&lt;=79,"8",IF(AI28&lt;=89,"9","10"))))))))</f>
        <v/>
      </c>
      <c r="AL28" s="18">
        <f>IF(AG28&lt;=17,"F",IF(AI28&lt;=39,"F",IF(AI28&lt;=49,"P",IF(AI28&lt;=54,"C",IF(AI28&lt;=59,"B",IF(AI28&lt;=69,"B+",IF(AI28&lt;=79,"A",IF(AI28&lt;=89,"A+","O"))))))))</f>
        <v/>
      </c>
      <c r="AM28" s="18">
        <f>AJ28*AK28</f>
        <v/>
      </c>
      <c r="AN28" s="18" t="n"/>
      <c r="AO28" s="46" t="n">
        <v>20</v>
      </c>
      <c r="AP28" s="46" t="n">
        <v>42</v>
      </c>
      <c r="AQ28" s="9" t="n"/>
      <c r="AR28" s="18">
        <f>(AO28+AP28)</f>
        <v/>
      </c>
      <c r="AS28" s="18" t="n">
        <v>3</v>
      </c>
      <c r="AT28" s="18">
        <f>IF(AP28&lt;=17,"0",IF(AR28&lt;=39,"0",IF(AR28&lt;=49,"4",IF(AR28&lt;=54,"5",IF(AR28&lt;=59,"6",IF(AR28&lt;=69,"7",IF(AR28&lt;=79,"8",IF(AR28&lt;=89,"9","10"))))))))</f>
        <v/>
      </c>
      <c r="AU28" s="18">
        <f>IF(AP28&lt;=17,"F",IF(AR28&lt;=39,"F",IF(AR28&lt;=49,"P",IF(AR28&lt;=54,"C",IF(AR28&lt;=59,"B",IF(AR28&lt;=69,"B+",IF(AR28&lt;=79,"A",IF(AR28&lt;=89,"A+","O"))))))))</f>
        <v/>
      </c>
      <c r="AV28" s="18">
        <f>AS28*AT28</f>
        <v/>
      </c>
      <c r="AW28" s="18" t="n"/>
      <c r="AX28" s="9" t="n">
        <v>35</v>
      </c>
      <c r="AY28" s="9" t="n">
        <v>37</v>
      </c>
      <c r="AZ28" s="9" t="n"/>
      <c r="BA28" s="18">
        <f>(AX28+AY28)</f>
        <v/>
      </c>
      <c r="BB28" s="18" t="n">
        <v>1</v>
      </c>
      <c r="BC28" s="18">
        <f>IF(AY28&lt;=17,"0",IF(BA28&lt;=39,"0",IF(BA28&lt;=49,"4",IF(BA28&lt;=54,"5",IF(BA28&lt;=59,"6",IF(BA28&lt;=69,"7",IF(BA28&lt;=79,"8",IF(BA28&lt;=89,"9","10"))))))))</f>
        <v/>
      </c>
      <c r="BD28" s="18">
        <f>IF(AY28&lt;=17,"F",IF(BA28&lt;=39,"F",IF(BA28&lt;=49,"P",IF(BA28&lt;=54,"C",IF(BA28&lt;=59,"B",IF(BA28&lt;=69,"B+",IF(BA28&lt;=79,"A",IF(BA28&lt;=89,"A+","O"))))))))</f>
        <v/>
      </c>
      <c r="BE28" s="18">
        <f>BB28*BC28</f>
        <v/>
      </c>
      <c r="BF28" s="43" t="inlineStr">
        <is>
          <t>Samskrutika Kannada</t>
        </is>
      </c>
      <c r="BG28" s="9" t="n">
        <v>29</v>
      </c>
      <c r="BH28" s="9" t="n">
        <v>30</v>
      </c>
      <c r="BI28" s="9" t="n"/>
      <c r="BJ28" s="18">
        <f>(BG28+BH28)</f>
        <v/>
      </c>
      <c r="BK28" s="18" t="n">
        <v>1</v>
      </c>
      <c r="BL28" s="18">
        <f>IF(BH28&lt;=17,"0",IF(BJ28&lt;=39,"0",IF(BJ28&lt;=49,"4",IF(BJ28&lt;=54,"5",IF(BJ28&lt;=59,"6",IF(BJ28&lt;=69,"7",IF(BJ28&lt;=79,"8",IF(BJ28&lt;=89,"9","10"))))))))</f>
        <v/>
      </c>
      <c r="BM28" s="18">
        <f>IF(BH28&lt;=17,"F",IF(BJ28&lt;=39,"F",IF(BJ28&lt;=49,"P",IF(BJ28&lt;=54,"C",IF(BJ28&lt;=59,"B",IF(BJ28&lt;=69,"B+",IF(BJ28&lt;=79,"A",IF(BJ28&lt;=89,"A+","O"))))))))</f>
        <v/>
      </c>
      <c r="BN28" s="18">
        <f>BK28*BL28</f>
        <v/>
      </c>
      <c r="BO28" s="18" t="n"/>
      <c r="BP28" s="9" t="n">
        <v>12</v>
      </c>
      <c r="BQ28" s="9" t="n">
        <v>471</v>
      </c>
      <c r="BR28" s="9" t="n"/>
      <c r="BS28" s="18">
        <f>(BP28+BQ28)</f>
        <v/>
      </c>
      <c r="BT28" s="18" t="n">
        <v>1</v>
      </c>
      <c r="BU28" s="18">
        <f>IF(BQ28&lt;=17,"0",IF(BS28&lt;=39,"0",IF(BS28&lt;=49,"4",IF(BS28&lt;=54,"5",IF(BS28&lt;=59,"6",IF(BS28&lt;=69,"7",IF(BS28&lt;=79,"8",IF(BS28&lt;=89,"9","10"))))))))</f>
        <v/>
      </c>
      <c r="BV28" s="18">
        <f>IF(BQ28&lt;=17,"F",IF(BS28&lt;=39,"F",IF(BS28&lt;=49,"P",IF(BS28&lt;=54,"C",IF(BS28&lt;=59,"B",IF(BS28&lt;=69,"B+",IF(BS28&lt;=79,"A",IF(BS28&lt;=89,"A+","O"))))))))</f>
        <v/>
      </c>
      <c r="BW28" s="18">
        <f>BT28*BU28</f>
        <v/>
      </c>
      <c r="BX28" s="18" t="n"/>
      <c r="BY28" s="18" t="n"/>
      <c r="BZ28" s="18">
        <f>L28+U28+AD28+AM28+AV28+BE28+BN28+BW28</f>
        <v/>
      </c>
      <c r="CA28" s="19">
        <f>BZ28/20</f>
        <v/>
      </c>
      <c r="CB28" s="28">
        <f>IF(CA28&lt;4,"F",IF(BV28="F","F",IF(BM28="F","F",IF(BD28="F","F",IF(AU28="F","F",IF(AL28="F","F",IF(AC28="F","F",IF(T28="F","F",IF(K28="F","F",IF(CA28&lt;=5,"C",IF(CA28&lt;6,"B",IF(CA28&lt;7,"B+",IF(CA28&lt;8,"A",IF(CA28&lt;=9,"A+","O"))))))))))))))</f>
        <v/>
      </c>
      <c r="CC28" s="27">
        <f>CA28*9.5</f>
        <v/>
      </c>
      <c r="CD28" s="27" t="n"/>
      <c r="CE28" s="28">
        <f>SUM(BS28,BJ28,BA28,AR28,AI28,Z28,Q28,H28)</f>
        <v/>
      </c>
      <c r="CF28" s="28">
        <f>(CE28/800)*100</f>
        <v/>
      </c>
      <c r="CG28" s="27" t="n"/>
      <c r="CH28" s="27" t="n"/>
      <c r="CI28" s="27">
        <f>IF(CA28&lt;=4,"F",IF(CA28&lt;=6,"PASS",IF(CA28&lt;=6.5,"SC",IF(CA28&lt;=7.5,"FC",IF(CA28&lt;="10","FCD")))))</f>
        <v/>
      </c>
    </row>
    <row r="29" ht="15.75" customHeight="1">
      <c r="A29" s="35">
        <f>A28+1</f>
        <v/>
      </c>
      <c r="B29" s="111" t="inlineStr">
        <is>
          <t>1bi23cd022</t>
        </is>
      </c>
      <c r="C29" s="111" t="inlineStr">
        <is>
          <t>kala manjunatha</t>
        </is>
      </c>
      <c r="D29" s="47" t="inlineStr">
        <is>
          <t>D</t>
        </is>
      </c>
      <c r="E29" s="9" t="n">
        <v>48</v>
      </c>
      <c r="F29" s="9" t="n">
        <v>50</v>
      </c>
      <c r="G29" s="9" t="n"/>
      <c r="H29" s="18">
        <f>SUM(E29:F29)</f>
        <v/>
      </c>
      <c r="I29" s="18" t="n">
        <v>4</v>
      </c>
      <c r="J29" s="18">
        <f>IF(F29&lt;=17,"0",IF(H29&lt;=39,"0",IF(H29&lt;=49,"4",IF(H29&lt;=54,"5",IF(H29&lt;=59,"6",IF(H29&lt;=69,"7",IF(H29&lt;=79,"8",IF(H29&lt;=89,"9","10"))))))))</f>
        <v/>
      </c>
      <c r="K29" s="18">
        <f>IF(F29&lt;=17,"F",IF(H29&lt;=39,"F",IF(H29&lt;=49,"P",IF(H29&lt;=54,"C",IF(H29&lt;=59,"B",IF(H29&lt;=69,"B+",IF(H29&lt;=79,"A",IF(H29&lt;=89,"A+","O"))))))))</f>
        <v/>
      </c>
      <c r="L29" s="18">
        <f>I29*J29</f>
        <v/>
      </c>
      <c r="M29" s="18" t="n"/>
      <c r="N29" s="9" t="n">
        <v>27</v>
      </c>
      <c r="O29" s="9" t="n">
        <v>49</v>
      </c>
      <c r="P29" s="9" t="n"/>
      <c r="Q29" s="18">
        <f>SUM(N29:O29)</f>
        <v/>
      </c>
      <c r="R29" s="18" t="n">
        <v>4</v>
      </c>
      <c r="S29" s="18">
        <f>IF(O29&lt;=17,"0",IF(Q29&lt;=39,"4",IF(Q29&lt;=49,"4",IF(Q29&lt;=54,"5",IF(Q29&lt;=59,"6",IF(Q29&lt;=69,"7",IF(Q29&lt;=79,"8",IF(Q29&lt;=89,"9","10"))))))))</f>
        <v/>
      </c>
      <c r="T29" s="18">
        <f>IF(O29&lt;=17,"F",IF(Q29&lt;=39,"F",IF(Q29&lt;=49,"P",IF(Q29&lt;=54,"C",IF(Q29&lt;=59,"B",IF(Q29&lt;=69,"B+",IF(Q29&lt;=79,"A",IF(Q29&lt;=89,"A+","O"))))))))</f>
        <v/>
      </c>
      <c r="U29" s="18">
        <f>R29*S29</f>
        <v/>
      </c>
      <c r="V29" s="18" t="n"/>
      <c r="W29" s="9" t="n">
        <v>48</v>
      </c>
      <c r="X29" s="9" t="n">
        <v>46</v>
      </c>
      <c r="Y29" s="18" t="n"/>
      <c r="Z29" s="18">
        <f>SUM(W29:X29)</f>
        <v/>
      </c>
      <c r="AA29" s="18" t="n">
        <v>3</v>
      </c>
      <c r="AB29" s="18">
        <f>IF(X29&lt;=17,"0",IF(Z29&lt;=39,"0",IF(Z29&lt;=49,"4",IF(Z29&lt;=54,"5",IF(Z29&lt;=59,"6",IF(Z29&lt;=69,"7",IF(Z29&lt;=79,"8",IF(Z29&lt;=89,"9","10"))))))))</f>
        <v/>
      </c>
      <c r="AC29" s="18">
        <f>IF(X29&lt;=17,"F",IF(Z29&lt;=39,"F",IF(Z29&lt;=49,"P",IF(Z29&lt;=54,"C",IF(Z29&lt;=59,"B",IF(Z29&lt;=69,"B+",IF(Z29&lt;=79,"A",IF(Z29&lt;=89,"A+","O"))))))))</f>
        <v/>
      </c>
      <c r="AD29" s="18">
        <f>AA29*AB29</f>
        <v/>
      </c>
      <c r="AE29" s="18" t="n"/>
      <c r="AF29" s="46" t="n">
        <v>39</v>
      </c>
      <c r="AG29" s="46" t="n">
        <v>44</v>
      </c>
      <c r="AH29" s="9" t="n"/>
      <c r="AI29" s="18">
        <f>SUM(AF29:AG29)</f>
        <v/>
      </c>
      <c r="AJ29" s="18" t="n">
        <v>3</v>
      </c>
      <c r="AK29" s="18">
        <f>IF(AG29&lt;=17,"0",IF(AI29&lt;=39,"0",IF(AI29&lt;=49,"4",IF(AI29&lt;=54,"5",IF(AI29&lt;=59,"6",IF(AI29&lt;=69,"7",IF(AI29&lt;=79,"8",IF(AI29&lt;=89,"9","10"))))))))</f>
        <v/>
      </c>
      <c r="AL29" s="18">
        <f>IF(AG29&lt;=17,"F",IF(AI29&lt;=39,"F",IF(AI29&lt;=49,"P",IF(AI29&lt;=54,"C",IF(AI29&lt;=59,"B",IF(AI29&lt;=69,"B+",IF(AI29&lt;=79,"A",IF(AI29&lt;=89,"A+","O"))))))))</f>
        <v/>
      </c>
      <c r="AM29" s="18">
        <f>AJ29*AK29</f>
        <v/>
      </c>
      <c r="AN29" s="18" t="n"/>
      <c r="AO29" s="46" t="n">
        <v>24</v>
      </c>
      <c r="AP29" s="46" t="n">
        <v>47</v>
      </c>
      <c r="AQ29" s="9" t="n"/>
      <c r="AR29" s="18">
        <f>(AO29+AP29)</f>
        <v/>
      </c>
      <c r="AS29" s="18" t="n">
        <v>3</v>
      </c>
      <c r="AT29" s="18">
        <f>IF(AP29&lt;=17,"0",IF(AR29&lt;=39,"0",IF(AR29&lt;=49,"4",IF(AR29&lt;=54,"5",IF(AR29&lt;=59,"6",IF(AR29&lt;=69,"7",IF(AR29&lt;=79,"8",IF(AR29&lt;=89,"9","10"))))))))</f>
        <v/>
      </c>
      <c r="AU29" s="18">
        <f>IF(AP29&lt;=17,"F",IF(AR29&lt;=39,"F",IF(AR29&lt;=49,"P",IF(AR29&lt;=54,"C",IF(AR29&lt;=59,"B",IF(AR29&lt;=69,"B+",IF(AR29&lt;=79,"A",IF(AR29&lt;=89,"A+","O"))))))))</f>
        <v/>
      </c>
      <c r="AV29" s="18">
        <f>AS29*AT29</f>
        <v/>
      </c>
      <c r="AW29" s="18" t="n"/>
      <c r="AX29" s="9" t="n">
        <v>40</v>
      </c>
      <c r="AY29" s="9" t="n">
        <v>43</v>
      </c>
      <c r="AZ29" s="9" t="n"/>
      <c r="BA29" s="18">
        <f>(AX29+AY29)</f>
        <v/>
      </c>
      <c r="BB29" s="18" t="n">
        <v>1</v>
      </c>
      <c r="BC29" s="18">
        <f>IF(AY29&lt;=17,"0",IF(BA29&lt;=39,"0",IF(BA29&lt;=49,"4",IF(BA29&lt;=54,"5",IF(BA29&lt;=59,"6",IF(BA29&lt;=69,"7",IF(BA29&lt;=79,"8",IF(BA29&lt;=89,"9","10"))))))))</f>
        <v/>
      </c>
      <c r="BD29" s="18">
        <f>IF(AY29&lt;=17,"F",IF(BA29&lt;=39,"F",IF(BA29&lt;=49,"P",IF(BA29&lt;=54,"C",IF(BA29&lt;=59,"B",IF(BA29&lt;=69,"B+",IF(BA29&lt;=79,"A",IF(BA29&lt;=89,"A+","O"))))))))</f>
        <v/>
      </c>
      <c r="BE29" s="18">
        <f>BB29*BC29</f>
        <v/>
      </c>
      <c r="BF29" s="43" t="inlineStr">
        <is>
          <t>Samskrutika Kannada</t>
        </is>
      </c>
      <c r="BG29" s="9" t="n">
        <v>32</v>
      </c>
      <c r="BH29" s="9" t="n">
        <v>46</v>
      </c>
      <c r="BI29" s="9" t="n"/>
      <c r="BJ29" s="18">
        <f>(BG29+BH29)</f>
        <v/>
      </c>
      <c r="BK29" s="18" t="n">
        <v>1</v>
      </c>
      <c r="BL29" s="18">
        <f>IF(BH29&lt;=17,"0",IF(BJ29&lt;=39,"0",IF(BJ29&lt;=49,"4",IF(BJ29&lt;=54,"5",IF(BJ29&lt;=59,"6",IF(BJ29&lt;=69,"7",IF(BJ29&lt;=79,"8",IF(BJ29&lt;=89,"9","10"))))))))</f>
        <v/>
      </c>
      <c r="BM29" s="18">
        <f>IF(BH29&lt;=17,"F",IF(BJ29&lt;=39,"F",IF(BJ29&lt;=49,"P",IF(BJ29&lt;=54,"C",IF(BJ29&lt;=59,"B",IF(BJ29&lt;=69,"B+",IF(BJ29&lt;=79,"A",IF(BJ29&lt;=89,"A+","O"))))))))</f>
        <v/>
      </c>
      <c r="BN29" s="18">
        <f>BK29*BL29</f>
        <v/>
      </c>
      <c r="BO29" s="18" t="n"/>
      <c r="BP29" s="9" t="n">
        <v>33</v>
      </c>
      <c r="BQ29" s="9" t="n">
        <v>664</v>
      </c>
      <c r="BR29" s="9" t="n"/>
      <c r="BS29" s="18">
        <f>(BP29+BQ29)</f>
        <v/>
      </c>
      <c r="BT29" s="18" t="n">
        <v>1</v>
      </c>
      <c r="BU29" s="18">
        <f>IF(BQ29&lt;=17,"0",IF(BS29&lt;=39,"0",IF(BS29&lt;=49,"4",IF(BS29&lt;=54,"5",IF(BS29&lt;=59,"6",IF(BS29&lt;=69,"7",IF(BS29&lt;=79,"8",IF(BS29&lt;=89,"9","10"))))))))</f>
        <v/>
      </c>
      <c r="BV29" s="18">
        <f>IF(BQ29&lt;=17,"F",IF(BS29&lt;=39,"F",IF(BS29&lt;=49,"P",IF(BS29&lt;=54,"C",IF(BS29&lt;=59,"B",IF(BS29&lt;=69,"B+",IF(BS29&lt;=79,"A",IF(BS29&lt;=89,"A+","O"))))))))</f>
        <v/>
      </c>
      <c r="BW29" s="18">
        <f>BT29*BU29</f>
        <v/>
      </c>
      <c r="BX29" s="18" t="n"/>
      <c r="BY29" s="18" t="n"/>
      <c r="BZ29" s="18">
        <f>L29+U29+AD29+AM29+AV29+BE29+BN29+BW29</f>
        <v/>
      </c>
      <c r="CA29" s="19">
        <f>BZ29/20</f>
        <v/>
      </c>
      <c r="CB29" s="28">
        <f>IF(CA29&lt;4,"F",IF(BV29="F","F",IF(BM29="F","F",IF(BD29="F","F",IF(AU29="F","F",IF(AL29="F","F",IF(AC29="F","F",IF(T29="F","F",IF(K29="F","F",IF(CA29&lt;=5,"C",IF(CA29&lt;6,"B",IF(CA29&lt;7,"B+",IF(CA29&lt;8,"A",IF(CA29&lt;=9,"A+","O"))))))))))))))</f>
        <v/>
      </c>
      <c r="CC29" s="27">
        <f>CA29*9.5</f>
        <v/>
      </c>
      <c r="CD29" s="27" t="n"/>
      <c r="CE29" s="28">
        <f>SUM(BS29,BJ29,BA29,AR29,AI29,Z29,Q29,H29)</f>
        <v/>
      </c>
      <c r="CF29" s="28">
        <f>(CE29/800)*100</f>
        <v/>
      </c>
      <c r="CG29" s="27" t="n"/>
      <c r="CH29" s="27" t="n"/>
      <c r="CI29" s="27">
        <f>IF(CA29&lt;=4,"F",IF(CA29&lt;=6,"PASS",IF(CA29&lt;=6.5,"SC",IF(CA29&lt;=7.5,"FC",IF(CA29&lt;="10","FCD")))))</f>
        <v/>
      </c>
    </row>
    <row r="30" ht="15.75" customHeight="1">
      <c r="A30" s="35">
        <f>A29+1</f>
        <v/>
      </c>
      <c r="B30" s="111" t="inlineStr">
        <is>
          <t>1bi23cd023</t>
        </is>
      </c>
      <c r="C30" s="111" t="inlineStr">
        <is>
          <t>KARTIKEY VARSHNEY</t>
        </is>
      </c>
      <c r="D30" s="47" t="inlineStr">
        <is>
          <t>D</t>
        </is>
      </c>
      <c r="E30" s="9" t="n">
        <v>42</v>
      </c>
      <c r="F30" s="9" t="n">
        <v>49</v>
      </c>
      <c r="G30" s="9" t="n"/>
      <c r="H30" s="18">
        <f>SUM(E30:F30)</f>
        <v/>
      </c>
      <c r="I30" s="18" t="n">
        <v>4</v>
      </c>
      <c r="J30" s="18">
        <f>IF(F30&lt;=17,"0",IF(H30&lt;=39,"0",IF(H30&lt;=49,"4",IF(H30&lt;=54,"5",IF(H30&lt;=59,"6",IF(H30&lt;=69,"7",IF(H30&lt;=79,"8",IF(H30&lt;=89,"9","10"))))))))</f>
        <v/>
      </c>
      <c r="K30" s="18">
        <f>IF(F30&lt;=17,"F",IF(H30&lt;=39,"F",IF(H30&lt;=49,"P",IF(H30&lt;=54,"C",IF(H30&lt;=59,"B",IF(H30&lt;=69,"B+",IF(H30&lt;=79,"A",IF(H30&lt;=89,"A+","O"))))))))</f>
        <v/>
      </c>
      <c r="L30" s="18">
        <f>I30*J30</f>
        <v/>
      </c>
      <c r="M30" s="18" t="n"/>
      <c r="N30" s="9" t="n">
        <v>36</v>
      </c>
      <c r="O30" s="9" t="n">
        <v>40</v>
      </c>
      <c r="P30" s="9" t="n"/>
      <c r="Q30" s="18">
        <f>SUM(N30:O30)</f>
        <v/>
      </c>
      <c r="R30" s="18" t="n">
        <v>4</v>
      </c>
      <c r="S30" s="18">
        <f>IF(O30&lt;=17,"0",IF(Q30&lt;=39,"4",IF(Q30&lt;=49,"4",IF(Q30&lt;=54,"5",IF(Q30&lt;=59,"6",IF(Q30&lt;=69,"7",IF(Q30&lt;=79,"8",IF(Q30&lt;=89,"9","10"))))))))</f>
        <v/>
      </c>
      <c r="T30" s="18">
        <f>IF(O30&lt;=17,"F",IF(Q30&lt;=39,"F",IF(Q30&lt;=49,"P",IF(Q30&lt;=54,"C",IF(Q30&lt;=59,"B",IF(Q30&lt;=69,"B+",IF(Q30&lt;=79,"A",IF(Q30&lt;=89,"A+","O"))))))))</f>
        <v/>
      </c>
      <c r="U30" s="18">
        <f>R30*S30</f>
        <v/>
      </c>
      <c r="V30" s="18" t="n"/>
      <c r="W30" s="9" t="n">
        <v>48</v>
      </c>
      <c r="X30" s="9" t="n">
        <v>43</v>
      </c>
      <c r="Y30" s="18" t="n"/>
      <c r="Z30" s="18">
        <f>SUM(W30:X30)</f>
        <v/>
      </c>
      <c r="AA30" s="18" t="n">
        <v>3</v>
      </c>
      <c r="AB30" s="18">
        <f>IF(X30&lt;=17,"0",IF(Z30&lt;=39,"0",IF(Z30&lt;=49,"4",IF(Z30&lt;=54,"5",IF(Z30&lt;=59,"6",IF(Z30&lt;=69,"7",IF(Z30&lt;=79,"8",IF(Z30&lt;=89,"9","10"))))))))</f>
        <v/>
      </c>
      <c r="AC30" s="18">
        <f>IF(X30&lt;=17,"F",IF(Z30&lt;=39,"F",IF(Z30&lt;=49,"P",IF(Z30&lt;=54,"C",IF(Z30&lt;=59,"B",IF(Z30&lt;=69,"B+",IF(Z30&lt;=79,"A",IF(Z30&lt;=89,"A+","O"))))))))</f>
        <v/>
      </c>
      <c r="AD30" s="18">
        <f>AA30*AB30</f>
        <v/>
      </c>
      <c r="AE30" s="18" t="n"/>
      <c r="AF30" s="46" t="n">
        <v>36</v>
      </c>
      <c r="AG30" s="46" t="n">
        <v>42</v>
      </c>
      <c r="AH30" s="9" t="n"/>
      <c r="AI30" s="18">
        <f>SUM(AF30:AG30)</f>
        <v/>
      </c>
      <c r="AJ30" s="18" t="n">
        <v>3</v>
      </c>
      <c r="AK30" s="18">
        <f>IF(AG30&lt;=17,"0",IF(AI30&lt;=39,"0",IF(AI30&lt;=49,"4",IF(AI30&lt;=54,"5",IF(AI30&lt;=59,"6",IF(AI30&lt;=69,"7",IF(AI30&lt;=79,"8",IF(AI30&lt;=89,"9","10"))))))))</f>
        <v/>
      </c>
      <c r="AL30" s="18">
        <f>IF(AG30&lt;=17,"F",IF(AI30&lt;=39,"F",IF(AI30&lt;=49,"P",IF(AI30&lt;=54,"C",IF(AI30&lt;=59,"B",IF(AI30&lt;=69,"B+",IF(AI30&lt;=79,"A",IF(AI30&lt;=89,"A+","O"))))))))</f>
        <v/>
      </c>
      <c r="AM30" s="18">
        <f>AJ30*AK30</f>
        <v/>
      </c>
      <c r="AN30" s="18" t="n"/>
      <c r="AO30" s="46" t="n">
        <v>18</v>
      </c>
      <c r="AP30" s="46" t="n">
        <v>45</v>
      </c>
      <c r="AQ30" s="9" t="n"/>
      <c r="AR30" s="18">
        <f>(AO30+AP30)</f>
        <v/>
      </c>
      <c r="AS30" s="18" t="n">
        <v>3</v>
      </c>
      <c r="AT30" s="18">
        <f>IF(AP30&lt;=17,"0",IF(AR30&lt;=39,"0",IF(AR30&lt;=49,"4",IF(AR30&lt;=54,"5",IF(AR30&lt;=59,"6",IF(AR30&lt;=69,"7",IF(AR30&lt;=79,"8",IF(AR30&lt;=89,"9","10"))))))))</f>
        <v/>
      </c>
      <c r="AU30" s="18">
        <f>IF(AP30&lt;=17,"F",IF(AR30&lt;=39,"F",IF(AR30&lt;=49,"P",IF(AR30&lt;=54,"C",IF(AR30&lt;=59,"B",IF(AR30&lt;=69,"B+",IF(AR30&lt;=79,"A",IF(AR30&lt;=89,"A+","O"))))))))</f>
        <v/>
      </c>
      <c r="AV30" s="18">
        <f>AS30*AT30</f>
        <v/>
      </c>
      <c r="AW30" s="18" t="n"/>
      <c r="AX30" s="9" t="n">
        <v>41</v>
      </c>
      <c r="AY30" s="9" t="n">
        <v>42</v>
      </c>
      <c r="AZ30" s="9" t="n"/>
      <c r="BA30" s="18">
        <f>(AX30+AY30)</f>
        <v/>
      </c>
      <c r="BB30" s="18" t="n">
        <v>1</v>
      </c>
      <c r="BC30" s="18">
        <f>IF(AY30&lt;=17,"0",IF(BA30&lt;=39,"0",IF(BA30&lt;=49,"4",IF(BA30&lt;=54,"5",IF(BA30&lt;=59,"6",IF(BA30&lt;=69,"7",IF(BA30&lt;=79,"8",IF(BA30&lt;=89,"9","10"))))))))</f>
        <v/>
      </c>
      <c r="BD30" s="18">
        <f>IF(AY30&lt;=17,"F",IF(BA30&lt;=39,"F",IF(BA30&lt;=49,"P",IF(BA30&lt;=54,"C",IF(BA30&lt;=59,"B",IF(BA30&lt;=69,"B+",IF(BA30&lt;=79,"A",IF(BA30&lt;=89,"A+","O"))))))))</f>
        <v/>
      </c>
      <c r="BE30" s="18">
        <f>BB30*BC30</f>
        <v/>
      </c>
      <c r="BF30" s="43" t="inlineStr">
        <is>
          <t>Balake Kannada</t>
        </is>
      </c>
      <c r="BG30" s="9" t="n">
        <v>37</v>
      </c>
      <c r="BH30" s="9" t="n">
        <v>44</v>
      </c>
      <c r="BI30" s="9" t="n"/>
      <c r="BJ30" s="18">
        <f>(BG30+BH30)</f>
        <v/>
      </c>
      <c r="BK30" s="18" t="n">
        <v>1</v>
      </c>
      <c r="BL30" s="18">
        <f>IF(BH30&lt;=17,"0",IF(BJ30&lt;=39,"0",IF(BJ30&lt;=49,"4",IF(BJ30&lt;=54,"5",IF(BJ30&lt;=59,"6",IF(BJ30&lt;=69,"7",IF(BJ30&lt;=79,"8",IF(BJ30&lt;=89,"9","10"))))))))</f>
        <v/>
      </c>
      <c r="BM30" s="18">
        <f>IF(BH30&lt;=17,"F",IF(BJ30&lt;=39,"F",IF(BJ30&lt;=49,"P",IF(BJ30&lt;=54,"C",IF(BJ30&lt;=59,"B",IF(BJ30&lt;=69,"B+",IF(BJ30&lt;=79,"A",IF(BJ30&lt;=89,"A+","O"))))))))</f>
        <v/>
      </c>
      <c r="BN30" s="18">
        <f>BK30*BL30</f>
        <v/>
      </c>
      <c r="BO30" s="18" t="n"/>
      <c r="BP30" s="9" t="n">
        <v>28</v>
      </c>
      <c r="BQ30" s="9" t="n">
        <v>638</v>
      </c>
      <c r="BR30" s="9" t="n"/>
      <c r="BS30" s="18">
        <f>(BP30+BQ30)</f>
        <v/>
      </c>
      <c r="BT30" s="18" t="n">
        <v>1</v>
      </c>
      <c r="BU30" s="18">
        <f>IF(BQ30&lt;=17,"0",IF(BS30&lt;=39,"0",IF(BS30&lt;=49,"4",IF(BS30&lt;=54,"5",IF(BS30&lt;=59,"6",IF(BS30&lt;=69,"7",IF(BS30&lt;=79,"8",IF(BS30&lt;=89,"9","10"))))))))</f>
        <v/>
      </c>
      <c r="BV30" s="18">
        <f>IF(BQ30&lt;=17,"F",IF(BS30&lt;=39,"F",IF(BS30&lt;=49,"P",IF(BS30&lt;=54,"C",IF(BS30&lt;=59,"B",IF(BS30&lt;=69,"B+",IF(BS30&lt;=79,"A",IF(BS30&lt;=89,"A+","O"))))))))</f>
        <v/>
      </c>
      <c r="BW30" s="18">
        <f>BT30*BU30</f>
        <v/>
      </c>
      <c r="BX30" s="18" t="n"/>
      <c r="BY30" s="18" t="n"/>
      <c r="BZ30" s="18">
        <f>L30+U30+AD30+AM30+AV30+BE30+BN30+BW30</f>
        <v/>
      </c>
      <c r="CA30" s="19">
        <f>BZ30/20</f>
        <v/>
      </c>
      <c r="CB30" s="28">
        <f>IF(CA30&lt;4,"F",IF(BV30="F","F",IF(BM30="F","F",IF(BD30="F","F",IF(AU30="F","F",IF(AL30="F","F",IF(AC30="F","F",IF(T30="F","F",IF(K30="F","F",IF(CA30&lt;=5,"C",IF(CA30&lt;6,"B",IF(CA30&lt;7,"B+",IF(CA30&lt;8,"A",IF(CA30&lt;=9,"A+","O"))))))))))))))</f>
        <v/>
      </c>
      <c r="CC30" s="27">
        <f>CA30*9.5</f>
        <v/>
      </c>
      <c r="CD30" s="27" t="n"/>
      <c r="CE30" s="28">
        <f>SUM(BS30,BJ30,BA30,AR30,AI30,Z30,Q30,H30)</f>
        <v/>
      </c>
      <c r="CF30" s="28">
        <f>(CE30/800)*100</f>
        <v/>
      </c>
      <c r="CG30" s="27" t="n"/>
      <c r="CH30" s="27" t="n"/>
      <c r="CI30" s="27">
        <f>IF(CA30&lt;=4,"F",IF(CA30&lt;=6,"PASS",IF(CA30&lt;=6.5,"SC",IF(CA30&lt;=7.5,"FC",IF(CA30&lt;="10","FCD")))))</f>
        <v/>
      </c>
    </row>
    <row r="31" ht="15.75" customHeight="1">
      <c r="A31" s="35">
        <f>A30+1</f>
        <v/>
      </c>
      <c r="B31" s="111" t="inlineStr">
        <is>
          <t>1bi23cd024</t>
        </is>
      </c>
      <c r="C31" s="111" t="inlineStr">
        <is>
          <t>KOMANNUTHALA P SRI HARSHA</t>
        </is>
      </c>
      <c r="D31" s="47" t="inlineStr">
        <is>
          <t>D</t>
        </is>
      </c>
      <c r="E31" s="9" t="n">
        <v>30</v>
      </c>
      <c r="F31" s="9" t="n">
        <v>49</v>
      </c>
      <c r="G31" s="9" t="n"/>
      <c r="H31" s="18">
        <f>SUM(E31:F31)</f>
        <v/>
      </c>
      <c r="I31" s="18" t="n">
        <v>4</v>
      </c>
      <c r="J31" s="18">
        <f>IF(F31&lt;=17,"0",IF(H31&lt;=39,"0",IF(H31&lt;=49,"4",IF(H31&lt;=54,"5",IF(H31&lt;=59,"6",IF(H31&lt;=69,"7",IF(H31&lt;=79,"8",IF(H31&lt;=89,"9","10"))))))))</f>
        <v/>
      </c>
      <c r="K31" s="18">
        <f>IF(F31&lt;=17,"F",IF(H31&lt;=39,"F",IF(H31&lt;=49,"P",IF(H31&lt;=54,"C",IF(H31&lt;=59,"B",IF(H31&lt;=69,"B+",IF(H31&lt;=79,"A",IF(H31&lt;=89,"A+","O"))))))))</f>
        <v/>
      </c>
      <c r="L31" s="18">
        <f>I31*J31</f>
        <v/>
      </c>
      <c r="M31" s="18" t="n"/>
      <c r="N31" s="9" t="n">
        <v>34</v>
      </c>
      <c r="O31" s="9" t="n">
        <v>35</v>
      </c>
      <c r="P31" s="9" t="n"/>
      <c r="Q31" s="18">
        <f>SUM(N31:O31)</f>
        <v/>
      </c>
      <c r="R31" s="18" t="n">
        <v>4</v>
      </c>
      <c r="S31" s="18">
        <f>IF(O31&lt;=17,"0",IF(Q31&lt;=39,"4",IF(Q31&lt;=49,"4",IF(Q31&lt;=54,"5",IF(Q31&lt;=59,"6",IF(Q31&lt;=69,"7",IF(Q31&lt;=79,"8",IF(Q31&lt;=89,"9","10"))))))))</f>
        <v/>
      </c>
      <c r="T31" s="18">
        <f>IF(O31&lt;=17,"F",IF(Q31&lt;=39,"F",IF(Q31&lt;=49,"P",IF(Q31&lt;=54,"C",IF(Q31&lt;=59,"B",IF(Q31&lt;=69,"B+",IF(Q31&lt;=79,"A",IF(Q31&lt;=89,"A+","O"))))))))</f>
        <v/>
      </c>
      <c r="U31" s="18">
        <f>R31*S31</f>
        <v/>
      </c>
      <c r="V31" s="18" t="n"/>
      <c r="W31" s="9" t="n">
        <v>46</v>
      </c>
      <c r="X31" s="9" t="n">
        <v>44</v>
      </c>
      <c r="Y31" s="18" t="n"/>
      <c r="Z31" s="18">
        <f>SUM(W31:X31)</f>
        <v/>
      </c>
      <c r="AA31" s="18" t="n">
        <v>3</v>
      </c>
      <c r="AB31" s="18">
        <f>IF(X31&lt;=17,"0",IF(Z31&lt;=39,"0",IF(Z31&lt;=49,"4",IF(Z31&lt;=54,"5",IF(Z31&lt;=59,"6",IF(Z31&lt;=69,"7",IF(Z31&lt;=79,"8",IF(Z31&lt;=89,"9","10"))))))))</f>
        <v/>
      </c>
      <c r="AC31" s="18">
        <f>IF(X31&lt;=17,"F",IF(Z31&lt;=39,"F",IF(Z31&lt;=49,"P",IF(Z31&lt;=54,"C",IF(Z31&lt;=59,"B",IF(Z31&lt;=69,"B+",IF(Z31&lt;=79,"A",IF(Z31&lt;=89,"A+","O"))))))))</f>
        <v/>
      </c>
      <c r="AD31" s="18">
        <f>AA31*AB31</f>
        <v/>
      </c>
      <c r="AE31" s="18" t="n"/>
      <c r="AF31" s="46" t="n">
        <v>42</v>
      </c>
      <c r="AG31" s="46" t="n">
        <v>33</v>
      </c>
      <c r="AH31" s="9" t="n"/>
      <c r="AI31" s="18">
        <f>SUM(AF31:AG31)</f>
        <v/>
      </c>
      <c r="AJ31" s="18" t="n">
        <v>3</v>
      </c>
      <c r="AK31" s="18">
        <f>IF(AG31&lt;=17,"0",IF(AI31&lt;=39,"0",IF(AI31&lt;=49,"4",IF(AI31&lt;=54,"5",IF(AI31&lt;=59,"6",IF(AI31&lt;=69,"7",IF(AI31&lt;=79,"8",IF(AI31&lt;=89,"9","10"))))))))</f>
        <v/>
      </c>
      <c r="AL31" s="18">
        <f>IF(AG31&lt;=17,"F",IF(AI31&lt;=39,"F",IF(AI31&lt;=49,"P",IF(AI31&lt;=54,"C",IF(AI31&lt;=59,"B",IF(AI31&lt;=69,"B+",IF(AI31&lt;=79,"A",IF(AI31&lt;=89,"A+","O"))))))))</f>
        <v/>
      </c>
      <c r="AM31" s="18">
        <f>AJ31*AK31</f>
        <v/>
      </c>
      <c r="AN31" s="18" t="n"/>
      <c r="AO31" s="46" t="n">
        <v>31</v>
      </c>
      <c r="AP31" s="46" t="n">
        <v>42</v>
      </c>
      <c r="AQ31" s="9" t="n"/>
      <c r="AR31" s="18">
        <f>(AO31+AP31)</f>
        <v/>
      </c>
      <c r="AS31" s="18" t="n">
        <v>3</v>
      </c>
      <c r="AT31" s="18">
        <f>IF(AP31&lt;=17,"0",IF(AR31&lt;=39,"0",IF(AR31&lt;=49,"4",IF(AR31&lt;=54,"5",IF(AR31&lt;=59,"6",IF(AR31&lt;=69,"7",IF(AR31&lt;=79,"8",IF(AR31&lt;=89,"9","10"))))))))</f>
        <v/>
      </c>
      <c r="AU31" s="18">
        <f>IF(AP31&lt;=17,"F",IF(AR31&lt;=39,"F",IF(AR31&lt;=49,"P",IF(AR31&lt;=54,"C",IF(AR31&lt;=59,"B",IF(AR31&lt;=69,"B+",IF(AR31&lt;=79,"A",IF(AR31&lt;=89,"A+","O"))))))))</f>
        <v/>
      </c>
      <c r="AV31" s="18">
        <f>AS31*AT31</f>
        <v/>
      </c>
      <c r="AW31" s="18" t="n"/>
      <c r="AX31" s="9" t="n">
        <v>41</v>
      </c>
      <c r="AY31" s="9" t="n">
        <v>46</v>
      </c>
      <c r="AZ31" s="9" t="n"/>
      <c r="BA31" s="18">
        <f>(AX31+AY31)</f>
        <v/>
      </c>
      <c r="BB31" s="18" t="n">
        <v>1</v>
      </c>
      <c r="BC31" s="18">
        <f>IF(AY31&lt;=17,"0",IF(BA31&lt;=39,"0",IF(BA31&lt;=49,"4",IF(BA31&lt;=54,"5",IF(BA31&lt;=59,"6",IF(BA31&lt;=69,"7",IF(BA31&lt;=79,"8",IF(BA31&lt;=89,"9","10"))))))))</f>
        <v/>
      </c>
      <c r="BD31" s="18">
        <f>IF(AY31&lt;=17,"F",IF(BA31&lt;=39,"F",IF(BA31&lt;=49,"P",IF(BA31&lt;=54,"C",IF(BA31&lt;=59,"B",IF(BA31&lt;=69,"B+",IF(BA31&lt;=79,"A",IF(BA31&lt;=89,"A+","O"))))))))</f>
        <v/>
      </c>
      <c r="BE31" s="18">
        <f>BB31*BC31</f>
        <v/>
      </c>
      <c r="BF31" s="43" t="inlineStr">
        <is>
          <t>Samskrutika Kannada</t>
        </is>
      </c>
      <c r="BG31" s="9" t="n">
        <v>47</v>
      </c>
      <c r="BH31" s="9" t="n">
        <v>43</v>
      </c>
      <c r="BI31" s="9" t="n"/>
      <c r="BJ31" s="18">
        <f>(BG31+BH31)</f>
        <v/>
      </c>
      <c r="BK31" s="18" t="n">
        <v>1</v>
      </c>
      <c r="BL31" s="18">
        <f>IF(BH31&lt;=17,"0",IF(BJ31&lt;=39,"0",IF(BJ31&lt;=49,"4",IF(BJ31&lt;=54,"5",IF(BJ31&lt;=59,"6",IF(BJ31&lt;=69,"7",IF(BJ31&lt;=79,"8",IF(BJ31&lt;=89,"9","10"))))))))</f>
        <v/>
      </c>
      <c r="BM31" s="18">
        <f>IF(BH31&lt;=17,"F",IF(BJ31&lt;=39,"F",IF(BJ31&lt;=49,"P",IF(BJ31&lt;=54,"C",IF(BJ31&lt;=59,"B",IF(BJ31&lt;=69,"B+",IF(BJ31&lt;=79,"A",IF(BJ31&lt;=89,"A+","O"))))))))</f>
        <v/>
      </c>
      <c r="BN31" s="18">
        <f>BK31*BL31</f>
        <v/>
      </c>
      <c r="BO31" s="18" t="n"/>
      <c r="BP31" s="9" t="n">
        <v>23</v>
      </c>
      <c r="BQ31" s="9" t="n">
        <v>631</v>
      </c>
      <c r="BR31" s="9" t="n"/>
      <c r="BS31" s="18">
        <f>(BP31+BQ31)</f>
        <v/>
      </c>
      <c r="BT31" s="18" t="n">
        <v>1</v>
      </c>
      <c r="BU31" s="18">
        <f>IF(BQ31&lt;=17,"0",IF(BS31&lt;=39,"0",IF(BS31&lt;=49,"4",IF(BS31&lt;=54,"5",IF(BS31&lt;=59,"6",IF(BS31&lt;=69,"7",IF(BS31&lt;=79,"8",IF(BS31&lt;=89,"9","10"))))))))</f>
        <v/>
      </c>
      <c r="BV31" s="18">
        <f>IF(BQ31&lt;=17,"F",IF(BS31&lt;=39,"F",IF(BS31&lt;=49,"P",IF(BS31&lt;=54,"C",IF(BS31&lt;=59,"B",IF(BS31&lt;=69,"B+",IF(BS31&lt;=79,"A",IF(BS31&lt;=89,"A+","O"))))))))</f>
        <v/>
      </c>
      <c r="BW31" s="18">
        <f>BT31*BU31</f>
        <v/>
      </c>
      <c r="BX31" s="18" t="n"/>
      <c r="BY31" s="18" t="n"/>
      <c r="BZ31" s="18">
        <f>L31+U31+AD31+AM31+AV31+BE31+BN31+BW31</f>
        <v/>
      </c>
      <c r="CA31" s="19">
        <f>BZ31/20</f>
        <v/>
      </c>
      <c r="CB31" s="28">
        <f>IF(CA31&lt;4,"F",IF(BV31="F","F",IF(BM31="F","F",IF(BD31="F","F",IF(AU31="F","F",IF(AL31="F","F",IF(AC31="F","F",IF(T31="F","F",IF(K31="F","F",IF(CA31&lt;=5,"C",IF(CA31&lt;6,"B",IF(CA31&lt;7,"B+",IF(CA31&lt;8,"A",IF(CA31&lt;=9,"A+","O"))))))))))))))</f>
        <v/>
      </c>
      <c r="CC31" s="27">
        <f>CA31*9.5</f>
        <v/>
      </c>
      <c r="CD31" s="27" t="n"/>
      <c r="CE31" s="28">
        <f>SUM(BS31,BJ31,BA31,AR31,AI31,Z31,Q31,H31)</f>
        <v/>
      </c>
      <c r="CF31" s="28">
        <f>(CE31/800)*100</f>
        <v/>
      </c>
      <c r="CG31" s="27" t="n"/>
      <c r="CH31" s="27" t="n"/>
      <c r="CI31" s="27">
        <f>IF(CA31&lt;=4,"F",IF(CA31&lt;=6,"PASS",IF(CA31&lt;=6.5,"SC",IF(CA31&lt;=7.5,"FC",IF(CA31&lt;="10","FCD")))))</f>
        <v/>
      </c>
    </row>
    <row r="32" ht="15.75" customHeight="1">
      <c r="A32" s="35">
        <f>A31+1</f>
        <v/>
      </c>
      <c r="B32" s="111" t="inlineStr">
        <is>
          <t>1bi23cd025</t>
        </is>
      </c>
      <c r="C32" s="111" t="inlineStr">
        <is>
          <t>KOTLA HIMASREE</t>
        </is>
      </c>
      <c r="D32" s="47" t="inlineStr">
        <is>
          <t>D</t>
        </is>
      </c>
      <c r="E32" s="9" t="n">
        <v>45</v>
      </c>
      <c r="F32" s="9" t="n">
        <v>50</v>
      </c>
      <c r="G32" s="9" t="n"/>
      <c r="H32" s="18">
        <f>SUM(E32:F32)</f>
        <v/>
      </c>
      <c r="I32" s="18" t="n">
        <v>4</v>
      </c>
      <c r="J32" s="18">
        <f>IF(F32&lt;=17,"0",IF(H32&lt;=39,"0",IF(H32&lt;=49,"4",IF(H32&lt;=54,"5",IF(H32&lt;=59,"6",IF(H32&lt;=69,"7",IF(H32&lt;=79,"8",IF(H32&lt;=89,"9","10"))))))))</f>
        <v/>
      </c>
      <c r="K32" s="18">
        <f>IF(F32&lt;=17,"F",IF(H32&lt;=39,"F",IF(H32&lt;=49,"P",IF(H32&lt;=54,"C",IF(H32&lt;=59,"B",IF(H32&lt;=69,"B+",IF(H32&lt;=79,"A",IF(H32&lt;=89,"A+","O"))))))))</f>
        <v/>
      </c>
      <c r="L32" s="18">
        <f>I32*J32</f>
        <v/>
      </c>
      <c r="M32" s="18" t="n"/>
      <c r="N32" s="9" t="n">
        <v>45</v>
      </c>
      <c r="O32" s="9" t="n">
        <v>50</v>
      </c>
      <c r="P32" s="9" t="n"/>
      <c r="Q32" s="18">
        <f>SUM(N32:O32)</f>
        <v/>
      </c>
      <c r="R32" s="18" t="n">
        <v>4</v>
      </c>
      <c r="S32" s="18">
        <f>IF(O32&lt;=17,"0",IF(Q32&lt;=39,"4",IF(Q32&lt;=49,"4",IF(Q32&lt;=54,"5",IF(Q32&lt;=59,"6",IF(Q32&lt;=69,"7",IF(Q32&lt;=79,"8",IF(Q32&lt;=89,"9","10"))))))))</f>
        <v/>
      </c>
      <c r="T32" s="18">
        <f>IF(O32&lt;=17,"F",IF(Q32&lt;=39,"F",IF(Q32&lt;=49,"P",IF(Q32&lt;=54,"C",IF(Q32&lt;=59,"B",IF(Q32&lt;=69,"B+",IF(Q32&lt;=79,"A",IF(Q32&lt;=89,"A+","O"))))))))</f>
        <v/>
      </c>
      <c r="U32" s="18">
        <f>R32*S32</f>
        <v/>
      </c>
      <c r="V32" s="18" t="n"/>
      <c r="W32" s="9" t="n">
        <v>48</v>
      </c>
      <c r="X32" s="9" t="n">
        <v>49</v>
      </c>
      <c r="Y32" s="18" t="n"/>
      <c r="Z32" s="18">
        <f>SUM(W32:X32)</f>
        <v/>
      </c>
      <c r="AA32" s="18" t="n">
        <v>3</v>
      </c>
      <c r="AB32" s="18">
        <f>IF(X32&lt;=17,"0",IF(Z32&lt;=39,"0",IF(Z32&lt;=49,"4",IF(Z32&lt;=54,"5",IF(Z32&lt;=59,"6",IF(Z32&lt;=69,"7",IF(Z32&lt;=79,"8",IF(Z32&lt;=89,"9","10"))))))))</f>
        <v/>
      </c>
      <c r="AC32" s="18">
        <f>IF(X32&lt;=17,"F",IF(Z32&lt;=39,"F",IF(Z32&lt;=49,"P",IF(Z32&lt;=54,"C",IF(Z32&lt;=59,"B",IF(Z32&lt;=69,"B+",IF(Z32&lt;=79,"A",IF(Z32&lt;=89,"A+","O"))))))))</f>
        <v/>
      </c>
      <c r="AD32" s="18">
        <f>AA32*AB32</f>
        <v/>
      </c>
      <c r="AE32" s="18" t="n"/>
      <c r="AF32" s="46" t="n">
        <v>43</v>
      </c>
      <c r="AG32" s="46" t="n">
        <v>50</v>
      </c>
      <c r="AH32" s="9" t="n"/>
      <c r="AI32" s="18">
        <f>SUM(AF32:AG32)</f>
        <v/>
      </c>
      <c r="AJ32" s="18" t="n">
        <v>3</v>
      </c>
      <c r="AK32" s="18">
        <f>IF(AG32&lt;=17,"0",IF(AI32&lt;=39,"0",IF(AI32&lt;=49,"4",IF(AI32&lt;=54,"5",IF(AI32&lt;=59,"6",IF(AI32&lt;=69,"7",IF(AI32&lt;=79,"8",IF(AI32&lt;=89,"9","10"))))))))</f>
        <v/>
      </c>
      <c r="AL32" s="18">
        <f>IF(AG32&lt;=17,"F",IF(AI32&lt;=39,"F",IF(AI32&lt;=49,"P",IF(AI32&lt;=54,"C",IF(AI32&lt;=59,"B",IF(AI32&lt;=69,"B+",IF(AI32&lt;=79,"A",IF(AI32&lt;=89,"A+","O"))))))))</f>
        <v/>
      </c>
      <c r="AM32" s="18">
        <f>AJ32*AK32</f>
        <v/>
      </c>
      <c r="AN32" s="18" t="n"/>
      <c r="AO32" s="46" t="n">
        <v>37</v>
      </c>
      <c r="AP32" s="46" t="n">
        <v>50</v>
      </c>
      <c r="AQ32" s="9" t="n"/>
      <c r="AR32" s="18">
        <f>(AO32+AP32)</f>
        <v/>
      </c>
      <c r="AS32" s="18" t="n">
        <v>3</v>
      </c>
      <c r="AT32" s="18">
        <f>IF(AP32&lt;=17,"0",IF(AR32&lt;=39,"0",IF(AR32&lt;=49,"4",IF(AR32&lt;=54,"5",IF(AR32&lt;=59,"6",IF(AR32&lt;=69,"7",IF(AR32&lt;=79,"8",IF(AR32&lt;=89,"9","10"))))))))</f>
        <v/>
      </c>
      <c r="AU32" s="18">
        <f>IF(AP32&lt;=17,"F",IF(AR32&lt;=39,"F",IF(AR32&lt;=49,"P",IF(AR32&lt;=54,"C",IF(AR32&lt;=59,"B",IF(AR32&lt;=69,"B+",IF(AR32&lt;=79,"A",IF(AR32&lt;=89,"A+","O"))))))))</f>
        <v/>
      </c>
      <c r="AV32" s="18">
        <f>AS32*AT32</f>
        <v/>
      </c>
      <c r="AW32" s="18" t="n"/>
      <c r="AX32" s="9" t="n">
        <v>45</v>
      </c>
      <c r="AY32" s="9" t="n">
        <v>50</v>
      </c>
      <c r="AZ32" s="9" t="n"/>
      <c r="BA32" s="18">
        <f>(AX32+AY32)</f>
        <v/>
      </c>
      <c r="BB32" s="18" t="n">
        <v>1</v>
      </c>
      <c r="BC32" s="18">
        <f>IF(AY32&lt;=17,"0",IF(BA32&lt;=39,"0",IF(BA32&lt;=49,"4",IF(BA32&lt;=54,"5",IF(BA32&lt;=59,"6",IF(BA32&lt;=69,"7",IF(BA32&lt;=79,"8",IF(BA32&lt;=89,"9","10"))))))))</f>
        <v/>
      </c>
      <c r="BD32" s="18">
        <f>IF(AY32&lt;=17,"F",IF(BA32&lt;=39,"F",IF(BA32&lt;=49,"P",IF(BA32&lt;=54,"C",IF(BA32&lt;=59,"B",IF(BA32&lt;=69,"B+",IF(BA32&lt;=79,"A",IF(BA32&lt;=89,"A+","O"))))))))</f>
        <v/>
      </c>
      <c r="BE32" s="18">
        <f>BB32*BC32</f>
        <v/>
      </c>
      <c r="BF32" s="43" t="inlineStr">
        <is>
          <t>Balake Kannada</t>
        </is>
      </c>
      <c r="BG32" s="9" t="n">
        <v>28</v>
      </c>
      <c r="BH32" s="9" t="n">
        <v>50</v>
      </c>
      <c r="BI32" s="9" t="n"/>
      <c r="BJ32" s="18">
        <f>(BG32+BH32)</f>
        <v/>
      </c>
      <c r="BK32" s="18" t="n">
        <v>1</v>
      </c>
      <c r="BL32" s="18">
        <f>IF(BH32&lt;=17,"0",IF(BJ32&lt;=39,"0",IF(BJ32&lt;=49,"4",IF(BJ32&lt;=54,"5",IF(BJ32&lt;=59,"6",IF(BJ32&lt;=69,"7",IF(BJ32&lt;=79,"8",IF(BJ32&lt;=89,"9","10"))))))))</f>
        <v/>
      </c>
      <c r="BM32" s="18">
        <f>IF(BH32&lt;=17,"F",IF(BJ32&lt;=39,"F",IF(BJ32&lt;=49,"P",IF(BJ32&lt;=54,"C",IF(BJ32&lt;=59,"B",IF(BJ32&lt;=69,"B+",IF(BJ32&lt;=79,"A",IF(BJ32&lt;=89,"A+","O"))))))))</f>
        <v/>
      </c>
      <c r="BN32" s="18">
        <f>BK32*BL32</f>
        <v/>
      </c>
      <c r="BO32" s="18" t="n"/>
      <c r="BP32" s="9" t="n">
        <v>39</v>
      </c>
      <c r="BQ32" s="9" t="n">
        <v>728</v>
      </c>
      <c r="BR32" s="9" t="n"/>
      <c r="BS32" s="18">
        <f>(BP32+BQ32)</f>
        <v/>
      </c>
      <c r="BT32" s="18" t="n">
        <v>1</v>
      </c>
      <c r="BU32" s="18">
        <f>IF(BQ32&lt;=17,"0",IF(BS32&lt;=39,"0",IF(BS32&lt;=49,"4",IF(BS32&lt;=54,"5",IF(BS32&lt;=59,"6",IF(BS32&lt;=69,"7",IF(BS32&lt;=79,"8",IF(BS32&lt;=89,"9","10"))))))))</f>
        <v/>
      </c>
      <c r="BV32" s="18">
        <f>IF(BQ32&lt;=17,"F",IF(BS32&lt;=39,"F",IF(BS32&lt;=49,"P",IF(BS32&lt;=54,"C",IF(BS32&lt;=59,"B",IF(BS32&lt;=69,"B+",IF(BS32&lt;=79,"A",IF(BS32&lt;=89,"A+","O"))))))))</f>
        <v/>
      </c>
      <c r="BW32" s="18">
        <f>BT32*BU32</f>
        <v/>
      </c>
      <c r="BX32" s="18" t="n"/>
      <c r="BY32" s="18" t="n"/>
      <c r="BZ32" s="18">
        <f>L32+U32+AD32+AM32+AV32+BE32+BN32+BW32</f>
        <v/>
      </c>
      <c r="CA32" s="19">
        <f>BZ32/20</f>
        <v/>
      </c>
      <c r="CB32" s="28">
        <f>IF(CA32&lt;4,"F",IF(BV32="F","F",IF(BM32="F","F",IF(BD32="F","F",IF(AU32="F","F",IF(AL32="F","F",IF(AC32="F","F",IF(T32="F","F",IF(K32="F","F",IF(CA32&lt;=5,"C",IF(CA32&lt;6,"B",IF(CA32&lt;7,"B+",IF(CA32&lt;8,"A",IF(CA32&lt;=9,"A+","O"))))))))))))))</f>
        <v/>
      </c>
      <c r="CC32" s="27">
        <f>CA32*9.5</f>
        <v/>
      </c>
      <c r="CD32" s="27" t="n"/>
      <c r="CE32" s="28">
        <f>SUM(BS32,BJ32,BA32,AR32,AI32,Z32,Q32,H32)</f>
        <v/>
      </c>
      <c r="CF32" s="28">
        <f>(CE32/800)*100</f>
        <v/>
      </c>
      <c r="CG32" s="27" t="n"/>
      <c r="CH32" s="27" t="n"/>
      <c r="CI32" s="27">
        <f>IF(CA32&lt;=4,"F",IF(CA32&lt;=6,"PASS",IF(CA32&lt;=6.5,"SC",IF(CA32&lt;=7.5,"FC",IF(CA32&lt;="10","FCD")))))</f>
        <v/>
      </c>
    </row>
    <row r="33" ht="15.75" customHeight="1">
      <c r="A33" s="35">
        <f>A32+1</f>
        <v/>
      </c>
      <c r="B33" s="111" t="inlineStr">
        <is>
          <t>1bi23cd026</t>
        </is>
      </c>
      <c r="C33" s="111" t="inlineStr">
        <is>
          <t>KUSHAL S</t>
        </is>
      </c>
      <c r="D33" s="47" t="inlineStr">
        <is>
          <t>D</t>
        </is>
      </c>
      <c r="E33" s="9" t="n">
        <v>32</v>
      </c>
      <c r="F33" s="9" t="n">
        <v>48</v>
      </c>
      <c r="G33" s="9" t="n"/>
      <c r="H33" s="18">
        <f>SUM(E33:F33)</f>
        <v/>
      </c>
      <c r="I33" s="18" t="n">
        <v>4</v>
      </c>
      <c r="J33" s="18">
        <f>IF(F33&lt;=17,"0",IF(H33&lt;=39,"0",IF(H33&lt;=49,"4",IF(H33&lt;=54,"5",IF(H33&lt;=59,"6",IF(H33&lt;=69,"7",IF(H33&lt;=79,"8",IF(H33&lt;=89,"9","10"))))))))</f>
        <v/>
      </c>
      <c r="K33" s="18">
        <f>IF(F33&lt;=17,"F",IF(H33&lt;=39,"F",IF(H33&lt;=49,"P",IF(H33&lt;=54,"C",IF(H33&lt;=59,"B",IF(H33&lt;=69,"B+",IF(H33&lt;=79,"A",IF(H33&lt;=89,"A+","O"))))))))</f>
        <v/>
      </c>
      <c r="L33" s="18">
        <f>I33*J33</f>
        <v/>
      </c>
      <c r="M33" s="18" t="n"/>
      <c r="N33" s="9" t="n">
        <v>26</v>
      </c>
      <c r="O33" s="9" t="n">
        <v>50</v>
      </c>
      <c r="P33" s="9" t="n"/>
      <c r="Q33" s="18">
        <f>SUM(N33:O33)</f>
        <v/>
      </c>
      <c r="R33" s="18" t="n">
        <v>4</v>
      </c>
      <c r="S33" s="18">
        <f>IF(O33&lt;=17,"0",IF(Q33&lt;=39,"4",IF(Q33&lt;=49,"4",IF(Q33&lt;=54,"5",IF(Q33&lt;=59,"6",IF(Q33&lt;=69,"7",IF(Q33&lt;=79,"8",IF(Q33&lt;=89,"9","10"))))))))</f>
        <v/>
      </c>
      <c r="T33" s="18">
        <f>IF(O33&lt;=17,"F",IF(Q33&lt;=39,"F",IF(Q33&lt;=49,"P",IF(Q33&lt;=54,"C",IF(Q33&lt;=59,"B",IF(Q33&lt;=69,"B+",IF(Q33&lt;=79,"A",IF(Q33&lt;=89,"A+","O"))))))))</f>
        <v/>
      </c>
      <c r="U33" s="18">
        <f>R33*S33</f>
        <v/>
      </c>
      <c r="V33" s="18" t="n"/>
      <c r="W33" s="9" t="n">
        <v>48</v>
      </c>
      <c r="X33" s="9" t="n">
        <v>44</v>
      </c>
      <c r="Y33" s="18" t="n"/>
      <c r="Z33" s="18">
        <f>SUM(W33:X33)</f>
        <v/>
      </c>
      <c r="AA33" s="18" t="n">
        <v>3</v>
      </c>
      <c r="AB33" s="18">
        <f>IF(X33&lt;=17,"0",IF(Z33&lt;=39,"0",IF(Z33&lt;=49,"4",IF(Z33&lt;=54,"5",IF(Z33&lt;=59,"6",IF(Z33&lt;=69,"7",IF(Z33&lt;=79,"8",IF(Z33&lt;=89,"9","10"))))))))</f>
        <v/>
      </c>
      <c r="AC33" s="18">
        <f>IF(X33&lt;=17,"F",IF(Z33&lt;=39,"F",IF(Z33&lt;=49,"P",IF(Z33&lt;=54,"C",IF(Z33&lt;=59,"B",IF(Z33&lt;=69,"B+",IF(Z33&lt;=79,"A",IF(Z33&lt;=89,"A+","O"))))))))</f>
        <v/>
      </c>
      <c r="AD33" s="18">
        <f>AA33*AB33</f>
        <v/>
      </c>
      <c r="AE33" s="18" t="n"/>
      <c r="AF33" s="46" t="n">
        <v>41</v>
      </c>
      <c r="AG33" s="46" t="n">
        <v>38</v>
      </c>
      <c r="AH33" s="9" t="n"/>
      <c r="AI33" s="18">
        <f>SUM(AF33:AG33)</f>
        <v/>
      </c>
      <c r="AJ33" s="18" t="n">
        <v>3</v>
      </c>
      <c r="AK33" s="18">
        <f>IF(AG33&lt;=17,"0",IF(AI33&lt;=39,"0",IF(AI33&lt;=49,"4",IF(AI33&lt;=54,"5",IF(AI33&lt;=59,"6",IF(AI33&lt;=69,"7",IF(AI33&lt;=79,"8",IF(AI33&lt;=89,"9","10"))))))))</f>
        <v/>
      </c>
      <c r="AL33" s="18">
        <f>IF(AG33&lt;=17,"F",IF(AI33&lt;=39,"F",IF(AI33&lt;=49,"P",IF(AI33&lt;=54,"C",IF(AI33&lt;=59,"B",IF(AI33&lt;=69,"B+",IF(AI33&lt;=79,"A",IF(AI33&lt;=89,"A+","O"))))))))</f>
        <v/>
      </c>
      <c r="AM33" s="18">
        <f>AJ33*AK33</f>
        <v/>
      </c>
      <c r="AN33" s="18" t="n"/>
      <c r="AO33" s="46" t="n">
        <v>18</v>
      </c>
      <c r="AP33" s="46" t="n">
        <v>45</v>
      </c>
      <c r="AQ33" s="9" t="n"/>
      <c r="AR33" s="18">
        <f>(AO33+AP33)</f>
        <v/>
      </c>
      <c r="AS33" s="18" t="n">
        <v>3</v>
      </c>
      <c r="AT33" s="18">
        <f>IF(AP33&lt;=17,"0",IF(AR33&lt;=39,"0",IF(AR33&lt;=49,"4",IF(AR33&lt;=54,"5",IF(AR33&lt;=59,"6",IF(AR33&lt;=69,"7",IF(AR33&lt;=79,"8",IF(AR33&lt;=89,"9","10"))))))))</f>
        <v/>
      </c>
      <c r="AU33" s="18">
        <f>IF(AP33&lt;=17,"F",IF(AR33&lt;=39,"F",IF(AR33&lt;=49,"P",IF(AR33&lt;=54,"C",IF(AR33&lt;=59,"B",IF(AR33&lt;=69,"B+",IF(AR33&lt;=79,"A",IF(AR33&lt;=89,"A+","O"))))))))</f>
        <v/>
      </c>
      <c r="AV33" s="18">
        <f>AS33*AT33</f>
        <v/>
      </c>
      <c r="AW33" s="18" t="n"/>
      <c r="AX33" s="9" t="n">
        <v>41</v>
      </c>
      <c r="AY33" s="9" t="n">
        <v>40</v>
      </c>
      <c r="AZ33" s="9" t="n"/>
      <c r="BA33" s="18">
        <f>(AX33+AY33)</f>
        <v/>
      </c>
      <c r="BB33" s="18" t="n">
        <v>1</v>
      </c>
      <c r="BC33" s="18">
        <f>IF(AY33&lt;=17,"0",IF(BA33&lt;=39,"0",IF(BA33&lt;=49,"4",IF(BA33&lt;=54,"5",IF(BA33&lt;=59,"6",IF(BA33&lt;=69,"7",IF(BA33&lt;=79,"8",IF(BA33&lt;=89,"9","10"))))))))</f>
        <v/>
      </c>
      <c r="BD33" s="18">
        <f>IF(AY33&lt;=17,"F",IF(BA33&lt;=39,"F",IF(BA33&lt;=49,"P",IF(BA33&lt;=54,"C",IF(BA33&lt;=59,"B",IF(BA33&lt;=69,"B+",IF(BA33&lt;=79,"A",IF(BA33&lt;=89,"A+","O"))))))))</f>
        <v/>
      </c>
      <c r="BE33" s="18">
        <f>BB33*BC33</f>
        <v/>
      </c>
      <c r="BF33" s="43" t="inlineStr">
        <is>
          <t>Samskrutika Kannada</t>
        </is>
      </c>
      <c r="BG33" s="9" t="n">
        <v>27</v>
      </c>
      <c r="BH33" s="9" t="n">
        <v>39</v>
      </c>
      <c r="BI33" s="9" t="n"/>
      <c r="BJ33" s="18">
        <f>(BG33+BH33)</f>
        <v/>
      </c>
      <c r="BK33" s="18" t="n">
        <v>1</v>
      </c>
      <c r="BL33" s="18">
        <f>IF(BH33&lt;=17,"0",IF(BJ33&lt;=39,"0",IF(BJ33&lt;=49,"4",IF(BJ33&lt;=54,"5",IF(BJ33&lt;=59,"6",IF(BJ33&lt;=69,"7",IF(BJ33&lt;=79,"8",IF(BJ33&lt;=89,"9","10"))))))))</f>
        <v/>
      </c>
      <c r="BM33" s="18">
        <f>IF(BH33&lt;=17,"F",IF(BJ33&lt;=39,"F",IF(BJ33&lt;=49,"P",IF(BJ33&lt;=54,"C",IF(BJ33&lt;=59,"B",IF(BJ33&lt;=69,"B+",IF(BJ33&lt;=79,"A",IF(BJ33&lt;=89,"A+","O"))))))))</f>
        <v/>
      </c>
      <c r="BN33" s="18">
        <f>BK33*BL33</f>
        <v/>
      </c>
      <c r="BO33" s="18" t="n"/>
      <c r="BP33" s="9" t="n">
        <v>11</v>
      </c>
      <c r="BQ33" s="9" t="n">
        <v>598</v>
      </c>
      <c r="BR33" s="9" t="n"/>
      <c r="BS33" s="18">
        <f>(BP33+BQ33)</f>
        <v/>
      </c>
      <c r="BT33" s="18" t="n">
        <v>1</v>
      </c>
      <c r="BU33" s="18">
        <f>IF(BQ33&lt;=17,"0",IF(BS33&lt;=39,"0",IF(BS33&lt;=49,"4",IF(BS33&lt;=54,"5",IF(BS33&lt;=59,"6",IF(BS33&lt;=69,"7",IF(BS33&lt;=79,"8",IF(BS33&lt;=89,"9","10"))))))))</f>
        <v/>
      </c>
      <c r="BV33" s="18">
        <f>IF(BQ33&lt;=17,"F",IF(BS33&lt;=39,"F",IF(BS33&lt;=49,"P",IF(BS33&lt;=54,"C",IF(BS33&lt;=59,"B",IF(BS33&lt;=69,"B+",IF(BS33&lt;=79,"A",IF(BS33&lt;=89,"A+","O"))))))))</f>
        <v/>
      </c>
      <c r="BW33" s="18">
        <f>BT33*BU33</f>
        <v/>
      </c>
      <c r="BX33" s="18" t="n"/>
      <c r="BY33" s="18" t="n"/>
      <c r="BZ33" s="18">
        <f>L33+U33+AD33+AM33+AV33+BE33+BN33+BW33</f>
        <v/>
      </c>
      <c r="CA33" s="19">
        <f>BZ33/20</f>
        <v/>
      </c>
      <c r="CB33" s="28">
        <f>IF(CA33&lt;4,"F",IF(BV33="F","F",IF(BM33="F","F",IF(BD33="F","F",IF(AU33="F","F",IF(AL33="F","F",IF(AC33="F","F",IF(T33="F","F",IF(K33="F","F",IF(CA33&lt;=5,"C",IF(CA33&lt;6,"B",IF(CA33&lt;7,"B+",IF(CA33&lt;8,"A",IF(CA33&lt;=9,"A+","O"))))))))))))))</f>
        <v/>
      </c>
      <c r="CC33" s="27">
        <f>CA33*9.5</f>
        <v/>
      </c>
      <c r="CD33" s="27" t="n"/>
      <c r="CE33" s="28">
        <f>SUM(BS33,BJ33,BA33,AR33,AI33,Z33,Q33,H33)</f>
        <v/>
      </c>
      <c r="CF33" s="28">
        <f>(CE33/800)*100</f>
        <v/>
      </c>
      <c r="CG33" s="27" t="n"/>
      <c r="CH33" s="27" t="n"/>
      <c r="CI33" s="27">
        <f>IF(CA33&lt;=4,"F",IF(CA33&lt;=6,"PASS",IF(CA33&lt;=6.5,"SC",IF(CA33&lt;=7.5,"FC",IF(CA33&lt;="10","FCD")))))</f>
        <v/>
      </c>
    </row>
    <row r="34" ht="15.75" customHeight="1">
      <c r="A34" s="35">
        <f>A33+1</f>
        <v/>
      </c>
      <c r="B34" s="111" t="inlineStr">
        <is>
          <t>1bi23cd027</t>
        </is>
      </c>
      <c r="C34" s="111" t="inlineStr">
        <is>
          <t>MADHURA M</t>
        </is>
      </c>
      <c r="D34" s="47" t="inlineStr">
        <is>
          <t>D</t>
        </is>
      </c>
      <c r="E34" s="9" t="n">
        <v>22</v>
      </c>
      <c r="F34" s="9" t="n">
        <v>49</v>
      </c>
      <c r="G34" s="9" t="n"/>
      <c r="H34" s="18">
        <f>SUM(E34:F34)</f>
        <v/>
      </c>
      <c r="I34" s="18" t="n">
        <v>4</v>
      </c>
      <c r="J34" s="18">
        <f>IF(F34&lt;=17,"0",IF(H34&lt;=39,"0",IF(H34&lt;=49,"4",IF(H34&lt;=54,"5",IF(H34&lt;=59,"6",IF(H34&lt;=69,"7",IF(H34&lt;=79,"8",IF(H34&lt;=89,"9","10"))))))))</f>
        <v/>
      </c>
      <c r="K34" s="18">
        <f>IF(F34&lt;=17,"F",IF(H34&lt;=39,"F",IF(H34&lt;=49,"P",IF(H34&lt;=54,"C",IF(H34&lt;=59,"B",IF(H34&lt;=69,"B+",IF(H34&lt;=79,"A",IF(H34&lt;=89,"A+","O"))))))))</f>
        <v/>
      </c>
      <c r="L34" s="18">
        <f>I34*J34</f>
        <v/>
      </c>
      <c r="M34" s="18" t="n"/>
      <c r="N34" s="9" t="n">
        <v>30</v>
      </c>
      <c r="O34" s="9" t="n">
        <v>47</v>
      </c>
      <c r="P34" s="9" t="n"/>
      <c r="Q34" s="18">
        <f>SUM(N34:O34)</f>
        <v/>
      </c>
      <c r="R34" s="18" t="n">
        <v>4</v>
      </c>
      <c r="S34" s="18">
        <f>IF(O34&lt;=17,"0",IF(Q34&lt;=39,"4",IF(Q34&lt;=49,"4",IF(Q34&lt;=54,"5",IF(Q34&lt;=59,"6",IF(Q34&lt;=69,"7",IF(Q34&lt;=79,"8",IF(Q34&lt;=89,"9","10"))))))))</f>
        <v/>
      </c>
      <c r="T34" s="18">
        <f>IF(O34&lt;=17,"F",IF(Q34&lt;=39,"F",IF(Q34&lt;=49,"P",IF(Q34&lt;=54,"C",IF(Q34&lt;=59,"B",IF(Q34&lt;=69,"B+",IF(Q34&lt;=79,"A",IF(Q34&lt;=89,"A+","O"))))))))</f>
        <v/>
      </c>
      <c r="U34" s="18">
        <f>R34*S34</f>
        <v/>
      </c>
      <c r="V34" s="18" t="n"/>
      <c r="W34" s="9" t="n">
        <v>48</v>
      </c>
      <c r="X34" s="9" t="n">
        <v>46</v>
      </c>
      <c r="Y34" s="18" t="n"/>
      <c r="Z34" s="18">
        <f>SUM(W34:X34)</f>
        <v/>
      </c>
      <c r="AA34" s="18" t="n">
        <v>3</v>
      </c>
      <c r="AB34" s="18">
        <f>IF(X34&lt;=17,"0",IF(Z34&lt;=39,"0",IF(Z34&lt;=49,"4",IF(Z34&lt;=54,"5",IF(Z34&lt;=59,"6",IF(Z34&lt;=69,"7",IF(Z34&lt;=79,"8",IF(Z34&lt;=89,"9","10"))))))))</f>
        <v/>
      </c>
      <c r="AC34" s="18">
        <f>IF(X34&lt;=17,"F",IF(Z34&lt;=39,"F",IF(Z34&lt;=49,"P",IF(Z34&lt;=54,"C",IF(Z34&lt;=59,"B",IF(Z34&lt;=69,"B+",IF(Z34&lt;=79,"A",IF(Z34&lt;=89,"A+","O"))))))))</f>
        <v/>
      </c>
      <c r="AD34" s="18">
        <f>AA34*AB34</f>
        <v/>
      </c>
      <c r="AE34" s="18" t="n"/>
      <c r="AF34" s="46" t="n">
        <v>39</v>
      </c>
      <c r="AG34" s="46" t="n">
        <v>45</v>
      </c>
      <c r="AH34" s="9" t="n"/>
      <c r="AI34" s="18">
        <f>SUM(AF34:AG34)</f>
        <v/>
      </c>
      <c r="AJ34" s="18" t="n">
        <v>3</v>
      </c>
      <c r="AK34" s="18">
        <f>IF(AG34&lt;=17,"0",IF(AI34&lt;=39,"0",IF(AI34&lt;=49,"4",IF(AI34&lt;=54,"5",IF(AI34&lt;=59,"6",IF(AI34&lt;=69,"7",IF(AI34&lt;=79,"8",IF(AI34&lt;=89,"9","10"))))))))</f>
        <v/>
      </c>
      <c r="AL34" s="18">
        <f>IF(AG34&lt;=17,"F",IF(AI34&lt;=39,"F",IF(AI34&lt;=49,"P",IF(AI34&lt;=54,"C",IF(AI34&lt;=59,"B",IF(AI34&lt;=69,"B+",IF(AI34&lt;=79,"A",IF(AI34&lt;=89,"A+","O"))))))))</f>
        <v/>
      </c>
      <c r="AM34" s="18">
        <f>AJ34*AK34</f>
        <v/>
      </c>
      <c r="AN34" s="18" t="n"/>
      <c r="AO34" s="46" t="n">
        <v>18</v>
      </c>
      <c r="AP34" s="46" t="n">
        <v>50</v>
      </c>
      <c r="AQ34" s="9" t="n"/>
      <c r="AR34" s="18">
        <f>(AO34+AP34)</f>
        <v/>
      </c>
      <c r="AS34" s="18" t="n">
        <v>3</v>
      </c>
      <c r="AT34" s="18">
        <f>IF(AP34&lt;=17,"0",IF(AR34&lt;=39,"0",IF(AR34&lt;=49,"4",IF(AR34&lt;=54,"5",IF(AR34&lt;=59,"6",IF(AR34&lt;=69,"7",IF(AR34&lt;=79,"8",IF(AR34&lt;=89,"9","10"))))))))</f>
        <v/>
      </c>
      <c r="AU34" s="18">
        <f>IF(AP34&lt;=17,"F",IF(AR34&lt;=39,"F",IF(AR34&lt;=49,"P",IF(AR34&lt;=54,"C",IF(AR34&lt;=59,"B",IF(AR34&lt;=69,"B+",IF(AR34&lt;=79,"A",IF(AR34&lt;=89,"A+","O"))))))))</f>
        <v/>
      </c>
      <c r="AV34" s="18">
        <f>AS34*AT34</f>
        <v/>
      </c>
      <c r="AW34" s="18" t="n"/>
      <c r="AX34" s="9" t="n">
        <v>39</v>
      </c>
      <c r="AY34" s="9" t="n">
        <v>46</v>
      </c>
      <c r="AZ34" s="9" t="n"/>
      <c r="BA34" s="18">
        <f>(AX34+AY34)</f>
        <v/>
      </c>
      <c r="BB34" s="18" t="n">
        <v>1</v>
      </c>
      <c r="BC34" s="18">
        <f>IF(AY34&lt;=17,"0",IF(BA34&lt;=39,"0",IF(BA34&lt;=49,"4",IF(BA34&lt;=54,"5",IF(BA34&lt;=59,"6",IF(BA34&lt;=69,"7",IF(BA34&lt;=79,"8",IF(BA34&lt;=89,"9","10"))))))))</f>
        <v/>
      </c>
      <c r="BD34" s="18">
        <f>IF(AY34&lt;=17,"F",IF(BA34&lt;=39,"F",IF(BA34&lt;=49,"P",IF(BA34&lt;=54,"C",IF(BA34&lt;=59,"B",IF(BA34&lt;=69,"B+",IF(BA34&lt;=79,"A",IF(BA34&lt;=89,"A+","O"))))))))</f>
        <v/>
      </c>
      <c r="BE34" s="18">
        <f>BB34*BC34</f>
        <v/>
      </c>
      <c r="BF34" s="43" t="inlineStr">
        <is>
          <t>Balake Kannada</t>
        </is>
      </c>
      <c r="BG34" s="9" t="n">
        <v>34</v>
      </c>
      <c r="BH34" s="9" t="n">
        <v>49</v>
      </c>
      <c r="BI34" s="9" t="n"/>
      <c r="BJ34" s="18">
        <f>(BG34+BH34)</f>
        <v/>
      </c>
      <c r="BK34" s="18" t="n">
        <v>1</v>
      </c>
      <c r="BL34" s="18">
        <f>IF(BH34&lt;=17,"0",IF(BJ34&lt;=39,"0",IF(BJ34&lt;=49,"4",IF(BJ34&lt;=54,"5",IF(BJ34&lt;=59,"6",IF(BJ34&lt;=69,"7",IF(BJ34&lt;=79,"8",IF(BJ34&lt;=89,"9","10"))))))))</f>
        <v/>
      </c>
      <c r="BM34" s="18">
        <f>IF(BH34&lt;=17,"F",IF(BJ34&lt;=39,"F",IF(BJ34&lt;=49,"P",IF(BJ34&lt;=54,"C",IF(BJ34&lt;=59,"B",IF(BJ34&lt;=69,"B+",IF(BJ34&lt;=79,"A",IF(BJ34&lt;=89,"A+","O"))))))))</f>
        <v/>
      </c>
      <c r="BN34" s="18">
        <f>BK34*BL34</f>
        <v/>
      </c>
      <c r="BO34" s="18" t="n"/>
      <c r="BP34" s="9" t="n">
        <v>31</v>
      </c>
      <c r="BQ34" s="9" t="n">
        <v>639</v>
      </c>
      <c r="BR34" s="9" t="n"/>
      <c r="BS34" s="18">
        <f>(BP34+BQ34)</f>
        <v/>
      </c>
      <c r="BT34" s="18" t="n">
        <v>1</v>
      </c>
      <c r="BU34" s="18">
        <f>IF(BQ34&lt;=17,"0",IF(BS34&lt;=39,"0",IF(BS34&lt;=49,"4",IF(BS34&lt;=54,"5",IF(BS34&lt;=59,"6",IF(BS34&lt;=69,"7",IF(BS34&lt;=79,"8",IF(BS34&lt;=89,"9","10"))))))))</f>
        <v/>
      </c>
      <c r="BV34" s="18">
        <f>IF(BQ34&lt;=17,"F",IF(BS34&lt;=39,"F",IF(BS34&lt;=49,"P",IF(BS34&lt;=54,"C",IF(BS34&lt;=59,"B",IF(BS34&lt;=69,"B+",IF(BS34&lt;=79,"A",IF(BS34&lt;=89,"A+","O"))))))))</f>
        <v/>
      </c>
      <c r="BW34" s="18">
        <f>BT34*BU34</f>
        <v/>
      </c>
      <c r="BX34" s="18" t="n"/>
      <c r="BY34" s="18" t="n"/>
      <c r="BZ34" s="18">
        <f>L34+U34+AD34+AM34+AV34+BE34+BN34+BW34</f>
        <v/>
      </c>
      <c r="CA34" s="19">
        <f>BZ34/20</f>
        <v/>
      </c>
      <c r="CB34" s="28">
        <f>IF(CA34&lt;4,"F",IF(BV34="F","F",IF(BM34="F","F",IF(BD34="F","F",IF(AU34="F","F",IF(AL34="F","F",IF(AC34="F","F",IF(T34="F","F",IF(K34="F","F",IF(CA34&lt;=5,"C",IF(CA34&lt;6,"B",IF(CA34&lt;7,"B+",IF(CA34&lt;8,"A",IF(CA34&lt;=9,"A+","O"))))))))))))))</f>
        <v/>
      </c>
      <c r="CC34" s="27">
        <f>CA34*9.5</f>
        <v/>
      </c>
      <c r="CD34" s="27" t="n"/>
      <c r="CE34" s="28">
        <f>SUM(BS34,BJ34,BA34,AR34,AI34,Z34,Q34,H34)</f>
        <v/>
      </c>
      <c r="CF34" s="28">
        <f>(CE34/800)*100</f>
        <v/>
      </c>
      <c r="CG34" s="27" t="n"/>
      <c r="CH34" s="27" t="n"/>
      <c r="CI34" s="27">
        <f>IF(CA34&lt;=4,"F",IF(CA34&lt;=6,"PASS",IF(CA34&lt;=6.5,"SC",IF(CA34&lt;=7.5,"FC",IF(CA34&lt;="10","FCD")))))</f>
        <v/>
      </c>
    </row>
    <row r="35" ht="15.75" customHeight="1">
      <c r="A35" s="35">
        <f>A34+1</f>
        <v/>
      </c>
      <c r="B35" s="111" t="inlineStr">
        <is>
          <t>1bi23cd028</t>
        </is>
      </c>
      <c r="C35" s="111" t="inlineStr">
        <is>
          <t>Mayur Arjun reddy</t>
        </is>
      </c>
      <c r="D35" s="47" t="inlineStr">
        <is>
          <t>D</t>
        </is>
      </c>
      <c r="E35" s="9" t="n">
        <v>32</v>
      </c>
      <c r="F35" s="9" t="n">
        <v>50</v>
      </c>
      <c r="G35" s="9" t="n"/>
      <c r="H35" s="18">
        <f>SUM(E35:F35)</f>
        <v/>
      </c>
      <c r="I35" s="18" t="n">
        <v>4</v>
      </c>
      <c r="J35" s="18">
        <f>IF(F35&lt;=17,"0",IF(H35&lt;=39,"0",IF(H35&lt;=49,"4",IF(H35&lt;=54,"5",IF(H35&lt;=59,"6",IF(H35&lt;=69,"7",IF(H35&lt;=79,"8",IF(H35&lt;=89,"9","10"))))))))</f>
        <v/>
      </c>
      <c r="K35" s="18">
        <f>IF(F35&lt;=17,"F",IF(H35&lt;=39,"F",IF(H35&lt;=49,"P",IF(H35&lt;=54,"C",IF(H35&lt;=59,"B",IF(H35&lt;=69,"B+",IF(H35&lt;=79,"A",IF(H35&lt;=89,"A+","O"))))))))</f>
        <v/>
      </c>
      <c r="L35" s="18">
        <f>I35*J35</f>
        <v/>
      </c>
      <c r="M35" s="18" t="n"/>
      <c r="N35" s="9" t="n">
        <v>39</v>
      </c>
      <c r="O35" s="9" t="n">
        <v>32</v>
      </c>
      <c r="P35" s="9" t="n"/>
      <c r="Q35" s="18">
        <f>SUM(N35:O35)</f>
        <v/>
      </c>
      <c r="R35" s="18" t="n">
        <v>4</v>
      </c>
      <c r="S35" s="18">
        <f>IF(O35&lt;=17,"0",IF(Q35&lt;=39,"4",IF(Q35&lt;=49,"4",IF(Q35&lt;=54,"5",IF(Q35&lt;=59,"6",IF(Q35&lt;=69,"7",IF(Q35&lt;=79,"8",IF(Q35&lt;=89,"9","10"))))))))</f>
        <v/>
      </c>
      <c r="T35" s="18">
        <f>IF(O35&lt;=17,"F",IF(Q35&lt;=39,"F",IF(Q35&lt;=49,"P",IF(Q35&lt;=54,"C",IF(Q35&lt;=59,"B",IF(Q35&lt;=69,"B+",IF(Q35&lt;=79,"A",IF(Q35&lt;=89,"A+","O"))))))))</f>
        <v/>
      </c>
      <c r="U35" s="18">
        <f>R35*S35</f>
        <v/>
      </c>
      <c r="V35" s="18" t="n"/>
      <c r="W35" s="9" t="n">
        <v>48</v>
      </c>
      <c r="X35" s="9" t="n">
        <v>43</v>
      </c>
      <c r="Y35" s="18" t="n"/>
      <c r="Z35" s="18">
        <f>SUM(W35:X35)</f>
        <v/>
      </c>
      <c r="AA35" s="18" t="n">
        <v>3</v>
      </c>
      <c r="AB35" s="18">
        <f>IF(X35&lt;=17,"0",IF(Z35&lt;=39,"0",IF(Z35&lt;=49,"4",IF(Z35&lt;=54,"5",IF(Z35&lt;=59,"6",IF(Z35&lt;=69,"7",IF(Z35&lt;=79,"8",IF(Z35&lt;=89,"9","10"))))))))</f>
        <v/>
      </c>
      <c r="AC35" s="18">
        <f>IF(X35&lt;=17,"F",IF(Z35&lt;=39,"F",IF(Z35&lt;=49,"P",IF(Z35&lt;=54,"C",IF(Z35&lt;=59,"B",IF(Z35&lt;=69,"B+",IF(Z35&lt;=79,"A",IF(Z35&lt;=89,"A+","O"))))))))</f>
        <v/>
      </c>
      <c r="AD35" s="18">
        <f>AA35*AB35</f>
        <v/>
      </c>
      <c r="AE35" s="18" t="n"/>
      <c r="AF35" s="46" t="n">
        <v>42</v>
      </c>
      <c r="AG35" s="46" t="n">
        <v>42</v>
      </c>
      <c r="AH35" s="9" t="n"/>
      <c r="AI35" s="18">
        <f>SUM(AF35:AG35)</f>
        <v/>
      </c>
      <c r="AJ35" s="18" t="n">
        <v>3</v>
      </c>
      <c r="AK35" s="18">
        <f>IF(AG35&lt;=17,"0",IF(AI35&lt;=39,"0",IF(AI35&lt;=49,"4",IF(AI35&lt;=54,"5",IF(AI35&lt;=59,"6",IF(AI35&lt;=69,"7",IF(AI35&lt;=79,"8",IF(AI35&lt;=89,"9","10"))))))))</f>
        <v/>
      </c>
      <c r="AL35" s="18">
        <f>IF(AG35&lt;=17,"F",IF(AI35&lt;=39,"F",IF(AI35&lt;=49,"P",IF(AI35&lt;=54,"C",IF(AI35&lt;=59,"B",IF(AI35&lt;=69,"B+",IF(AI35&lt;=79,"A",IF(AI35&lt;=89,"A+","O"))))))))</f>
        <v/>
      </c>
      <c r="AM35" s="18">
        <f>AJ35*AK35</f>
        <v/>
      </c>
      <c r="AN35" s="18" t="n"/>
      <c r="AO35" s="46" t="n">
        <v>31</v>
      </c>
      <c r="AP35" s="46" t="n">
        <v>46</v>
      </c>
      <c r="AQ35" s="9" t="n"/>
      <c r="AR35" s="18">
        <f>(AO35+AP35)</f>
        <v/>
      </c>
      <c r="AS35" s="18" t="n">
        <v>3</v>
      </c>
      <c r="AT35" s="18">
        <f>IF(AP35&lt;=17,"0",IF(AR35&lt;=39,"0",IF(AR35&lt;=49,"4",IF(AR35&lt;=54,"5",IF(AR35&lt;=59,"6",IF(AR35&lt;=69,"7",IF(AR35&lt;=79,"8",IF(AR35&lt;=89,"9","10"))))))))</f>
        <v/>
      </c>
      <c r="AU35" s="18">
        <f>IF(AP35&lt;=17,"F",IF(AR35&lt;=39,"F",IF(AR35&lt;=49,"P",IF(AR35&lt;=54,"C",IF(AR35&lt;=59,"B",IF(AR35&lt;=69,"B+",IF(AR35&lt;=79,"A",IF(AR35&lt;=89,"A+","O"))))))))</f>
        <v/>
      </c>
      <c r="AV35" s="18">
        <f>AS35*AT35</f>
        <v/>
      </c>
      <c r="AW35" s="18" t="n"/>
      <c r="AX35" s="9" t="n">
        <v>34</v>
      </c>
      <c r="AY35" s="9" t="n">
        <v>43</v>
      </c>
      <c r="AZ35" s="9" t="n"/>
      <c r="BA35" s="18">
        <f>(AX35+AY35)</f>
        <v/>
      </c>
      <c r="BB35" s="18" t="n">
        <v>1</v>
      </c>
      <c r="BC35" s="18">
        <f>IF(AY35&lt;=17,"0",IF(BA35&lt;=39,"0",IF(BA35&lt;=49,"4",IF(BA35&lt;=54,"5",IF(BA35&lt;=59,"6",IF(BA35&lt;=69,"7",IF(BA35&lt;=79,"8",IF(BA35&lt;=89,"9","10"))))))))</f>
        <v/>
      </c>
      <c r="BD35" s="18">
        <f>IF(AY35&lt;=17,"F",IF(BA35&lt;=39,"F",IF(BA35&lt;=49,"P",IF(BA35&lt;=54,"C",IF(BA35&lt;=59,"B",IF(BA35&lt;=69,"B+",IF(BA35&lt;=79,"A",IF(BA35&lt;=89,"A+","O"))))))))</f>
        <v/>
      </c>
      <c r="BE35" s="18">
        <f>BB35*BC35</f>
        <v/>
      </c>
      <c r="BF35" s="43" t="inlineStr">
        <is>
          <t>Balake Kannada</t>
        </is>
      </c>
      <c r="BG35" s="9" t="n">
        <v>32</v>
      </c>
      <c r="BH35" s="9" t="n">
        <v>45</v>
      </c>
      <c r="BI35" s="9" t="n"/>
      <c r="BJ35" s="18">
        <f>(BG35+BH35)</f>
        <v/>
      </c>
      <c r="BK35" s="18" t="n">
        <v>1</v>
      </c>
      <c r="BL35" s="18">
        <f>IF(BH35&lt;=17,"0",IF(BJ35&lt;=39,"0",IF(BJ35&lt;=49,"4",IF(BJ35&lt;=54,"5",IF(BJ35&lt;=59,"6",IF(BJ35&lt;=69,"7",IF(BJ35&lt;=79,"8",IF(BJ35&lt;=89,"9","10"))))))))</f>
        <v/>
      </c>
      <c r="BM35" s="18">
        <f>IF(BH35&lt;=17,"F",IF(BJ35&lt;=39,"F",IF(BJ35&lt;=49,"P",IF(BJ35&lt;=54,"C",IF(BJ35&lt;=59,"B",IF(BJ35&lt;=69,"B+",IF(BJ35&lt;=79,"A",IF(BJ35&lt;=89,"A+","O"))))))))</f>
        <v/>
      </c>
      <c r="BN35" s="18">
        <f>BK35*BL35</f>
        <v/>
      </c>
      <c r="BO35" s="18" t="n"/>
      <c r="BP35" s="9" t="n">
        <v>38</v>
      </c>
      <c r="BQ35" s="9" t="n">
        <v>644</v>
      </c>
      <c r="BR35" s="9" t="n"/>
      <c r="BS35" s="18">
        <f>(BP35+BQ35)</f>
        <v/>
      </c>
      <c r="BT35" s="18" t="n">
        <v>1</v>
      </c>
      <c r="BU35" s="18">
        <f>IF(BQ35&lt;=17,"0",IF(BS35&lt;=39,"0",IF(BS35&lt;=49,"4",IF(BS35&lt;=54,"5",IF(BS35&lt;=59,"6",IF(BS35&lt;=69,"7",IF(BS35&lt;=79,"8",IF(BS35&lt;=89,"9","10"))))))))</f>
        <v/>
      </c>
      <c r="BV35" s="18">
        <f>IF(BQ35&lt;=17,"F",IF(BS35&lt;=39,"F",IF(BS35&lt;=49,"P",IF(BS35&lt;=54,"C",IF(BS35&lt;=59,"B",IF(BS35&lt;=69,"B+",IF(BS35&lt;=79,"A",IF(BS35&lt;=89,"A+","O"))))))))</f>
        <v/>
      </c>
      <c r="BW35" s="18">
        <f>BT35*BU35</f>
        <v/>
      </c>
      <c r="BX35" s="18" t="n"/>
      <c r="BY35" s="18" t="n"/>
      <c r="BZ35" s="18">
        <f>L35+U35+AD35+AM35+AV35+BE35+BN35+BW35</f>
        <v/>
      </c>
      <c r="CA35" s="19">
        <f>BZ35/20</f>
        <v/>
      </c>
      <c r="CB35" s="28">
        <f>IF(CA35&lt;4,"F",IF(BV35="F","F",IF(BM35="F","F",IF(BD35="F","F",IF(AU35="F","F",IF(AL35="F","F",IF(AC35="F","F",IF(T35="F","F",IF(K35="F","F",IF(CA35&lt;=5,"C",IF(CA35&lt;6,"B",IF(CA35&lt;7,"B+",IF(CA35&lt;8,"A",IF(CA35&lt;=9,"A+","O"))))))))))))))</f>
        <v/>
      </c>
      <c r="CC35" s="27">
        <f>CA35*9.5</f>
        <v/>
      </c>
      <c r="CD35" s="27" t="n"/>
      <c r="CE35" s="28">
        <f>SUM(BS35,BJ35,BA35,AR35,AI35,Z35,Q35,H35)</f>
        <v/>
      </c>
      <c r="CF35" s="28">
        <f>(CE35/800)*100</f>
        <v/>
      </c>
      <c r="CG35" s="27" t="n"/>
      <c r="CH35" s="27" t="n"/>
      <c r="CI35" s="27">
        <f>IF(CA35&lt;=4,"F",IF(CA35&lt;=6,"PASS",IF(CA35&lt;=6.5,"SC",IF(CA35&lt;=7.5,"FC",IF(CA35&lt;="10","FCD")))))</f>
        <v/>
      </c>
    </row>
    <row r="36" ht="15.75" customHeight="1">
      <c r="A36" s="35">
        <f>A35+1</f>
        <v/>
      </c>
      <c r="B36" s="111" t="inlineStr">
        <is>
          <t>1bi23cd029</t>
        </is>
      </c>
      <c r="C36" s="111" t="inlineStr">
        <is>
          <t>mitu shyam</t>
        </is>
      </c>
      <c r="D36" s="47" t="inlineStr">
        <is>
          <t>D</t>
        </is>
      </c>
      <c r="E36" s="9" t="n">
        <v>48</v>
      </c>
      <c r="F36" s="9" t="n">
        <v>50</v>
      </c>
      <c r="G36" s="9" t="n"/>
      <c r="H36" s="18">
        <f>SUM(E36:F36)</f>
        <v/>
      </c>
      <c r="I36" s="18" t="n">
        <v>4</v>
      </c>
      <c r="J36" s="18">
        <f>IF(F36&lt;=17,"0",IF(H36&lt;=39,"0",IF(H36&lt;=49,"4",IF(H36&lt;=54,"5",IF(H36&lt;=59,"6",IF(H36&lt;=69,"7",IF(H36&lt;=79,"8",IF(H36&lt;=89,"9","10"))))))))</f>
        <v/>
      </c>
      <c r="K36" s="18">
        <f>IF(F36&lt;=17,"F",IF(H36&lt;=39,"F",IF(H36&lt;=49,"P",IF(H36&lt;=54,"C",IF(H36&lt;=59,"B",IF(H36&lt;=69,"B+",IF(H36&lt;=79,"A",IF(H36&lt;=89,"A+","O"))))))))</f>
        <v/>
      </c>
      <c r="L36" s="18">
        <f>I36*J36</f>
        <v/>
      </c>
      <c r="M36" s="18" t="n"/>
      <c r="N36" s="9" t="n">
        <v>42</v>
      </c>
      <c r="O36" s="9" t="n">
        <v>50</v>
      </c>
      <c r="P36" s="9" t="n"/>
      <c r="Q36" s="18">
        <f>SUM(N36:O36)</f>
        <v/>
      </c>
      <c r="R36" s="18" t="n">
        <v>4</v>
      </c>
      <c r="S36" s="18">
        <f>IF(O36&lt;=17,"0",IF(Q36&lt;=39,"4",IF(Q36&lt;=49,"4",IF(Q36&lt;=54,"5",IF(Q36&lt;=59,"6",IF(Q36&lt;=69,"7",IF(Q36&lt;=79,"8",IF(Q36&lt;=89,"9","10"))))))))</f>
        <v/>
      </c>
      <c r="T36" s="18">
        <f>IF(O36&lt;=17,"F",IF(Q36&lt;=39,"F",IF(Q36&lt;=49,"P",IF(Q36&lt;=54,"C",IF(Q36&lt;=59,"B",IF(Q36&lt;=69,"B+",IF(Q36&lt;=79,"A",IF(Q36&lt;=89,"A+","O"))))))))</f>
        <v/>
      </c>
      <c r="U36" s="18">
        <f>R36*S36</f>
        <v/>
      </c>
      <c r="V36" s="18" t="n"/>
      <c r="W36" s="9" t="n">
        <v>48</v>
      </c>
      <c r="X36" s="9" t="n">
        <v>49</v>
      </c>
      <c r="Y36" s="18" t="n"/>
      <c r="Z36" s="18">
        <f>SUM(W36:X36)</f>
        <v/>
      </c>
      <c r="AA36" s="18" t="n">
        <v>3</v>
      </c>
      <c r="AB36" s="18">
        <f>IF(X36&lt;=17,"0",IF(Z36&lt;=39,"0",IF(Z36&lt;=49,"4",IF(Z36&lt;=54,"5",IF(Z36&lt;=59,"6",IF(Z36&lt;=69,"7",IF(Z36&lt;=79,"8",IF(Z36&lt;=89,"9","10"))))))))</f>
        <v/>
      </c>
      <c r="AC36" s="18">
        <f>IF(X36&lt;=17,"F",IF(Z36&lt;=39,"F",IF(Z36&lt;=49,"P",IF(Z36&lt;=54,"C",IF(Z36&lt;=59,"B",IF(Z36&lt;=69,"B+",IF(Z36&lt;=79,"A",IF(Z36&lt;=89,"A+","O"))))))))</f>
        <v/>
      </c>
      <c r="AD36" s="18">
        <f>AA36*AB36</f>
        <v/>
      </c>
      <c r="AE36" s="18" t="n"/>
      <c r="AF36" s="46" t="n">
        <v>44</v>
      </c>
      <c r="AG36" s="46" t="n">
        <v>50</v>
      </c>
      <c r="AH36" s="9" t="n"/>
      <c r="AI36" s="18">
        <f>SUM(AF36:AG36)</f>
        <v/>
      </c>
      <c r="AJ36" s="18" t="n">
        <v>3</v>
      </c>
      <c r="AK36" s="18">
        <f>IF(AG36&lt;=17,"0",IF(AI36&lt;=39,"0",IF(AI36&lt;=49,"4",IF(AI36&lt;=54,"5",IF(AI36&lt;=59,"6",IF(AI36&lt;=69,"7",IF(AI36&lt;=79,"8",IF(AI36&lt;=89,"9","10"))))))))</f>
        <v/>
      </c>
      <c r="AL36" s="18">
        <f>IF(AG36&lt;=17,"F",IF(AI36&lt;=39,"F",IF(AI36&lt;=49,"P",IF(AI36&lt;=54,"C",IF(AI36&lt;=59,"B",IF(AI36&lt;=69,"B+",IF(AI36&lt;=79,"A",IF(AI36&lt;=89,"A+","O"))))))))</f>
        <v/>
      </c>
      <c r="AM36" s="18">
        <f>AJ36*AK36</f>
        <v/>
      </c>
      <c r="AN36" s="18" t="n"/>
      <c r="AO36" s="46" t="n">
        <v>36</v>
      </c>
      <c r="AP36" s="46" t="n">
        <v>50</v>
      </c>
      <c r="AQ36" s="9" t="n"/>
      <c r="AR36" s="18">
        <f>(AO36+AP36)</f>
        <v/>
      </c>
      <c r="AS36" s="18" t="n">
        <v>3</v>
      </c>
      <c r="AT36" s="18">
        <f>IF(AP36&lt;=17,"0",IF(AR36&lt;=39,"0",IF(AR36&lt;=49,"4",IF(AR36&lt;=54,"5",IF(AR36&lt;=59,"6",IF(AR36&lt;=69,"7",IF(AR36&lt;=79,"8",IF(AR36&lt;=89,"9","10"))))))))</f>
        <v/>
      </c>
      <c r="AU36" s="18">
        <f>IF(AP36&lt;=17,"F",IF(AR36&lt;=39,"F",IF(AR36&lt;=49,"P",IF(AR36&lt;=54,"C",IF(AR36&lt;=59,"B",IF(AR36&lt;=69,"B+",IF(AR36&lt;=79,"A",IF(AR36&lt;=89,"A+","O"))))))))</f>
        <v/>
      </c>
      <c r="AV36" s="18">
        <f>AS36*AT36</f>
        <v/>
      </c>
      <c r="AW36" s="18" t="n"/>
      <c r="AX36" s="9" t="n">
        <v>46</v>
      </c>
      <c r="AY36" s="9" t="n">
        <v>50</v>
      </c>
      <c r="AZ36" s="9" t="n"/>
      <c r="BA36" s="18">
        <f>(AX36+AY36)</f>
        <v/>
      </c>
      <c r="BB36" s="18" t="n">
        <v>1</v>
      </c>
      <c r="BC36" s="18">
        <f>IF(AY36&lt;=17,"0",IF(BA36&lt;=39,"0",IF(BA36&lt;=49,"4",IF(BA36&lt;=54,"5",IF(BA36&lt;=59,"6",IF(BA36&lt;=69,"7",IF(BA36&lt;=79,"8",IF(BA36&lt;=89,"9","10"))))))))</f>
        <v/>
      </c>
      <c r="BD36" s="18">
        <f>IF(AY36&lt;=17,"F",IF(BA36&lt;=39,"F",IF(BA36&lt;=49,"P",IF(BA36&lt;=54,"C",IF(BA36&lt;=59,"B",IF(BA36&lt;=69,"B+",IF(BA36&lt;=79,"A",IF(BA36&lt;=89,"A+","O"))))))))</f>
        <v/>
      </c>
      <c r="BE36" s="18">
        <f>BB36*BC36</f>
        <v/>
      </c>
      <c r="BF36" s="43" t="inlineStr">
        <is>
          <t>Samskrutika Kannada</t>
        </is>
      </c>
      <c r="BG36" s="9" t="n">
        <v>40</v>
      </c>
      <c r="BH36" s="9" t="n">
        <v>50</v>
      </c>
      <c r="BI36" s="9" t="n"/>
      <c r="BJ36" s="18">
        <f>(BG36+BH36)</f>
        <v/>
      </c>
      <c r="BK36" s="18" t="n">
        <v>1</v>
      </c>
      <c r="BL36" s="18">
        <f>IF(BH36&lt;=17,"0",IF(BJ36&lt;=39,"0",IF(BJ36&lt;=49,"4",IF(BJ36&lt;=54,"5",IF(BJ36&lt;=59,"6",IF(BJ36&lt;=69,"7",IF(BJ36&lt;=79,"8",IF(BJ36&lt;=89,"9","10"))))))))</f>
        <v/>
      </c>
      <c r="BM36" s="18">
        <f>IF(BH36&lt;=17,"F",IF(BJ36&lt;=39,"F",IF(BJ36&lt;=49,"P",IF(BJ36&lt;=54,"C",IF(BJ36&lt;=59,"B",IF(BJ36&lt;=69,"B+",IF(BJ36&lt;=79,"A",IF(BJ36&lt;=89,"A+","O"))))))))</f>
        <v/>
      </c>
      <c r="BN36" s="18">
        <f>BK36*BL36</f>
        <v/>
      </c>
      <c r="BO36" s="18" t="n"/>
      <c r="BP36" s="9" t="n">
        <v>47</v>
      </c>
      <c r="BQ36" s="9" t="n">
        <v>750</v>
      </c>
      <c r="BR36" s="9" t="n"/>
      <c r="BS36" s="18">
        <f>(BP36+BQ36)</f>
        <v/>
      </c>
      <c r="BT36" s="18" t="n">
        <v>1</v>
      </c>
      <c r="BU36" s="18">
        <f>IF(BQ36&lt;=17,"0",IF(BS36&lt;=39,"0",IF(BS36&lt;=49,"4",IF(BS36&lt;=54,"5",IF(BS36&lt;=59,"6",IF(BS36&lt;=69,"7",IF(BS36&lt;=79,"8",IF(BS36&lt;=89,"9","10"))))))))</f>
        <v/>
      </c>
      <c r="BV36" s="18">
        <f>IF(BQ36&lt;=17,"F",IF(BS36&lt;=39,"F",IF(BS36&lt;=49,"P",IF(BS36&lt;=54,"C",IF(BS36&lt;=59,"B",IF(BS36&lt;=69,"B+",IF(BS36&lt;=79,"A",IF(BS36&lt;=89,"A+","O"))))))))</f>
        <v/>
      </c>
      <c r="BW36" s="18">
        <f>BT36*BU36</f>
        <v/>
      </c>
      <c r="BX36" s="18" t="n"/>
      <c r="BY36" s="18" t="n"/>
      <c r="BZ36" s="18">
        <f>L36+U36+AD36+AM36+AV36+BE36+BN36+BW36</f>
        <v/>
      </c>
      <c r="CA36" s="19">
        <f>BZ36/20</f>
        <v/>
      </c>
      <c r="CB36" s="28">
        <f>IF(CA36&lt;4,"F",IF(BV36="F","F",IF(BM36="F","F",IF(BD36="F","F",IF(AU36="F","F",IF(AL36="F","F",IF(AC36="F","F",IF(T36="F","F",IF(K36="F","F",IF(CA36&lt;=5,"C",IF(CA36&lt;6,"B",IF(CA36&lt;7,"B+",IF(CA36&lt;8,"A",IF(CA36&lt;=9,"A+","O"))))))))))))))</f>
        <v/>
      </c>
      <c r="CC36" s="27">
        <f>CA36*9.5</f>
        <v/>
      </c>
      <c r="CD36" s="27" t="n"/>
      <c r="CE36" s="28">
        <f>SUM(BS36,BJ36,BA36,AR36,AI36,Z36,Q36,H36)</f>
        <v/>
      </c>
      <c r="CF36" s="28">
        <f>(CE36/800)*100</f>
        <v/>
      </c>
      <c r="CG36" s="27" t="n"/>
      <c r="CH36" s="27" t="n"/>
      <c r="CI36" s="27">
        <f>IF(CA36&lt;=4,"F",IF(CA36&lt;=6,"PASS",IF(CA36&lt;=6.5,"SC",IF(CA36&lt;=7.5,"FC",IF(CA36&lt;="10","FCD")))))</f>
        <v/>
      </c>
    </row>
    <row r="37" ht="15.75" customHeight="1">
      <c r="A37" s="35">
        <f>A36+1</f>
        <v/>
      </c>
      <c r="B37" s="111" t="inlineStr">
        <is>
          <t>1bi23cd030</t>
        </is>
      </c>
      <c r="C37" s="111" t="inlineStr">
        <is>
          <t>N NAYANA THARA</t>
        </is>
      </c>
      <c r="D37" s="47" t="inlineStr">
        <is>
          <t>D</t>
        </is>
      </c>
      <c r="E37" s="53" t="n">
        <v>22</v>
      </c>
      <c r="F37" s="53" t="n">
        <v>49</v>
      </c>
      <c r="G37" s="9" t="n"/>
      <c r="H37" s="18">
        <f>SUM(E37:F37)</f>
        <v/>
      </c>
      <c r="I37" s="18" t="n">
        <v>4</v>
      </c>
      <c r="J37" s="18">
        <f>IF(F37&lt;=17,"0",IF(H37&lt;=39,"0",IF(H37&lt;=49,"4",IF(H37&lt;=54,"5",IF(H37&lt;=59,"6",IF(H37&lt;=69,"7",IF(H37&lt;=79,"8",IF(H37&lt;=89,"9","10"))))))))</f>
        <v/>
      </c>
      <c r="K37" s="18">
        <f>IF(F37&lt;=17,"F",IF(H37&lt;=39,"F",IF(H37&lt;=49,"P",IF(H37&lt;=54,"C",IF(H37&lt;=59,"B",IF(H37&lt;=69,"B+",IF(H37&lt;=79,"A",IF(H37&lt;=89,"A+","O"))))))))</f>
        <v/>
      </c>
      <c r="L37" s="18">
        <f>I37*J37</f>
        <v/>
      </c>
      <c r="M37" s="18" t="n"/>
      <c r="N37" s="9" t="n">
        <v>39</v>
      </c>
      <c r="O37" s="9" t="n">
        <v>45</v>
      </c>
      <c r="P37" s="9" t="n"/>
      <c r="Q37" s="18">
        <f>SUM(N37:O37)</f>
        <v/>
      </c>
      <c r="R37" s="18" t="n">
        <v>4</v>
      </c>
      <c r="S37" s="18">
        <f>IF(O37&lt;=17,"0",IF(Q37&lt;=39,"4",IF(Q37&lt;=49,"4",IF(Q37&lt;=54,"5",IF(Q37&lt;=59,"6",IF(Q37&lt;=69,"7",IF(Q37&lt;=79,"8",IF(Q37&lt;=89,"9","10"))))))))</f>
        <v/>
      </c>
      <c r="T37" s="18">
        <f>IF(O37&lt;=17,"F",IF(Q37&lt;=39,"F",IF(Q37&lt;=49,"P",IF(Q37&lt;=54,"C",IF(Q37&lt;=59,"B",IF(Q37&lt;=69,"B+",IF(Q37&lt;=79,"A",IF(Q37&lt;=89,"A+","O"))))))))</f>
        <v/>
      </c>
      <c r="U37" s="18">
        <f>R37*S37</f>
        <v/>
      </c>
      <c r="V37" s="18" t="n"/>
      <c r="W37" s="9" t="n">
        <v>48</v>
      </c>
      <c r="X37" s="9" t="n">
        <v>49</v>
      </c>
      <c r="Y37" s="18" t="n"/>
      <c r="Z37" s="18">
        <f>SUM(W37:X37)</f>
        <v/>
      </c>
      <c r="AA37" s="18" t="n">
        <v>3</v>
      </c>
      <c r="AB37" s="18">
        <f>IF(X37&lt;=17,"0",IF(Z37&lt;=39,"0",IF(Z37&lt;=49,"4",IF(Z37&lt;=54,"5",IF(Z37&lt;=59,"6",IF(Z37&lt;=69,"7",IF(Z37&lt;=79,"8",IF(Z37&lt;=89,"9","10"))))))))</f>
        <v/>
      </c>
      <c r="AC37" s="18">
        <f>IF(X37&lt;=17,"F",IF(Z37&lt;=39,"F",IF(Z37&lt;=49,"P",IF(Z37&lt;=54,"C",IF(Z37&lt;=59,"B",IF(Z37&lt;=69,"B+",IF(Z37&lt;=79,"A",IF(Z37&lt;=89,"A+","O"))))))))</f>
        <v/>
      </c>
      <c r="AD37" s="18">
        <f>AA37*AB37</f>
        <v/>
      </c>
      <c r="AE37" s="18" t="n"/>
      <c r="AF37" s="46" t="n">
        <v>40</v>
      </c>
      <c r="AG37" s="46" t="n">
        <v>48</v>
      </c>
      <c r="AH37" s="9" t="n"/>
      <c r="AI37" s="18">
        <f>SUM(AF37:AG37)</f>
        <v/>
      </c>
      <c r="AJ37" s="18" t="n">
        <v>3</v>
      </c>
      <c r="AK37" s="18">
        <f>IF(AG37&lt;=17,"0",IF(AI37&lt;=39,"0",IF(AI37&lt;=49,"4",IF(AI37&lt;=54,"5",IF(AI37&lt;=59,"6",IF(AI37&lt;=69,"7",IF(AI37&lt;=79,"8",IF(AI37&lt;=89,"9","10"))))))))</f>
        <v/>
      </c>
      <c r="AL37" s="18">
        <f>IF(AG37&lt;=17,"F",IF(AI37&lt;=39,"F",IF(AI37&lt;=49,"P",IF(AI37&lt;=54,"C",IF(AI37&lt;=59,"B",IF(AI37&lt;=69,"B+",IF(AI37&lt;=79,"A",IF(AI37&lt;=89,"A+","O"))))))))</f>
        <v/>
      </c>
      <c r="AM37" s="18">
        <f>AJ37*AK37</f>
        <v/>
      </c>
      <c r="AN37" s="18" t="n"/>
      <c r="AO37" s="46" t="n">
        <v>32</v>
      </c>
      <c r="AP37" s="46" t="n">
        <v>46</v>
      </c>
      <c r="AQ37" s="9" t="n"/>
      <c r="AR37" s="18">
        <f>(AO37+AP37)</f>
        <v/>
      </c>
      <c r="AS37" s="18" t="n">
        <v>3</v>
      </c>
      <c r="AT37" s="18">
        <f>IF(AP37&lt;=17,"0",IF(AR37&lt;=39,"0",IF(AR37&lt;=49,"4",IF(AR37&lt;=54,"5",IF(AR37&lt;=59,"6",IF(AR37&lt;=69,"7",IF(AR37&lt;=79,"8",IF(AR37&lt;=89,"9","10"))))))))</f>
        <v/>
      </c>
      <c r="AU37" s="18">
        <f>IF(AP37&lt;=17,"F",IF(AR37&lt;=39,"F",IF(AR37&lt;=49,"P",IF(AR37&lt;=54,"C",IF(AR37&lt;=59,"B",IF(AR37&lt;=69,"B+",IF(AR37&lt;=79,"A",IF(AR37&lt;=89,"A+","O"))))))))</f>
        <v/>
      </c>
      <c r="AV37" s="18">
        <f>AS37*AT37</f>
        <v/>
      </c>
      <c r="AW37" s="18" t="n"/>
      <c r="AX37" s="9" t="n">
        <v>39</v>
      </c>
      <c r="AY37" s="9" t="n">
        <v>45</v>
      </c>
      <c r="AZ37" s="9" t="n"/>
      <c r="BA37" s="18">
        <f>(AX37+AY37)</f>
        <v/>
      </c>
      <c r="BB37" s="18" t="n">
        <v>1</v>
      </c>
      <c r="BC37" s="18">
        <f>IF(AY37&lt;=17,"0",IF(BA37&lt;=39,"0",IF(BA37&lt;=49,"4",IF(BA37&lt;=54,"5",IF(BA37&lt;=59,"6",IF(BA37&lt;=69,"7",IF(BA37&lt;=79,"8",IF(BA37&lt;=89,"9","10"))))))))</f>
        <v/>
      </c>
      <c r="BD37" s="18">
        <f>IF(AY37&lt;=17,"F",IF(BA37&lt;=39,"F",IF(BA37&lt;=49,"P",IF(BA37&lt;=54,"C",IF(BA37&lt;=59,"B",IF(BA37&lt;=69,"B+",IF(BA37&lt;=79,"A",IF(BA37&lt;=89,"A+","O"))))))))</f>
        <v/>
      </c>
      <c r="BE37" s="18">
        <f>BB37*BC37</f>
        <v/>
      </c>
      <c r="BF37" s="43" t="inlineStr">
        <is>
          <t>Samskrutika Kannada</t>
        </is>
      </c>
      <c r="BG37" s="9" t="n">
        <v>30</v>
      </c>
      <c r="BH37" s="9" t="n">
        <v>49</v>
      </c>
      <c r="BI37" s="9" t="n"/>
      <c r="BJ37" s="18">
        <f>(BG37+BH37)</f>
        <v/>
      </c>
      <c r="BK37" s="18" t="n">
        <v>1</v>
      </c>
      <c r="BL37" s="18">
        <f>IF(BH37&lt;=17,"0",IF(BJ37&lt;=39,"0",IF(BJ37&lt;=49,"4",IF(BJ37&lt;=54,"5",IF(BJ37&lt;=59,"6",IF(BJ37&lt;=69,"7",IF(BJ37&lt;=79,"8",IF(BJ37&lt;=89,"9","10"))))))))</f>
        <v/>
      </c>
      <c r="BM37" s="18">
        <f>IF(BH37&lt;=17,"F",IF(BJ37&lt;=39,"F",IF(BJ37&lt;=49,"P",IF(BJ37&lt;=54,"C",IF(BJ37&lt;=59,"B",IF(BJ37&lt;=69,"B+",IF(BJ37&lt;=79,"A",IF(BJ37&lt;=89,"A+","O"))))))))</f>
        <v/>
      </c>
      <c r="BN37" s="18">
        <f>BK37*BL37</f>
        <v/>
      </c>
      <c r="BO37" s="18" t="n"/>
      <c r="BP37" s="9" t="n">
        <v>42</v>
      </c>
      <c r="BQ37" s="9" t="n">
        <v>670</v>
      </c>
      <c r="BR37" s="9" t="n"/>
      <c r="BS37" s="18">
        <f>(BP37+BQ37)</f>
        <v/>
      </c>
      <c r="BT37" s="18" t="n">
        <v>1</v>
      </c>
      <c r="BU37" s="18">
        <f>IF(BQ37&lt;=17,"0",IF(BS37&lt;=39,"0",IF(BS37&lt;=49,"4",IF(BS37&lt;=54,"5",IF(BS37&lt;=59,"6",IF(BS37&lt;=69,"7",IF(BS37&lt;=79,"8",IF(BS37&lt;=89,"9","10"))))))))</f>
        <v/>
      </c>
      <c r="BV37" s="18">
        <f>IF(BQ37&lt;=17,"F",IF(BS37&lt;=39,"F",IF(BS37&lt;=49,"P",IF(BS37&lt;=54,"C",IF(BS37&lt;=59,"B",IF(BS37&lt;=69,"B+",IF(BS37&lt;=79,"A",IF(BS37&lt;=89,"A+","O"))))))))</f>
        <v/>
      </c>
      <c r="BW37" s="18">
        <f>BT37*BU37</f>
        <v/>
      </c>
      <c r="BX37" s="18" t="n"/>
      <c r="BY37" s="18" t="n"/>
      <c r="BZ37" s="18">
        <f>L37+U37+AD37+AM37+AV37+BE37+BN37+BW37</f>
        <v/>
      </c>
      <c r="CA37" s="19">
        <f>BZ37/20</f>
        <v/>
      </c>
      <c r="CB37" s="28">
        <f>IF(CA37&lt;4,"F",IF(BV37="F","F",IF(BM37="F","F",IF(BD37="F","F",IF(AU37="F","F",IF(AL37="F","F",IF(AC37="F","F",IF(T37="F","F",IF(K37="F","F",IF(CA37&lt;=5,"C",IF(CA37&lt;6,"B",IF(CA37&lt;7,"B+",IF(CA37&lt;8,"A",IF(CA37&lt;=9,"A+","O"))))))))))))))</f>
        <v/>
      </c>
      <c r="CC37" s="27">
        <f>CA37*9.5</f>
        <v/>
      </c>
      <c r="CD37" s="27" t="n"/>
      <c r="CE37" s="28">
        <f>SUM(BS37,BJ37,BA37,AR37,AI37,Z37,Q37,H37)</f>
        <v/>
      </c>
      <c r="CF37" s="28">
        <f>(CE37/800)*100</f>
        <v/>
      </c>
      <c r="CG37" s="27" t="n"/>
      <c r="CH37" s="27" t="n"/>
      <c r="CI37" s="27">
        <f>IF(CA37&lt;=4,"F",IF(CA37&lt;=6,"PASS",IF(CA37&lt;=6.5,"SC",IF(CA37&lt;=7.5,"FC",IF(CA37&lt;="10","FCD")))))</f>
        <v/>
      </c>
    </row>
    <row r="38" ht="15.75" customHeight="1">
      <c r="A38" s="35">
        <f>A37+1</f>
        <v/>
      </c>
      <c r="B38" s="111" t="inlineStr">
        <is>
          <t>1bi23cd031</t>
        </is>
      </c>
      <c r="C38" s="111" t="inlineStr">
        <is>
          <t>Narasingh s jadhav</t>
        </is>
      </c>
      <c r="D38" s="47" t="inlineStr">
        <is>
          <t>D</t>
        </is>
      </c>
      <c r="E38" s="9" t="n">
        <v>47</v>
      </c>
      <c r="F38" s="9" t="n">
        <v>47</v>
      </c>
      <c r="G38" s="9" t="n"/>
      <c r="H38" s="18">
        <f>SUM(E38:F38)</f>
        <v/>
      </c>
      <c r="I38" s="18" t="n">
        <v>4</v>
      </c>
      <c r="J38" s="18">
        <f>IF(F38&lt;=17,"0",IF(H38&lt;=39,"0",IF(H38&lt;=49,"4",IF(H38&lt;=54,"5",IF(H38&lt;=59,"6",IF(H38&lt;=69,"7",IF(H38&lt;=79,"8",IF(H38&lt;=89,"9","10"))))))))</f>
        <v/>
      </c>
      <c r="K38" s="18">
        <f>IF(F38&lt;=17,"F",IF(H38&lt;=39,"F",IF(H38&lt;=49,"P",IF(H38&lt;=54,"C",IF(H38&lt;=59,"B",IF(H38&lt;=69,"B+",IF(H38&lt;=79,"A",IF(H38&lt;=89,"A+","O"))))))))</f>
        <v/>
      </c>
      <c r="L38" s="18">
        <f>I38*J38</f>
        <v/>
      </c>
      <c r="M38" s="18" t="n"/>
      <c r="N38" s="9" t="n">
        <v>32</v>
      </c>
      <c r="O38" s="9" t="n">
        <v>49</v>
      </c>
      <c r="P38" s="9" t="n"/>
      <c r="Q38" s="18">
        <f>SUM(N38:O38)</f>
        <v/>
      </c>
      <c r="R38" s="18" t="n">
        <v>4</v>
      </c>
      <c r="S38" s="18">
        <f>IF(O38&lt;=17,"0",IF(Q38&lt;=39,"4",IF(Q38&lt;=49,"4",IF(Q38&lt;=54,"5",IF(Q38&lt;=59,"6",IF(Q38&lt;=69,"7",IF(Q38&lt;=79,"8",IF(Q38&lt;=89,"9","10"))))))))</f>
        <v/>
      </c>
      <c r="T38" s="18">
        <f>IF(O38&lt;=17,"F",IF(Q38&lt;=39,"F",IF(Q38&lt;=49,"P",IF(Q38&lt;=54,"C",IF(Q38&lt;=59,"B",IF(Q38&lt;=69,"B+",IF(Q38&lt;=79,"A",IF(Q38&lt;=89,"A+","O"))))))))</f>
        <v/>
      </c>
      <c r="U38" s="18">
        <f>R38*S38</f>
        <v/>
      </c>
      <c r="V38" s="18" t="n"/>
      <c r="W38" s="9" t="n">
        <v>47</v>
      </c>
      <c r="X38" s="9" t="n">
        <v>49</v>
      </c>
      <c r="Y38" s="18" t="n"/>
      <c r="Z38" s="18">
        <f>SUM(W38:X38)</f>
        <v/>
      </c>
      <c r="AA38" s="18" t="n">
        <v>3</v>
      </c>
      <c r="AB38" s="18">
        <f>IF(X38&lt;=17,"0",IF(Z38&lt;=39,"0",IF(Z38&lt;=49,"4",IF(Z38&lt;=54,"5",IF(Z38&lt;=59,"6",IF(Z38&lt;=69,"7",IF(Z38&lt;=79,"8",IF(Z38&lt;=89,"9","10"))))))))</f>
        <v/>
      </c>
      <c r="AC38" s="18">
        <f>IF(X38&lt;=17,"F",IF(Z38&lt;=39,"F",IF(Z38&lt;=49,"P",IF(Z38&lt;=54,"C",IF(Z38&lt;=59,"B",IF(Z38&lt;=69,"B+",IF(Z38&lt;=79,"A",IF(Z38&lt;=89,"A+","O"))))))))</f>
        <v/>
      </c>
      <c r="AD38" s="18">
        <f>AA38*AB38</f>
        <v/>
      </c>
      <c r="AE38" s="18" t="n"/>
      <c r="AF38" s="46" t="n">
        <v>35</v>
      </c>
      <c r="AG38" s="46" t="n">
        <v>47</v>
      </c>
      <c r="AH38" s="9" t="n"/>
      <c r="AI38" s="18">
        <f>SUM(AF38:AG38)</f>
        <v/>
      </c>
      <c r="AJ38" s="18" t="n">
        <v>3</v>
      </c>
      <c r="AK38" s="18">
        <f>IF(AG38&lt;=17,"0",IF(AI38&lt;=39,"0",IF(AI38&lt;=49,"4",IF(AI38&lt;=54,"5",IF(AI38&lt;=59,"6",IF(AI38&lt;=69,"7",IF(AI38&lt;=79,"8",IF(AI38&lt;=89,"9","10"))))))))</f>
        <v/>
      </c>
      <c r="AL38" s="18">
        <f>IF(AG38&lt;=17,"F",IF(AI38&lt;=39,"F",IF(AI38&lt;=49,"P",IF(AI38&lt;=54,"C",IF(AI38&lt;=59,"B",IF(AI38&lt;=69,"B+",IF(AI38&lt;=79,"A",IF(AI38&lt;=89,"A+","O"))))))))</f>
        <v/>
      </c>
      <c r="AM38" s="18">
        <f>AJ38*AK38</f>
        <v/>
      </c>
      <c r="AN38" s="18" t="n"/>
      <c r="AO38" s="46" t="n">
        <v>29</v>
      </c>
      <c r="AP38" s="46" t="n">
        <v>46</v>
      </c>
      <c r="AQ38" s="9" t="n"/>
      <c r="AR38" s="18">
        <f>(AO38+AP38)</f>
        <v/>
      </c>
      <c r="AS38" s="18" t="n">
        <v>3</v>
      </c>
      <c r="AT38" s="18">
        <f>IF(AP38&lt;=17,"0",IF(AR38&lt;=39,"0",IF(AR38&lt;=49,"4",IF(AR38&lt;=54,"5",IF(AR38&lt;=59,"6",IF(AR38&lt;=69,"7",IF(AR38&lt;=79,"8",IF(AR38&lt;=89,"9","10"))))))))</f>
        <v/>
      </c>
      <c r="AU38" s="18">
        <f>IF(AP38&lt;=17,"F",IF(AR38&lt;=39,"F",IF(AR38&lt;=49,"P",IF(AR38&lt;=54,"C",IF(AR38&lt;=59,"B",IF(AR38&lt;=69,"B+",IF(AR38&lt;=79,"A",IF(AR38&lt;=89,"A+","O"))))))))</f>
        <v/>
      </c>
      <c r="AV38" s="18">
        <f>AS38*AT38</f>
        <v/>
      </c>
      <c r="AW38" s="18" t="n"/>
      <c r="AX38" s="9" t="n">
        <v>38</v>
      </c>
      <c r="AY38" s="9" t="n">
        <v>50</v>
      </c>
      <c r="AZ38" s="9" t="n"/>
      <c r="BA38" s="18">
        <f>(AX38+AY38)</f>
        <v/>
      </c>
      <c r="BB38" s="18" t="n">
        <v>1</v>
      </c>
      <c r="BC38" s="18">
        <f>IF(AY38&lt;=17,"0",IF(BA38&lt;=39,"0",IF(BA38&lt;=49,"4",IF(BA38&lt;=54,"5",IF(BA38&lt;=59,"6",IF(BA38&lt;=69,"7",IF(BA38&lt;=79,"8",IF(BA38&lt;=89,"9","10"))))))))</f>
        <v/>
      </c>
      <c r="BD38" s="18">
        <f>IF(AY38&lt;=17,"F",IF(BA38&lt;=39,"F",IF(BA38&lt;=49,"P",IF(BA38&lt;=54,"C",IF(BA38&lt;=59,"B",IF(BA38&lt;=69,"B+",IF(BA38&lt;=79,"A",IF(BA38&lt;=89,"A+","O"))))))))</f>
        <v/>
      </c>
      <c r="BE38" s="18">
        <f>BB38*BC38</f>
        <v/>
      </c>
      <c r="BF38" s="43" t="inlineStr">
        <is>
          <t>Balake Kannada</t>
        </is>
      </c>
      <c r="BG38" s="9" t="n">
        <v>36</v>
      </c>
      <c r="BH38" s="9" t="n">
        <v>50</v>
      </c>
      <c r="BI38" s="9" t="n"/>
      <c r="BJ38" s="18">
        <f>(BG38+BH38)</f>
        <v/>
      </c>
      <c r="BK38" s="18" t="n">
        <v>1</v>
      </c>
      <c r="BL38" s="18">
        <f>IF(BH38&lt;=17,"0",IF(BJ38&lt;=39,"0",IF(BJ38&lt;=49,"4",IF(BJ38&lt;=54,"5",IF(BJ38&lt;=59,"6",IF(BJ38&lt;=69,"7",IF(BJ38&lt;=79,"8",IF(BJ38&lt;=89,"9","10"))))))))</f>
        <v/>
      </c>
      <c r="BM38" s="18">
        <f>IF(BH38&lt;=17,"F",IF(BJ38&lt;=39,"F",IF(BJ38&lt;=49,"P",IF(BJ38&lt;=54,"C",IF(BJ38&lt;=59,"B",IF(BJ38&lt;=69,"B+",IF(BJ38&lt;=79,"A",IF(BJ38&lt;=89,"A+","O"))))))))</f>
        <v/>
      </c>
      <c r="BN38" s="18">
        <f>BK38*BL38</f>
        <v/>
      </c>
      <c r="BO38" s="18" t="n"/>
      <c r="BP38" s="9" t="n">
        <v>38</v>
      </c>
      <c r="BQ38" s="9" t="n">
        <v>689</v>
      </c>
      <c r="BR38" s="9" t="n"/>
      <c r="BS38" s="18">
        <f>(BP38+BQ38)</f>
        <v/>
      </c>
      <c r="BT38" s="18" t="n">
        <v>1</v>
      </c>
      <c r="BU38" s="18">
        <f>IF(BQ38&lt;=17,"0",IF(BS38&lt;=39,"0",IF(BS38&lt;=49,"4",IF(BS38&lt;=54,"5",IF(BS38&lt;=59,"6",IF(BS38&lt;=69,"7",IF(BS38&lt;=79,"8",IF(BS38&lt;=89,"9","10"))))))))</f>
        <v/>
      </c>
      <c r="BV38" s="18">
        <f>IF(BQ38&lt;=17,"F",IF(BS38&lt;=39,"F",IF(BS38&lt;=49,"P",IF(BS38&lt;=54,"C",IF(BS38&lt;=59,"B",IF(BS38&lt;=69,"B+",IF(BS38&lt;=79,"A",IF(BS38&lt;=89,"A+","O"))))))))</f>
        <v/>
      </c>
      <c r="BW38" s="18">
        <f>BT38*BU38</f>
        <v/>
      </c>
      <c r="BX38" s="18" t="n"/>
      <c r="BY38" s="18" t="n"/>
      <c r="BZ38" s="18">
        <f>L38+U38+AD38+AM38+AV38+BE38+BN38+BW38</f>
        <v/>
      </c>
      <c r="CA38" s="19">
        <f>BZ38/20</f>
        <v/>
      </c>
      <c r="CB38" s="28">
        <f>IF(CA38&lt;4,"F",IF(BV38="F","F",IF(BM38="F","F",IF(BD38="F","F",IF(AU38="F","F",IF(AL38="F","F",IF(AC38="F","F",IF(T38="F","F",IF(K38="F","F",IF(CA38&lt;=5,"C",IF(CA38&lt;6,"B",IF(CA38&lt;7,"B+",IF(CA38&lt;8,"A",IF(CA38&lt;=9,"A+","O"))))))))))))))</f>
        <v/>
      </c>
      <c r="CC38" s="27">
        <f>CA38*9.5</f>
        <v/>
      </c>
      <c r="CD38" s="27" t="n"/>
      <c r="CE38" s="28">
        <f>SUM(BS38,BJ38,BA38,AR38,AI38,Z38,Q38,H38)</f>
        <v/>
      </c>
      <c r="CF38" s="28">
        <f>(CE38/800)*100</f>
        <v/>
      </c>
      <c r="CG38" s="27" t="n"/>
      <c r="CH38" s="27" t="n"/>
      <c r="CI38" s="27">
        <f>IF(CA38&lt;=4,"F",IF(CA38&lt;=6,"PASS",IF(CA38&lt;=6.5,"SC",IF(CA38&lt;=7.5,"FC",IF(CA38&lt;="10","FCD")))))</f>
        <v/>
      </c>
    </row>
    <row r="39" ht="15.75" customHeight="1">
      <c r="A39" s="35">
        <f>A38+1</f>
        <v/>
      </c>
      <c r="B39" s="111" t="inlineStr">
        <is>
          <t>1bi23cd032</t>
        </is>
      </c>
      <c r="C39" s="111" t="inlineStr">
        <is>
          <t>NAVYA N MOGER</t>
        </is>
      </c>
      <c r="D39" s="47" t="inlineStr">
        <is>
          <t>D</t>
        </is>
      </c>
      <c r="E39" s="9" t="n">
        <v>18</v>
      </c>
      <c r="F39" s="9" t="n">
        <v>45</v>
      </c>
      <c r="G39" s="9" t="n"/>
      <c r="H39" s="18">
        <f>SUM(E39:F39)</f>
        <v/>
      </c>
      <c r="I39" s="18" t="n">
        <v>4</v>
      </c>
      <c r="J39" s="18">
        <f>IF(F39&lt;=17,"0",IF(H39&lt;=39,"0",IF(H39&lt;=49,"4",IF(H39&lt;=54,"5",IF(H39&lt;=59,"6",IF(H39&lt;=69,"7",IF(H39&lt;=79,"8",IF(H39&lt;=89,"9","10"))))))))</f>
        <v/>
      </c>
      <c r="K39" s="18">
        <f>IF(F39&lt;=17,"F",IF(H39&lt;=39,"F",IF(H39&lt;=49,"P",IF(H39&lt;=54,"C",IF(H39&lt;=59,"B",IF(H39&lt;=69,"B+",IF(H39&lt;=79,"A",IF(H39&lt;=89,"A+","O"))))))))</f>
        <v/>
      </c>
      <c r="L39" s="18">
        <f>I39*J39</f>
        <v/>
      </c>
      <c r="M39" s="18" t="n"/>
      <c r="N39" s="9" t="n">
        <v>27</v>
      </c>
      <c r="O39" s="9" t="n">
        <v>45</v>
      </c>
      <c r="P39" s="9" t="n"/>
      <c r="Q39" s="18">
        <f>SUM(N39:O39)</f>
        <v/>
      </c>
      <c r="R39" s="18" t="n">
        <v>4</v>
      </c>
      <c r="S39" s="18">
        <f>IF(O39&lt;=17,"0",IF(Q39&lt;=39,"4",IF(Q39&lt;=49,"4",IF(Q39&lt;=54,"5",IF(Q39&lt;=59,"6",IF(Q39&lt;=69,"7",IF(Q39&lt;=79,"8",IF(Q39&lt;=89,"9","10"))))))))</f>
        <v/>
      </c>
      <c r="T39" s="18">
        <f>IF(O39&lt;=17,"F",IF(Q39&lt;=39,"F",IF(Q39&lt;=49,"P",IF(Q39&lt;=54,"C",IF(Q39&lt;=59,"B",IF(Q39&lt;=69,"B+",IF(Q39&lt;=79,"A",IF(Q39&lt;=89,"A+","O"))))))))</f>
        <v/>
      </c>
      <c r="U39" s="18">
        <f>R39*S39</f>
        <v/>
      </c>
      <c r="V39" s="18" t="n"/>
      <c r="W39" s="9" t="n">
        <v>47</v>
      </c>
      <c r="X39" s="9" t="n">
        <v>47</v>
      </c>
      <c r="Y39" s="18" t="n"/>
      <c r="Z39" s="18">
        <f>SUM(W39:X39)</f>
        <v/>
      </c>
      <c r="AA39" s="18" t="n">
        <v>3</v>
      </c>
      <c r="AB39" s="18">
        <f>IF(X39&lt;=17,"0",IF(Z39&lt;=39,"0",IF(Z39&lt;=49,"4",IF(Z39&lt;=54,"5",IF(Z39&lt;=59,"6",IF(Z39&lt;=69,"7",IF(Z39&lt;=79,"8",IF(Z39&lt;=89,"9","10"))))))))</f>
        <v/>
      </c>
      <c r="AC39" s="18">
        <f>IF(X39&lt;=17,"F",IF(Z39&lt;=39,"F",IF(Z39&lt;=49,"P",IF(Z39&lt;=54,"C",IF(Z39&lt;=59,"B",IF(Z39&lt;=69,"B+",IF(Z39&lt;=79,"A",IF(Z39&lt;=89,"A+","O"))))))))</f>
        <v/>
      </c>
      <c r="AD39" s="18">
        <f>AA39*AB39</f>
        <v/>
      </c>
      <c r="AE39" s="18" t="n"/>
      <c r="AF39" s="46" t="n">
        <v>41</v>
      </c>
      <c r="AG39" s="46" t="n">
        <v>47</v>
      </c>
      <c r="AH39" s="9" t="n"/>
      <c r="AI39" s="18">
        <f>SUM(AF39:AG39)</f>
        <v/>
      </c>
      <c r="AJ39" s="18" t="n">
        <v>3</v>
      </c>
      <c r="AK39" s="18">
        <f>IF(AG39&lt;=17,"0",IF(AI39&lt;=39,"0",IF(AI39&lt;=49,"4",IF(AI39&lt;=54,"5",IF(AI39&lt;=59,"6",IF(AI39&lt;=69,"7",IF(AI39&lt;=79,"8",IF(AI39&lt;=89,"9","10"))))))))</f>
        <v/>
      </c>
      <c r="AL39" s="18">
        <f>IF(AG39&lt;=17,"F",IF(AI39&lt;=39,"F",IF(AI39&lt;=49,"P",IF(AI39&lt;=54,"C",IF(AI39&lt;=59,"B",IF(AI39&lt;=69,"B+",IF(AI39&lt;=79,"A",IF(AI39&lt;=89,"A+","O"))))))))</f>
        <v/>
      </c>
      <c r="AM39" s="18">
        <f>AJ39*AK39</f>
        <v/>
      </c>
      <c r="AN39" s="18" t="n"/>
      <c r="AO39" s="46" t="n">
        <v>24</v>
      </c>
      <c r="AP39" s="46" t="n">
        <v>44</v>
      </c>
      <c r="AQ39" s="9" t="n"/>
      <c r="AR39" s="18">
        <f>(AO39+AP39)</f>
        <v/>
      </c>
      <c r="AS39" s="18" t="n">
        <v>3</v>
      </c>
      <c r="AT39" s="18">
        <f>IF(AP39&lt;=17,"0",IF(AR39&lt;=39,"0",IF(AR39&lt;=49,"4",IF(AR39&lt;=54,"5",IF(AR39&lt;=59,"6",IF(AR39&lt;=69,"7",IF(AR39&lt;=79,"8",IF(AR39&lt;=89,"9","10"))))))))</f>
        <v/>
      </c>
      <c r="AU39" s="18">
        <f>IF(AP39&lt;=17,"F",IF(AR39&lt;=39,"F",IF(AR39&lt;=49,"P",IF(AR39&lt;=54,"C",IF(AR39&lt;=59,"B",IF(AR39&lt;=69,"B+",IF(AR39&lt;=79,"A",IF(AR39&lt;=89,"A+","O"))))))))</f>
        <v/>
      </c>
      <c r="AV39" s="18">
        <f>AS39*AT39</f>
        <v/>
      </c>
      <c r="AW39" s="18" t="n"/>
      <c r="AX39" s="9" t="n">
        <v>40</v>
      </c>
      <c r="AY39" s="9" t="n">
        <v>42</v>
      </c>
      <c r="AZ39" s="9" t="n"/>
      <c r="BA39" s="18">
        <f>(AX39+AY39)</f>
        <v/>
      </c>
      <c r="BB39" s="18" t="n">
        <v>1</v>
      </c>
      <c r="BC39" s="18">
        <f>IF(AY39&lt;=17,"0",IF(BA39&lt;=39,"0",IF(BA39&lt;=49,"4",IF(BA39&lt;=54,"5",IF(BA39&lt;=59,"6",IF(BA39&lt;=69,"7",IF(BA39&lt;=79,"8",IF(BA39&lt;=89,"9","10"))))))))</f>
        <v/>
      </c>
      <c r="BD39" s="18">
        <f>IF(AY39&lt;=17,"F",IF(BA39&lt;=39,"F",IF(BA39&lt;=49,"P",IF(BA39&lt;=54,"C",IF(BA39&lt;=59,"B",IF(BA39&lt;=69,"B+",IF(BA39&lt;=79,"A",IF(BA39&lt;=89,"A+","O"))))))))</f>
        <v/>
      </c>
      <c r="BE39" s="18">
        <f>BB39*BC39</f>
        <v/>
      </c>
      <c r="BF39" s="43" t="inlineStr">
        <is>
          <t>Samskrutika Kannada</t>
        </is>
      </c>
      <c r="BG39" s="9" t="n">
        <v>47</v>
      </c>
      <c r="BH39" s="9" t="n">
        <v>42</v>
      </c>
      <c r="BI39" s="9" t="n"/>
      <c r="BJ39" s="18">
        <f>(BG39+BH39)</f>
        <v/>
      </c>
      <c r="BK39" s="18" t="n">
        <v>1</v>
      </c>
      <c r="BL39" s="18">
        <f>IF(BH39&lt;=17,"0",IF(BJ39&lt;=39,"0",IF(BJ39&lt;=49,"4",IF(BJ39&lt;=54,"5",IF(BJ39&lt;=59,"6",IF(BJ39&lt;=69,"7",IF(BJ39&lt;=79,"8",IF(BJ39&lt;=89,"9","10"))))))))</f>
        <v/>
      </c>
      <c r="BM39" s="18">
        <f>IF(BH39&lt;=17,"F",IF(BJ39&lt;=39,"F",IF(BJ39&lt;=49,"P",IF(BJ39&lt;=54,"C",IF(BJ39&lt;=59,"B",IF(BJ39&lt;=69,"B+",IF(BJ39&lt;=79,"A",IF(BJ39&lt;=89,"A+","O"))))))))</f>
        <v/>
      </c>
      <c r="BN39" s="18">
        <f>BK39*BL39</f>
        <v/>
      </c>
      <c r="BO39" s="18" t="n"/>
      <c r="BP39" s="9" t="n">
        <v>33</v>
      </c>
      <c r="BQ39" s="9" t="n">
        <v>630</v>
      </c>
      <c r="BR39" s="9" t="n"/>
      <c r="BS39" s="18">
        <f>(BP39+BQ39)</f>
        <v/>
      </c>
      <c r="BT39" s="18" t="n">
        <v>1</v>
      </c>
      <c r="BU39" s="18">
        <f>IF(BQ39&lt;=17,"0",IF(BS39&lt;=39,"0",IF(BS39&lt;=49,"4",IF(BS39&lt;=54,"5",IF(BS39&lt;=59,"6",IF(BS39&lt;=69,"7",IF(BS39&lt;=79,"8",IF(BS39&lt;=89,"9","10"))))))))</f>
        <v/>
      </c>
      <c r="BV39" s="18">
        <f>IF(BQ39&lt;=17,"F",IF(BS39&lt;=39,"F",IF(BS39&lt;=49,"P",IF(BS39&lt;=54,"C",IF(BS39&lt;=59,"B",IF(BS39&lt;=69,"B+",IF(BS39&lt;=79,"A",IF(BS39&lt;=89,"A+","O"))))))))</f>
        <v/>
      </c>
      <c r="BW39" s="18">
        <f>BT39*BU39</f>
        <v/>
      </c>
      <c r="BX39" s="18" t="n"/>
      <c r="BY39" s="18" t="n"/>
      <c r="BZ39" s="18">
        <f>L39+U39+AD39+AM39+AV39+BE39+BN39+BW39</f>
        <v/>
      </c>
      <c r="CA39" s="19">
        <f>BZ39/20</f>
        <v/>
      </c>
      <c r="CB39" s="28">
        <f>IF(CA39&lt;4,"F",IF(BV39="F","F",IF(BM39="F","F",IF(BD39="F","F",IF(AU39="F","F",IF(AL39="F","F",IF(AC39="F","F",IF(T39="F","F",IF(K39="F","F",IF(CA39&lt;=5,"C",IF(CA39&lt;6,"B",IF(CA39&lt;7,"B+",IF(CA39&lt;8,"A",IF(CA39&lt;=9,"A+","O"))))))))))))))</f>
        <v/>
      </c>
      <c r="CC39" s="27">
        <f>CA39*9.5</f>
        <v/>
      </c>
      <c r="CD39" s="27" t="n"/>
      <c r="CE39" s="28">
        <f>SUM(BS39,BJ39,BA39,AR39,AI39,Z39,Q39,H39)</f>
        <v/>
      </c>
      <c r="CF39" s="28">
        <f>(CE39/800)*100</f>
        <v/>
      </c>
      <c r="CG39" s="27" t="n"/>
      <c r="CH39" s="27" t="n"/>
      <c r="CI39" s="27">
        <f>IF(CA39&lt;=4,"F",IF(CA39&lt;=6,"PASS",IF(CA39&lt;=6.5,"SC",IF(CA39&lt;=7.5,"FC",IF(CA39&lt;="10","FCD")))))</f>
        <v/>
      </c>
    </row>
    <row r="40" ht="15.75" customHeight="1">
      <c r="A40" s="35">
        <f>A39+1</f>
        <v/>
      </c>
      <c r="B40" s="111" t="inlineStr">
        <is>
          <t>1bi23cd033</t>
        </is>
      </c>
      <c r="C40" s="111" t="inlineStr">
        <is>
          <t>NEHA PATEL J K</t>
        </is>
      </c>
      <c r="D40" s="47" t="inlineStr">
        <is>
          <t>D</t>
        </is>
      </c>
      <c r="E40" s="9" t="n">
        <v>36</v>
      </c>
      <c r="F40" s="9" t="n">
        <v>49</v>
      </c>
      <c r="G40" s="9" t="n"/>
      <c r="H40" s="18">
        <f>SUM(E40:F40)</f>
        <v/>
      </c>
      <c r="I40" s="18" t="n">
        <v>4</v>
      </c>
      <c r="J40" s="18">
        <f>IF(F40&lt;=17,"0",IF(H40&lt;=39,"0",IF(H40&lt;=49,"4",IF(H40&lt;=54,"5",IF(H40&lt;=59,"6",IF(H40&lt;=69,"7",IF(H40&lt;=79,"8",IF(H40&lt;=89,"9","10"))))))))</f>
        <v/>
      </c>
      <c r="K40" s="18">
        <f>IF(F40&lt;=17,"F",IF(H40&lt;=39,"F",IF(H40&lt;=49,"P",IF(H40&lt;=54,"C",IF(H40&lt;=59,"B",IF(H40&lt;=69,"B+",IF(H40&lt;=79,"A",IF(H40&lt;=89,"A+","O"))))))))</f>
        <v/>
      </c>
      <c r="L40" s="18">
        <f>I40*J40</f>
        <v/>
      </c>
      <c r="M40" s="18" t="n"/>
      <c r="N40" s="9" t="n">
        <v>35</v>
      </c>
      <c r="O40" s="9" t="n">
        <v>49</v>
      </c>
      <c r="P40" s="9" t="n"/>
      <c r="Q40" s="18">
        <f>SUM(N40:O40)</f>
        <v/>
      </c>
      <c r="R40" s="18" t="n">
        <v>4</v>
      </c>
      <c r="S40" s="18">
        <f>IF(O40&lt;=17,"0",IF(Q40&lt;=39,"4",IF(Q40&lt;=49,"4",IF(Q40&lt;=54,"5",IF(Q40&lt;=59,"6",IF(Q40&lt;=69,"7",IF(Q40&lt;=79,"8",IF(Q40&lt;=89,"9","10"))))))))</f>
        <v/>
      </c>
      <c r="T40" s="18">
        <f>IF(O40&lt;=17,"F",IF(Q40&lt;=39,"F",IF(Q40&lt;=49,"P",IF(Q40&lt;=54,"C",IF(Q40&lt;=59,"B",IF(Q40&lt;=69,"B+",IF(Q40&lt;=79,"A",IF(Q40&lt;=89,"A+","O"))))))))</f>
        <v/>
      </c>
      <c r="U40" s="18">
        <f>R40*S40</f>
        <v/>
      </c>
      <c r="V40" s="18" t="n"/>
      <c r="W40" s="9" t="n">
        <v>48</v>
      </c>
      <c r="X40" s="9" t="n">
        <v>49</v>
      </c>
      <c r="Y40" s="18" t="n"/>
      <c r="Z40" s="18">
        <f>SUM(W40:X40)</f>
        <v/>
      </c>
      <c r="AA40" s="18" t="n">
        <v>3</v>
      </c>
      <c r="AB40" s="18">
        <f>IF(X40&lt;=17,"0",IF(Z40&lt;=39,"0",IF(Z40&lt;=49,"4",IF(Z40&lt;=54,"5",IF(Z40&lt;=59,"6",IF(Z40&lt;=69,"7",IF(Z40&lt;=79,"8",IF(Z40&lt;=89,"9","10"))))))))</f>
        <v/>
      </c>
      <c r="AC40" s="18">
        <f>IF(X40&lt;=17,"F",IF(Z40&lt;=39,"F",IF(Z40&lt;=49,"P",IF(Z40&lt;=54,"C",IF(Z40&lt;=59,"B",IF(Z40&lt;=69,"B+",IF(Z40&lt;=79,"A",IF(Z40&lt;=89,"A+","O"))))))))</f>
        <v/>
      </c>
      <c r="AD40" s="18">
        <f>AA40*AB40</f>
        <v/>
      </c>
      <c r="AE40" s="18" t="n"/>
      <c r="AF40" s="46" t="n">
        <v>40</v>
      </c>
      <c r="AG40" s="46" t="n">
        <v>48</v>
      </c>
      <c r="AH40" s="9" t="n"/>
      <c r="AI40" s="18">
        <f>SUM(AF40:AG40)</f>
        <v/>
      </c>
      <c r="AJ40" s="18" t="n">
        <v>3</v>
      </c>
      <c r="AK40" s="18">
        <f>IF(AG40&lt;=17,"0",IF(AI40&lt;=39,"0",IF(AI40&lt;=49,"4",IF(AI40&lt;=54,"5",IF(AI40&lt;=59,"6",IF(AI40&lt;=69,"7",IF(AI40&lt;=79,"8",IF(AI40&lt;=89,"9","10"))))))))</f>
        <v/>
      </c>
      <c r="AL40" s="18">
        <f>IF(AG40&lt;=17,"F",IF(AI40&lt;=39,"F",IF(AI40&lt;=49,"P",IF(AI40&lt;=54,"C",IF(AI40&lt;=59,"B",IF(AI40&lt;=69,"B+",IF(AI40&lt;=79,"A",IF(AI40&lt;=89,"A+","O"))))))))</f>
        <v/>
      </c>
      <c r="AM40" s="18">
        <f>AJ40*AK40</f>
        <v/>
      </c>
      <c r="AN40" s="18" t="n"/>
      <c r="AO40" s="46" t="n">
        <v>31</v>
      </c>
      <c r="AP40" s="46" t="n">
        <v>48</v>
      </c>
      <c r="AQ40" s="9" t="n"/>
      <c r="AR40" s="18">
        <f>(AO40+AP40)</f>
        <v/>
      </c>
      <c r="AS40" s="18" t="n">
        <v>3</v>
      </c>
      <c r="AT40" s="18">
        <f>IF(AP40&lt;=17,"0",IF(AR40&lt;=39,"0",IF(AR40&lt;=49,"4",IF(AR40&lt;=54,"5",IF(AR40&lt;=59,"6",IF(AR40&lt;=69,"7",IF(AR40&lt;=79,"8",IF(AR40&lt;=89,"9","10"))))))))</f>
        <v/>
      </c>
      <c r="AU40" s="18">
        <f>IF(AP40&lt;=17,"F",IF(AR40&lt;=39,"F",IF(AR40&lt;=49,"P",IF(AR40&lt;=54,"C",IF(AR40&lt;=59,"B",IF(AR40&lt;=69,"B+",IF(AR40&lt;=79,"A",IF(AR40&lt;=89,"A+","O"))))))))</f>
        <v/>
      </c>
      <c r="AV40" s="18">
        <f>AS40*AT40</f>
        <v/>
      </c>
      <c r="AW40" s="18" t="n"/>
      <c r="AX40" s="9" t="n">
        <v>45</v>
      </c>
      <c r="AY40" s="9" t="n">
        <v>50</v>
      </c>
      <c r="AZ40" s="9" t="n"/>
      <c r="BA40" s="18">
        <f>(AX40+AY40)</f>
        <v/>
      </c>
      <c r="BB40" s="18" t="n">
        <v>1</v>
      </c>
      <c r="BC40" s="18">
        <f>IF(AY40&lt;=17,"0",IF(BA40&lt;=39,"0",IF(BA40&lt;=49,"4",IF(BA40&lt;=54,"5",IF(BA40&lt;=59,"6",IF(BA40&lt;=69,"7",IF(BA40&lt;=79,"8",IF(BA40&lt;=89,"9","10"))))))))</f>
        <v/>
      </c>
      <c r="BD40" s="18">
        <f>IF(AY40&lt;=17,"F",IF(BA40&lt;=39,"F",IF(BA40&lt;=49,"P",IF(BA40&lt;=54,"C",IF(BA40&lt;=59,"B",IF(BA40&lt;=69,"B+",IF(BA40&lt;=79,"A",IF(BA40&lt;=89,"A+","O"))))))))</f>
        <v/>
      </c>
      <c r="BE40" s="18">
        <f>BB40*BC40</f>
        <v/>
      </c>
      <c r="BF40" s="43" t="inlineStr">
        <is>
          <t>Balake Kannada</t>
        </is>
      </c>
      <c r="BG40" s="9" t="n">
        <v>28</v>
      </c>
      <c r="BH40" s="9" t="n">
        <v>50</v>
      </c>
      <c r="BI40" s="9" t="n"/>
      <c r="BJ40" s="18">
        <f>(BG40+BH40)</f>
        <v/>
      </c>
      <c r="BK40" s="18" t="n">
        <v>1</v>
      </c>
      <c r="BL40" s="18">
        <f>IF(BH40&lt;=17,"0",IF(BJ40&lt;=39,"0",IF(BJ40&lt;=49,"4",IF(BJ40&lt;=54,"5",IF(BJ40&lt;=59,"6",IF(BJ40&lt;=69,"7",IF(BJ40&lt;=79,"8",IF(BJ40&lt;=89,"9","10"))))))))</f>
        <v/>
      </c>
      <c r="BM40" s="18">
        <f>IF(BH40&lt;=17,"F",IF(BJ40&lt;=39,"F",IF(BJ40&lt;=49,"P",IF(BJ40&lt;=54,"C",IF(BJ40&lt;=59,"B",IF(BJ40&lt;=69,"B+",IF(BJ40&lt;=79,"A",IF(BJ40&lt;=89,"A+","O"))))))))</f>
        <v/>
      </c>
      <c r="BN40" s="18">
        <f>BK40*BL40</f>
        <v/>
      </c>
      <c r="BO40" s="18" t="n"/>
      <c r="BP40" s="9" t="n">
        <v>30</v>
      </c>
      <c r="BQ40" s="9" t="n">
        <v>683</v>
      </c>
      <c r="BR40" s="9" t="n"/>
      <c r="BS40" s="18">
        <f>(BP40+BQ40)</f>
        <v/>
      </c>
      <c r="BT40" s="18" t="n">
        <v>1</v>
      </c>
      <c r="BU40" s="18">
        <f>IF(BQ40&lt;=17,"0",IF(BS40&lt;=39,"0",IF(BS40&lt;=49,"4",IF(BS40&lt;=54,"5",IF(BS40&lt;=59,"6",IF(BS40&lt;=69,"7",IF(BS40&lt;=79,"8",IF(BS40&lt;=89,"9","10"))))))))</f>
        <v/>
      </c>
      <c r="BV40" s="18">
        <f>IF(BQ40&lt;=17,"F",IF(BS40&lt;=39,"F",IF(BS40&lt;=49,"P",IF(BS40&lt;=54,"C",IF(BS40&lt;=59,"B",IF(BS40&lt;=69,"B+",IF(BS40&lt;=79,"A",IF(BS40&lt;=89,"A+","O"))))))))</f>
        <v/>
      </c>
      <c r="BW40" s="18">
        <f>BT40*BU40</f>
        <v/>
      </c>
      <c r="BX40" s="18" t="n"/>
      <c r="BY40" s="18" t="n"/>
      <c r="BZ40" s="18">
        <f>L40+U40+AD40+AM40+AV40+BE40+BN40+BW40</f>
        <v/>
      </c>
      <c r="CA40" s="19">
        <f>BZ40/20</f>
        <v/>
      </c>
      <c r="CB40" s="28">
        <f>IF(CA40&lt;4,"F",IF(BV40="F","F",IF(BM40="F","F",IF(BD40="F","F",IF(AU40="F","F",IF(AL40="F","F",IF(AC40="F","F",IF(T40="F","F",IF(K40="F","F",IF(CA40&lt;=5,"C",IF(CA40&lt;6,"B",IF(CA40&lt;7,"B+",IF(CA40&lt;8,"A",IF(CA40&lt;=9,"A+","O"))))))))))))))</f>
        <v/>
      </c>
      <c r="CC40" s="27">
        <f>CA40*9.5</f>
        <v/>
      </c>
      <c r="CD40" s="27" t="n"/>
      <c r="CE40" s="28">
        <f>SUM(BS40,BJ40,BA40,AR40,AI40,Z40,Q40,H40)</f>
        <v/>
      </c>
      <c r="CF40" s="28">
        <f>(CE40/800)*100</f>
        <v/>
      </c>
      <c r="CG40" s="27" t="n"/>
      <c r="CH40" s="27" t="n"/>
      <c r="CI40" s="27">
        <f>IF(CA40&lt;=4,"F",IF(CA40&lt;=6,"PASS",IF(CA40&lt;=6.5,"SC",IF(CA40&lt;=7.5,"FC",IF(CA40&lt;="10","FCD")))))</f>
        <v/>
      </c>
    </row>
    <row r="41" ht="15.75" customHeight="1">
      <c r="A41" s="35">
        <f>A40+1</f>
        <v/>
      </c>
      <c r="B41" s="111" t="inlineStr">
        <is>
          <t>1bi23cd034</t>
        </is>
      </c>
      <c r="C41" s="111" t="inlineStr">
        <is>
          <t>NIHAr s</t>
        </is>
      </c>
      <c r="D41" s="47" t="inlineStr">
        <is>
          <t>D</t>
        </is>
      </c>
      <c r="E41" s="9" t="n">
        <v>35</v>
      </c>
      <c r="F41" s="9" t="n">
        <v>47</v>
      </c>
      <c r="G41" s="9" t="n"/>
      <c r="H41" s="18">
        <f>SUM(E41:F41)</f>
        <v/>
      </c>
      <c r="I41" s="18" t="n">
        <v>4</v>
      </c>
      <c r="J41" s="18">
        <f>IF(F41&lt;=17,"0",IF(H41&lt;=39,"0",IF(H41&lt;=49,"4",IF(H41&lt;=54,"5",IF(H41&lt;=59,"6",IF(H41&lt;=69,"7",IF(H41&lt;=79,"8",IF(H41&lt;=89,"9","10"))))))))</f>
        <v/>
      </c>
      <c r="K41" s="18">
        <f>IF(F41&lt;=17,"F",IF(H41&lt;=39,"F",IF(H41&lt;=49,"P",IF(H41&lt;=54,"C",IF(H41&lt;=59,"B",IF(H41&lt;=69,"B+",IF(H41&lt;=79,"A",IF(H41&lt;=89,"A+","O"))))))))</f>
        <v/>
      </c>
      <c r="L41" s="18">
        <f>I41*J41</f>
        <v/>
      </c>
      <c r="M41" s="18" t="n"/>
      <c r="N41" s="9" t="n">
        <v>38</v>
      </c>
      <c r="O41" s="9" t="n">
        <v>50</v>
      </c>
      <c r="P41" s="9" t="n"/>
      <c r="Q41" s="18">
        <f>SUM(N41:O41)</f>
        <v/>
      </c>
      <c r="R41" s="18" t="n">
        <v>4</v>
      </c>
      <c r="S41" s="18">
        <f>IF(O41&lt;=17,"0",IF(Q41&lt;=39,"4",IF(Q41&lt;=49,"4",IF(Q41&lt;=54,"5",IF(Q41&lt;=59,"6",IF(Q41&lt;=69,"7",IF(Q41&lt;=79,"8",IF(Q41&lt;=89,"9","10"))))))))</f>
        <v/>
      </c>
      <c r="T41" s="18">
        <f>IF(O41&lt;=17,"F",IF(Q41&lt;=39,"F",IF(Q41&lt;=49,"P",IF(Q41&lt;=54,"C",IF(Q41&lt;=59,"B",IF(Q41&lt;=69,"B+",IF(Q41&lt;=79,"A",IF(Q41&lt;=89,"A+","O"))))))))</f>
        <v/>
      </c>
      <c r="U41" s="18">
        <f>R41*S41</f>
        <v/>
      </c>
      <c r="V41" s="18" t="n"/>
      <c r="W41" s="9" t="n">
        <v>46</v>
      </c>
      <c r="X41" s="9" t="n">
        <v>44</v>
      </c>
      <c r="Y41" s="18" t="n"/>
      <c r="Z41" s="18">
        <f>SUM(W41:X41)</f>
        <v/>
      </c>
      <c r="AA41" s="18" t="n">
        <v>3</v>
      </c>
      <c r="AB41" s="18">
        <f>IF(X41&lt;=17,"0",IF(Z41&lt;=39,"0",IF(Z41&lt;=49,"4",IF(Z41&lt;=54,"5",IF(Z41&lt;=59,"6",IF(Z41&lt;=69,"7",IF(Z41&lt;=79,"8",IF(Z41&lt;=89,"9","10"))))))))</f>
        <v/>
      </c>
      <c r="AC41" s="18">
        <f>IF(X41&lt;=17,"F",IF(Z41&lt;=39,"F",IF(Z41&lt;=49,"P",IF(Z41&lt;=54,"C",IF(Z41&lt;=59,"B",IF(Z41&lt;=69,"B+",IF(Z41&lt;=79,"A",IF(Z41&lt;=89,"A+","O"))))))))</f>
        <v/>
      </c>
      <c r="AD41" s="18">
        <f>AA41*AB41</f>
        <v/>
      </c>
      <c r="AE41" s="18" t="n"/>
      <c r="AF41" s="46" t="n">
        <v>42</v>
      </c>
      <c r="AG41" s="46" t="n">
        <v>41</v>
      </c>
      <c r="AH41" s="9" t="n"/>
      <c r="AI41" s="18">
        <f>SUM(AF41:AG41)</f>
        <v/>
      </c>
      <c r="AJ41" s="18" t="n">
        <v>3</v>
      </c>
      <c r="AK41" s="18">
        <f>IF(AG41&lt;=17,"0",IF(AI41&lt;=39,"0",IF(AI41&lt;=49,"4",IF(AI41&lt;=54,"5",IF(AI41&lt;=59,"6",IF(AI41&lt;=69,"7",IF(AI41&lt;=79,"8",IF(AI41&lt;=89,"9","10"))))))))</f>
        <v/>
      </c>
      <c r="AL41" s="18">
        <f>IF(AG41&lt;=17,"F",IF(AI41&lt;=39,"F",IF(AI41&lt;=49,"P",IF(AI41&lt;=54,"C",IF(AI41&lt;=59,"B",IF(AI41&lt;=69,"B+",IF(AI41&lt;=79,"A",IF(AI41&lt;=89,"A+","O"))))))))</f>
        <v/>
      </c>
      <c r="AM41" s="18">
        <f>AJ41*AK41</f>
        <v/>
      </c>
      <c r="AN41" s="18" t="n"/>
      <c r="AO41" s="46" t="n">
        <v>22</v>
      </c>
      <c r="AP41" s="46" t="n">
        <v>47</v>
      </c>
      <c r="AQ41" s="9" t="n"/>
      <c r="AR41" s="18">
        <f>(AO41+AP41)</f>
        <v/>
      </c>
      <c r="AS41" s="18" t="n">
        <v>3</v>
      </c>
      <c r="AT41" s="18">
        <f>IF(AP41&lt;=17,"0",IF(AR41&lt;=39,"0",IF(AR41&lt;=49,"4",IF(AR41&lt;=54,"5",IF(AR41&lt;=59,"6",IF(AR41&lt;=69,"7",IF(AR41&lt;=79,"8",IF(AR41&lt;=89,"9","10"))))))))</f>
        <v/>
      </c>
      <c r="AU41" s="18">
        <f>IF(AP41&lt;=17,"F",IF(AR41&lt;=39,"F",IF(AR41&lt;=49,"P",IF(AR41&lt;=54,"C",IF(AR41&lt;=59,"B",IF(AR41&lt;=69,"B+",IF(AR41&lt;=79,"A",IF(AR41&lt;=89,"A+","O"))))))))</f>
        <v/>
      </c>
      <c r="AV41" s="18">
        <f>AS41*AT41</f>
        <v/>
      </c>
      <c r="AW41" s="18" t="n"/>
      <c r="AX41" s="9" t="n">
        <v>31</v>
      </c>
      <c r="AY41" s="9" t="n">
        <v>46</v>
      </c>
      <c r="AZ41" s="9" t="n"/>
      <c r="BA41" s="18">
        <f>(AX41+AY41)</f>
        <v/>
      </c>
      <c r="BB41" s="18" t="n">
        <v>1</v>
      </c>
      <c r="BC41" s="18">
        <f>IF(AY41&lt;=17,"0",IF(BA41&lt;=39,"0",IF(BA41&lt;=49,"4",IF(BA41&lt;=54,"5",IF(BA41&lt;=59,"6",IF(BA41&lt;=69,"7",IF(BA41&lt;=79,"8",IF(BA41&lt;=89,"9","10"))))))))</f>
        <v/>
      </c>
      <c r="BD41" s="18">
        <f>IF(AY41&lt;=17,"F",IF(BA41&lt;=39,"F",IF(BA41&lt;=49,"P",IF(BA41&lt;=54,"C",IF(BA41&lt;=59,"B",IF(BA41&lt;=69,"B+",IF(BA41&lt;=79,"A",IF(BA41&lt;=89,"A+","O"))))))))</f>
        <v/>
      </c>
      <c r="BE41" s="18">
        <f>BB41*BC41</f>
        <v/>
      </c>
      <c r="BF41" s="43" t="inlineStr">
        <is>
          <t>Samskrutika Kannada</t>
        </is>
      </c>
      <c r="BG41" s="9" t="n">
        <v>28</v>
      </c>
      <c r="BH41" s="9" t="n">
        <v>48</v>
      </c>
      <c r="BI41" s="9" t="n"/>
      <c r="BJ41" s="18">
        <f>(BG41+BH41)</f>
        <v/>
      </c>
      <c r="BK41" s="18" t="n">
        <v>1</v>
      </c>
      <c r="BL41" s="18">
        <f>IF(BH41&lt;=17,"0",IF(BJ41&lt;=39,"0",IF(BJ41&lt;=49,"4",IF(BJ41&lt;=54,"5",IF(BJ41&lt;=59,"6",IF(BJ41&lt;=69,"7",IF(BJ41&lt;=79,"8",IF(BJ41&lt;=89,"9","10"))))))))</f>
        <v/>
      </c>
      <c r="BM41" s="18">
        <f>IF(BH41&lt;=17,"F",IF(BJ41&lt;=39,"F",IF(BJ41&lt;=49,"P",IF(BJ41&lt;=54,"C",IF(BJ41&lt;=59,"B",IF(BJ41&lt;=69,"B+",IF(BJ41&lt;=79,"A",IF(BJ41&lt;=89,"A+","O"))))))))</f>
        <v/>
      </c>
      <c r="BN41" s="18">
        <f>BK41*BL41</f>
        <v/>
      </c>
      <c r="BO41" s="18" t="n"/>
      <c r="BP41" s="9" t="n">
        <v>28</v>
      </c>
      <c r="BQ41" s="9" t="n">
        <v>641</v>
      </c>
      <c r="BR41" s="9" t="n"/>
      <c r="BS41" s="18">
        <f>(BP41+BQ41)</f>
        <v/>
      </c>
      <c r="BT41" s="18" t="n">
        <v>1</v>
      </c>
      <c r="BU41" s="18">
        <f>IF(BQ41&lt;=17,"0",IF(BS41&lt;=39,"0",IF(BS41&lt;=49,"4",IF(BS41&lt;=54,"5",IF(BS41&lt;=59,"6",IF(BS41&lt;=69,"7",IF(BS41&lt;=79,"8",IF(BS41&lt;=89,"9","10"))))))))</f>
        <v/>
      </c>
      <c r="BV41" s="18">
        <f>IF(BQ41&lt;=17,"F",IF(BS41&lt;=39,"F",IF(BS41&lt;=49,"P",IF(BS41&lt;=54,"C",IF(BS41&lt;=59,"B",IF(BS41&lt;=69,"B+",IF(BS41&lt;=79,"A",IF(BS41&lt;=89,"A+","O"))))))))</f>
        <v/>
      </c>
      <c r="BW41" s="18">
        <f>BT41*BU41</f>
        <v/>
      </c>
      <c r="BX41" s="18" t="n"/>
      <c r="BY41" s="18" t="n"/>
      <c r="BZ41" s="18">
        <f>L41+U41+AD41+AM41+AV41+BE41+BN41+BW41</f>
        <v/>
      </c>
      <c r="CA41" s="19">
        <f>BZ41/20</f>
        <v/>
      </c>
      <c r="CB41" s="28">
        <f>IF(CA41&lt;4,"F",IF(BV41="F","F",IF(BM41="F","F",IF(BD41="F","F",IF(AU41="F","F",IF(AL41="F","F",IF(AC41="F","F",IF(T41="F","F",IF(K41="F","F",IF(CA41&lt;=5,"C",IF(CA41&lt;6,"B",IF(CA41&lt;7,"B+",IF(CA41&lt;8,"A",IF(CA41&lt;=9,"A+","O"))))))))))))))</f>
        <v/>
      </c>
      <c r="CC41" s="27">
        <f>CA41*9.5</f>
        <v/>
      </c>
      <c r="CD41" s="27" t="n"/>
      <c r="CE41" s="28">
        <f>SUM(BS41,BJ41,BA41,AR41,AI41,Z41,Q41,H41)</f>
        <v/>
      </c>
      <c r="CF41" s="28">
        <f>(CE41/800)*100</f>
        <v/>
      </c>
      <c r="CG41" s="27" t="n"/>
      <c r="CH41" s="27" t="n"/>
      <c r="CI41" s="27">
        <f>IF(CA41&lt;=4,"F",IF(CA41&lt;=6,"PASS",IF(CA41&lt;=6.5,"SC",IF(CA41&lt;=7.5,"FC",IF(CA41&lt;="10","FCD")))))</f>
        <v/>
      </c>
    </row>
    <row r="42" ht="15.75" customHeight="1">
      <c r="A42" s="35">
        <f>A41+1</f>
        <v/>
      </c>
      <c r="B42" s="111" t="inlineStr">
        <is>
          <t>1bi23cd035</t>
        </is>
      </c>
      <c r="C42" s="111" t="inlineStr">
        <is>
          <t>NISHANT KUMAR RAI</t>
        </is>
      </c>
      <c r="D42" s="47" t="inlineStr">
        <is>
          <t>D</t>
        </is>
      </c>
      <c r="E42" s="9" t="n">
        <v>39</v>
      </c>
      <c r="F42" s="9" t="n">
        <v>47</v>
      </c>
      <c r="G42" s="9" t="n"/>
      <c r="H42" s="18">
        <f>SUM(E42:F42)</f>
        <v/>
      </c>
      <c r="I42" s="18" t="n">
        <v>4</v>
      </c>
      <c r="J42" s="18">
        <f>IF(F42&lt;=17,"0",IF(H42&lt;=39,"0",IF(H42&lt;=49,"4",IF(H42&lt;=54,"5",IF(H42&lt;=59,"6",IF(H42&lt;=69,"7",IF(H42&lt;=79,"8",IF(H42&lt;=89,"9","10"))))))))</f>
        <v/>
      </c>
      <c r="K42" s="18">
        <f>IF(F42&lt;=17,"F",IF(H42&lt;=39,"F",IF(H42&lt;=49,"P",IF(H42&lt;=54,"C",IF(H42&lt;=59,"B",IF(H42&lt;=69,"B+",IF(H42&lt;=79,"A",IF(H42&lt;=89,"A+","O"))))))))</f>
        <v/>
      </c>
      <c r="L42" s="18">
        <f>I42*J42</f>
        <v/>
      </c>
      <c r="M42" s="18" t="n"/>
      <c r="N42" s="9" t="n">
        <v>42</v>
      </c>
      <c r="O42" s="9" t="n">
        <v>40</v>
      </c>
      <c r="P42" s="9" t="n"/>
      <c r="Q42" s="18">
        <f>SUM(N42:O42)</f>
        <v/>
      </c>
      <c r="R42" s="18" t="n">
        <v>4</v>
      </c>
      <c r="S42" s="18">
        <f>IF(O42&lt;=17,"0",IF(Q42&lt;=39,"4",IF(Q42&lt;=49,"4",IF(Q42&lt;=54,"5",IF(Q42&lt;=59,"6",IF(Q42&lt;=69,"7",IF(Q42&lt;=79,"8",IF(Q42&lt;=89,"9","10"))))))))</f>
        <v/>
      </c>
      <c r="T42" s="18">
        <f>IF(O42&lt;=17,"F",IF(Q42&lt;=39,"F",IF(Q42&lt;=49,"P",IF(Q42&lt;=54,"C",IF(Q42&lt;=59,"B",IF(Q42&lt;=69,"B+",IF(Q42&lt;=79,"A",IF(Q42&lt;=89,"A+","O"))))))))</f>
        <v/>
      </c>
      <c r="U42" s="18">
        <f>R42*S42</f>
        <v/>
      </c>
      <c r="V42" s="18" t="n"/>
      <c r="W42" s="9" t="n">
        <v>48</v>
      </c>
      <c r="X42" s="9" t="n">
        <v>49</v>
      </c>
      <c r="Y42" s="18" t="n"/>
      <c r="Z42" s="18">
        <f>SUM(W42:X42)</f>
        <v/>
      </c>
      <c r="AA42" s="18" t="n">
        <v>3</v>
      </c>
      <c r="AB42" s="18">
        <f>IF(X42&lt;=17,"0",IF(Z42&lt;=39,"0",IF(Z42&lt;=49,"4",IF(Z42&lt;=54,"5",IF(Z42&lt;=59,"6",IF(Z42&lt;=69,"7",IF(Z42&lt;=79,"8",IF(Z42&lt;=89,"9","10"))))))))</f>
        <v/>
      </c>
      <c r="AC42" s="18">
        <f>IF(X42&lt;=17,"F",IF(Z42&lt;=39,"F",IF(Z42&lt;=49,"P",IF(Z42&lt;=54,"C",IF(Z42&lt;=59,"B",IF(Z42&lt;=69,"B+",IF(Z42&lt;=79,"A",IF(Z42&lt;=89,"A+","O"))))))))</f>
        <v/>
      </c>
      <c r="AD42" s="18">
        <f>AA42*AB42</f>
        <v/>
      </c>
      <c r="AE42" s="18" t="n"/>
      <c r="AF42" s="46" t="n">
        <v>44</v>
      </c>
      <c r="AG42" s="46" t="n">
        <v>44</v>
      </c>
      <c r="AH42" s="9" t="n"/>
      <c r="AI42" s="18">
        <f>SUM(AF42:AG42)</f>
        <v/>
      </c>
      <c r="AJ42" s="18" t="n">
        <v>3</v>
      </c>
      <c r="AK42" s="18">
        <f>IF(AG42&lt;=17,"0",IF(AI42&lt;=39,"0",IF(AI42&lt;=49,"4",IF(AI42&lt;=54,"5",IF(AI42&lt;=59,"6",IF(AI42&lt;=69,"7",IF(AI42&lt;=79,"8",IF(AI42&lt;=89,"9","10"))))))))</f>
        <v/>
      </c>
      <c r="AL42" s="18">
        <f>IF(AG42&lt;=17,"F",IF(AI42&lt;=39,"F",IF(AI42&lt;=49,"P",IF(AI42&lt;=54,"C",IF(AI42&lt;=59,"B",IF(AI42&lt;=69,"B+",IF(AI42&lt;=79,"A",IF(AI42&lt;=89,"A+","O"))))))))</f>
        <v/>
      </c>
      <c r="AM42" s="18">
        <f>AJ42*AK42</f>
        <v/>
      </c>
      <c r="AN42" s="18" t="n"/>
      <c r="AO42" s="46" t="n">
        <v>34</v>
      </c>
      <c r="AP42" s="46" t="n">
        <v>47</v>
      </c>
      <c r="AQ42" s="9" t="n"/>
      <c r="AR42" s="18">
        <f>(AO42+AP42)</f>
        <v/>
      </c>
      <c r="AS42" s="18" t="n">
        <v>3</v>
      </c>
      <c r="AT42" s="18">
        <f>IF(AP42&lt;=17,"0",IF(AR42&lt;=39,"0",IF(AR42&lt;=49,"4",IF(AR42&lt;=54,"5",IF(AR42&lt;=59,"6",IF(AR42&lt;=69,"7",IF(AR42&lt;=79,"8",IF(AR42&lt;=89,"9","10"))))))))</f>
        <v/>
      </c>
      <c r="AU42" s="18">
        <f>IF(AP42&lt;=17,"F",IF(AR42&lt;=39,"F",IF(AR42&lt;=49,"P",IF(AR42&lt;=54,"C",IF(AR42&lt;=59,"B",IF(AR42&lt;=69,"B+",IF(AR42&lt;=79,"A",IF(AR42&lt;=89,"A+","O"))))))))</f>
        <v/>
      </c>
      <c r="AV42" s="18">
        <f>AS42*AT42</f>
        <v/>
      </c>
      <c r="AW42" s="18" t="n"/>
      <c r="AX42" s="9" t="n">
        <v>41</v>
      </c>
      <c r="AY42" s="9" t="n">
        <v>47</v>
      </c>
      <c r="AZ42" s="9" t="n"/>
      <c r="BA42" s="18">
        <f>(AX42+AY42)</f>
        <v/>
      </c>
      <c r="BB42" s="18" t="n">
        <v>1</v>
      </c>
      <c r="BC42" s="18">
        <f>IF(AY42&lt;=17,"0",IF(BA42&lt;=39,"0",IF(BA42&lt;=49,"4",IF(BA42&lt;=54,"5",IF(BA42&lt;=59,"6",IF(BA42&lt;=69,"7",IF(BA42&lt;=79,"8",IF(BA42&lt;=89,"9","10"))))))))</f>
        <v/>
      </c>
      <c r="BD42" s="18">
        <f>IF(AY42&lt;=17,"F",IF(BA42&lt;=39,"F",IF(BA42&lt;=49,"P",IF(BA42&lt;=54,"C",IF(BA42&lt;=59,"B",IF(BA42&lt;=69,"B+",IF(BA42&lt;=79,"A",IF(BA42&lt;=89,"A+","O"))))))))</f>
        <v/>
      </c>
      <c r="BE42" s="18">
        <f>BB42*BC42</f>
        <v/>
      </c>
      <c r="BF42" s="43" t="inlineStr">
        <is>
          <t>Samskrutika Kannada</t>
        </is>
      </c>
      <c r="BG42" s="9" t="n">
        <v>35</v>
      </c>
      <c r="BH42" s="9" t="n">
        <v>43</v>
      </c>
      <c r="BI42" s="9" t="n"/>
      <c r="BJ42" s="18">
        <f>(BG42+BH42)</f>
        <v/>
      </c>
      <c r="BK42" s="18" t="n">
        <v>1</v>
      </c>
      <c r="BL42" s="18">
        <f>IF(BH42&lt;=17,"0",IF(BJ42&lt;=39,"0",IF(BJ42&lt;=49,"4",IF(BJ42&lt;=54,"5",IF(BJ42&lt;=59,"6",IF(BJ42&lt;=69,"7",IF(BJ42&lt;=79,"8",IF(BJ42&lt;=89,"9","10"))))))))</f>
        <v/>
      </c>
      <c r="BM42" s="18">
        <f>IF(BH42&lt;=17,"F",IF(BJ42&lt;=39,"F",IF(BJ42&lt;=49,"P",IF(BJ42&lt;=54,"C",IF(BJ42&lt;=59,"B",IF(BJ42&lt;=69,"B+",IF(BJ42&lt;=79,"A",IF(BJ42&lt;=89,"A+","O"))))))))</f>
        <v/>
      </c>
      <c r="BN42" s="18">
        <f>BK42*BL42</f>
        <v/>
      </c>
      <c r="BO42" s="18" t="n"/>
      <c r="BP42" s="9" t="n">
        <v>28</v>
      </c>
      <c r="BQ42" s="9" t="n">
        <v>678</v>
      </c>
      <c r="BR42" s="9" t="n"/>
      <c r="BS42" s="18">
        <f>(BP42+BQ42)</f>
        <v/>
      </c>
      <c r="BT42" s="18" t="n">
        <v>1</v>
      </c>
      <c r="BU42" s="18">
        <f>IF(BQ42&lt;=17,"0",IF(BS42&lt;=39,"0",IF(BS42&lt;=49,"4",IF(BS42&lt;=54,"5",IF(BS42&lt;=59,"6",IF(BS42&lt;=69,"7",IF(BS42&lt;=79,"8",IF(BS42&lt;=89,"9","10"))))))))</f>
        <v/>
      </c>
      <c r="BV42" s="18">
        <f>IF(BQ42&lt;=17,"F",IF(BS42&lt;=39,"F",IF(BS42&lt;=49,"P",IF(BS42&lt;=54,"C",IF(BS42&lt;=59,"B",IF(BS42&lt;=69,"B+",IF(BS42&lt;=79,"A",IF(BS42&lt;=89,"A+","O"))))))))</f>
        <v/>
      </c>
      <c r="BW42" s="18">
        <f>BT42*BU42</f>
        <v/>
      </c>
      <c r="BX42" s="18" t="n"/>
      <c r="BY42" s="18" t="n"/>
      <c r="BZ42" s="18">
        <f>L42+U42+AD42+AM42+AV42+BE42+BN42+BW42</f>
        <v/>
      </c>
      <c r="CA42" s="19">
        <f>BZ42/20</f>
        <v/>
      </c>
      <c r="CB42" s="28">
        <f>IF(CA42&lt;4,"F",IF(BV42="F","F",IF(BM42="F","F",IF(BD42="F","F",IF(AU42="F","F",IF(AL42="F","F",IF(AC42="F","F",IF(T42="F","F",IF(K42="F","F",IF(CA42&lt;=5,"C",IF(CA42&lt;6,"B",IF(CA42&lt;7,"B+",IF(CA42&lt;8,"A",IF(CA42&lt;=9,"A+","O"))))))))))))))</f>
        <v/>
      </c>
      <c r="CC42" s="27">
        <f>CA42*9.5</f>
        <v/>
      </c>
      <c r="CD42" s="27" t="n"/>
      <c r="CE42" s="28">
        <f>SUM(BS42,BJ42,BA42,AR42,AI42,Z42,Q42,H42)</f>
        <v/>
      </c>
      <c r="CF42" s="28">
        <f>(CE42/800)*100</f>
        <v/>
      </c>
      <c r="CG42" s="27" t="n"/>
      <c r="CH42" s="27" t="n"/>
      <c r="CI42" s="27">
        <f>IF(CA42&lt;=4,"F",IF(CA42&lt;=6,"PASS",IF(CA42&lt;=6.5,"SC",IF(CA42&lt;=7.5,"FC",IF(CA42&lt;="10","FCD")))))</f>
        <v/>
      </c>
    </row>
    <row r="43" ht="15.75" customHeight="1">
      <c r="A43" s="35">
        <f>A42+1</f>
        <v/>
      </c>
      <c r="B43" s="111" t="inlineStr">
        <is>
          <t>1bi23cd036</t>
        </is>
      </c>
      <c r="C43" s="111" t="inlineStr">
        <is>
          <t>PRANAV A S</t>
        </is>
      </c>
      <c r="D43" s="47" t="inlineStr">
        <is>
          <t>D</t>
        </is>
      </c>
      <c r="E43" s="9" t="n">
        <v>44</v>
      </c>
      <c r="F43" s="9" t="n">
        <v>50</v>
      </c>
      <c r="G43" s="9" t="n"/>
      <c r="H43" s="18">
        <f>SUM(E43:F43)</f>
        <v/>
      </c>
      <c r="I43" s="18" t="n">
        <v>4</v>
      </c>
      <c r="J43" s="18">
        <f>IF(F43&lt;=17,"0",IF(H43&lt;=39,"0",IF(H43&lt;=49,"4",IF(H43&lt;=54,"5",IF(H43&lt;=59,"6",IF(H43&lt;=69,"7",IF(H43&lt;=79,"8",IF(H43&lt;=89,"9","10"))))))))</f>
        <v/>
      </c>
      <c r="K43" s="18">
        <f>IF(F43&lt;=17,"F",IF(H43&lt;=39,"F",IF(H43&lt;=49,"P",IF(H43&lt;=54,"C",IF(H43&lt;=59,"B",IF(H43&lt;=69,"B+",IF(H43&lt;=79,"A",IF(H43&lt;=89,"A+","O"))))))))</f>
        <v/>
      </c>
      <c r="L43" s="18">
        <f>I43*J43</f>
        <v/>
      </c>
      <c r="M43" s="18" t="n"/>
      <c r="N43" s="9" t="n">
        <v>41</v>
      </c>
      <c r="O43" s="9" t="n">
        <v>50</v>
      </c>
      <c r="P43" s="9" t="n"/>
      <c r="Q43" s="18">
        <f>SUM(N43:O43)</f>
        <v/>
      </c>
      <c r="R43" s="18" t="n">
        <v>4</v>
      </c>
      <c r="S43" s="18">
        <f>IF(O43&lt;=17,"0",IF(Q43&lt;=39,"4",IF(Q43&lt;=49,"4",IF(Q43&lt;=54,"5",IF(Q43&lt;=59,"6",IF(Q43&lt;=69,"7",IF(Q43&lt;=79,"8",IF(Q43&lt;=89,"9","10"))))))))</f>
        <v/>
      </c>
      <c r="T43" s="18">
        <f>IF(O43&lt;=17,"F",IF(Q43&lt;=39,"F",IF(Q43&lt;=49,"P",IF(Q43&lt;=54,"C",IF(Q43&lt;=59,"B",IF(Q43&lt;=69,"B+",IF(Q43&lt;=79,"A",IF(Q43&lt;=89,"A+","O"))))))))</f>
        <v/>
      </c>
      <c r="U43" s="18">
        <f>R43*S43</f>
        <v/>
      </c>
      <c r="V43" s="18" t="n"/>
      <c r="W43" s="9" t="n">
        <v>50</v>
      </c>
      <c r="X43" s="9" t="n">
        <v>49</v>
      </c>
      <c r="Y43" s="18" t="n"/>
      <c r="Z43" s="18">
        <f>SUM(W43:X43)</f>
        <v/>
      </c>
      <c r="AA43" s="18" t="n">
        <v>3</v>
      </c>
      <c r="AB43" s="18">
        <f>IF(X43&lt;=17,"0",IF(Z43&lt;=39,"0",IF(Z43&lt;=49,"4",IF(Z43&lt;=54,"5",IF(Z43&lt;=59,"6",IF(Z43&lt;=69,"7",IF(Z43&lt;=79,"8",IF(Z43&lt;=89,"9","10"))))))))</f>
        <v/>
      </c>
      <c r="AC43" s="18">
        <f>IF(X43&lt;=17,"F",IF(Z43&lt;=39,"F",IF(Z43&lt;=49,"P",IF(Z43&lt;=54,"C",IF(Z43&lt;=59,"B",IF(Z43&lt;=69,"B+",IF(Z43&lt;=79,"A",IF(Z43&lt;=89,"A+","O"))))))))</f>
        <v/>
      </c>
      <c r="AD43" s="18">
        <f>AA43*AB43</f>
        <v/>
      </c>
      <c r="AE43" s="18" t="n"/>
      <c r="AF43" s="46" t="n">
        <v>42</v>
      </c>
      <c r="AG43" s="46" t="n">
        <v>50</v>
      </c>
      <c r="AH43" s="9" t="n"/>
      <c r="AI43" s="18">
        <f>SUM(AF43:AG43)</f>
        <v/>
      </c>
      <c r="AJ43" s="18" t="n">
        <v>3</v>
      </c>
      <c r="AK43" s="18">
        <f>IF(AG43&lt;=17,"0",IF(AI43&lt;=39,"0",IF(AI43&lt;=49,"4",IF(AI43&lt;=54,"5",IF(AI43&lt;=59,"6",IF(AI43&lt;=69,"7",IF(AI43&lt;=79,"8",IF(AI43&lt;=89,"9","10"))))))))</f>
        <v/>
      </c>
      <c r="AL43" s="18">
        <f>IF(AG43&lt;=17,"F",IF(AI43&lt;=39,"F",IF(AI43&lt;=49,"P",IF(AI43&lt;=54,"C",IF(AI43&lt;=59,"B",IF(AI43&lt;=69,"B+",IF(AI43&lt;=79,"A",IF(AI43&lt;=89,"A+","O"))))))))</f>
        <v/>
      </c>
      <c r="AM43" s="18">
        <f>AJ43*AK43</f>
        <v/>
      </c>
      <c r="AN43" s="18" t="n"/>
      <c r="AO43" s="46" t="n">
        <v>30</v>
      </c>
      <c r="AP43" s="46" t="n">
        <v>50</v>
      </c>
      <c r="AQ43" s="9" t="n"/>
      <c r="AR43" s="18">
        <f>(AO43+AP43)</f>
        <v/>
      </c>
      <c r="AS43" s="18" t="n">
        <v>3</v>
      </c>
      <c r="AT43" s="18">
        <f>IF(AP43&lt;=17,"0",IF(AR43&lt;=39,"0",IF(AR43&lt;=49,"4",IF(AR43&lt;=54,"5",IF(AR43&lt;=59,"6",IF(AR43&lt;=69,"7",IF(AR43&lt;=79,"8",IF(AR43&lt;=89,"9","10"))))))))</f>
        <v/>
      </c>
      <c r="AU43" s="18">
        <f>IF(AP43&lt;=17,"F",IF(AR43&lt;=39,"F",IF(AR43&lt;=49,"P",IF(AR43&lt;=54,"C",IF(AR43&lt;=59,"B",IF(AR43&lt;=69,"B+",IF(AR43&lt;=79,"A",IF(AR43&lt;=89,"A+","O"))))))))</f>
        <v/>
      </c>
      <c r="AV43" s="18">
        <f>AS43*AT43</f>
        <v/>
      </c>
      <c r="AW43" s="18" t="n"/>
      <c r="AX43" s="9" t="n">
        <v>42</v>
      </c>
      <c r="AY43" s="9" t="n">
        <v>50</v>
      </c>
      <c r="AZ43" s="9" t="n"/>
      <c r="BA43" s="18">
        <f>(AX43+AY43)</f>
        <v/>
      </c>
      <c r="BB43" s="18" t="n">
        <v>1</v>
      </c>
      <c r="BC43" s="18">
        <f>IF(AY43&lt;=17,"0",IF(BA43&lt;=39,"0",IF(BA43&lt;=49,"4",IF(BA43&lt;=54,"5",IF(BA43&lt;=59,"6",IF(BA43&lt;=69,"7",IF(BA43&lt;=79,"8",IF(BA43&lt;=89,"9","10"))))))))</f>
        <v/>
      </c>
      <c r="BD43" s="18">
        <f>IF(AY43&lt;=17,"F",IF(BA43&lt;=39,"F",IF(BA43&lt;=49,"P",IF(BA43&lt;=54,"C",IF(BA43&lt;=59,"B",IF(BA43&lt;=69,"B+",IF(BA43&lt;=79,"A",IF(BA43&lt;=89,"A+","O"))))))))</f>
        <v/>
      </c>
      <c r="BE43" s="18">
        <f>BB43*BC43</f>
        <v/>
      </c>
      <c r="BF43" s="43" t="inlineStr">
        <is>
          <t>Balake Kannada</t>
        </is>
      </c>
      <c r="BG43" s="9" t="n">
        <v>31</v>
      </c>
      <c r="BH43" s="9" t="n">
        <v>50</v>
      </c>
      <c r="BI43" s="9" t="n"/>
      <c r="BJ43" s="18">
        <f>(BG43+BH43)</f>
        <v/>
      </c>
      <c r="BK43" s="18" t="n">
        <v>1</v>
      </c>
      <c r="BL43" s="18">
        <f>IF(BH43&lt;=17,"0",IF(BJ43&lt;=39,"0",IF(BJ43&lt;=49,"4",IF(BJ43&lt;=54,"5",IF(BJ43&lt;=59,"6",IF(BJ43&lt;=69,"7",IF(BJ43&lt;=79,"8",IF(BJ43&lt;=89,"9","10"))))))))</f>
        <v/>
      </c>
      <c r="BM43" s="18">
        <f>IF(BH43&lt;=17,"F",IF(BJ43&lt;=39,"F",IF(BJ43&lt;=49,"P",IF(BJ43&lt;=54,"C",IF(BJ43&lt;=59,"B",IF(BJ43&lt;=69,"B+",IF(BJ43&lt;=79,"A",IF(BJ43&lt;=89,"A+","O"))))))))</f>
        <v/>
      </c>
      <c r="BN43" s="18">
        <f>BK43*BL43</f>
        <v/>
      </c>
      <c r="BO43" s="18" t="n"/>
      <c r="BP43" s="9" t="n">
        <v>41</v>
      </c>
      <c r="BQ43" s="9" t="n">
        <v>717</v>
      </c>
      <c r="BR43" s="9" t="n"/>
      <c r="BS43" s="18">
        <f>(BP43+BQ43)</f>
        <v/>
      </c>
      <c r="BT43" s="18" t="n">
        <v>1</v>
      </c>
      <c r="BU43" s="18">
        <f>IF(BQ43&lt;=17,"0",IF(BS43&lt;=39,"0",IF(BS43&lt;=49,"4",IF(BS43&lt;=54,"5",IF(BS43&lt;=59,"6",IF(BS43&lt;=69,"7",IF(BS43&lt;=79,"8",IF(BS43&lt;=89,"9","10"))))))))</f>
        <v/>
      </c>
      <c r="BV43" s="18">
        <f>IF(BQ43&lt;=17,"F",IF(BS43&lt;=39,"F",IF(BS43&lt;=49,"P",IF(BS43&lt;=54,"C",IF(BS43&lt;=59,"B",IF(BS43&lt;=69,"B+",IF(BS43&lt;=79,"A",IF(BS43&lt;=89,"A+","O"))))))))</f>
        <v/>
      </c>
      <c r="BW43" s="18">
        <f>BT43*BU43</f>
        <v/>
      </c>
      <c r="BX43" s="18" t="n"/>
      <c r="BY43" s="18" t="n"/>
      <c r="BZ43" s="18">
        <f>L43+U43+AD43+AM43+AV43+BE43+BN43+BW43</f>
        <v/>
      </c>
      <c r="CA43" s="19">
        <f>BZ43/20</f>
        <v/>
      </c>
      <c r="CB43" s="28">
        <f>IF(CA43&lt;4,"F",IF(BV43="F","F",IF(BM43="F","F",IF(BD43="F","F",IF(AU43="F","F",IF(AL43="F","F",IF(AC43="F","F",IF(T43="F","F",IF(K43="F","F",IF(CA43&lt;=5,"C",IF(CA43&lt;6,"B",IF(CA43&lt;7,"B+",IF(CA43&lt;8,"A",IF(CA43&lt;=9,"A+","O"))))))))))))))</f>
        <v/>
      </c>
      <c r="CC43" s="27">
        <f>CA43*9.5</f>
        <v/>
      </c>
      <c r="CD43" s="27" t="n"/>
      <c r="CE43" s="28">
        <f>SUM(BS43,BJ43,BA43,AR43,AI43,Z43,Q43,H43)</f>
        <v/>
      </c>
      <c r="CF43" s="28">
        <f>(CE43/800)*100</f>
        <v/>
      </c>
      <c r="CG43" s="27" t="n"/>
      <c r="CH43" s="27" t="n"/>
      <c r="CI43" s="27">
        <f>IF(CA43&lt;=4,"F",IF(CA43&lt;=6,"PASS",IF(CA43&lt;=6.5,"SC",IF(CA43&lt;=7.5,"FC",IF(CA43&lt;="10","FCD")))))</f>
        <v/>
      </c>
    </row>
    <row r="44" ht="15.75" customHeight="1">
      <c r="A44" s="35">
        <f>A43+1</f>
        <v/>
      </c>
      <c r="B44" s="111" t="inlineStr">
        <is>
          <t>1bi23cd037</t>
        </is>
      </c>
      <c r="C44" s="111" t="inlineStr">
        <is>
          <t>RATNESH SANTOSH CHAURASIYA</t>
        </is>
      </c>
      <c r="D44" s="47" t="inlineStr">
        <is>
          <t>D</t>
        </is>
      </c>
      <c r="E44" s="9" t="n">
        <v>38</v>
      </c>
      <c r="F44" s="9" t="n">
        <v>49</v>
      </c>
      <c r="G44" s="9" t="n"/>
      <c r="H44" s="18">
        <f>SUM(E44:F44)</f>
        <v/>
      </c>
      <c r="I44" s="18" t="n">
        <v>4</v>
      </c>
      <c r="J44" s="18">
        <f>IF(F44&lt;=17,"0",IF(H44&lt;=39,"0",IF(H44&lt;=49,"4",IF(H44&lt;=54,"5",IF(H44&lt;=59,"6",IF(H44&lt;=69,"7",IF(H44&lt;=79,"8",IF(H44&lt;=89,"9","10"))))))))</f>
        <v/>
      </c>
      <c r="K44" s="18">
        <f>IF(F44&lt;=17,"F",IF(H44&lt;=39,"F",IF(H44&lt;=49,"P",IF(H44&lt;=54,"C",IF(H44&lt;=59,"B",IF(H44&lt;=69,"B+",IF(H44&lt;=79,"A",IF(H44&lt;=89,"A+","O"))))))))</f>
        <v/>
      </c>
      <c r="L44" s="18">
        <f>I44*J44</f>
        <v/>
      </c>
      <c r="M44" s="18" t="n"/>
      <c r="N44" s="9" t="n">
        <v>29</v>
      </c>
      <c r="O44" s="9" t="n">
        <v>44</v>
      </c>
      <c r="P44" s="9" t="n"/>
      <c r="Q44" s="18">
        <f>SUM(N44:O44)</f>
        <v/>
      </c>
      <c r="R44" s="18" t="n">
        <v>4</v>
      </c>
      <c r="S44" s="18">
        <f>IF(O44&lt;=17,"0",IF(Q44&lt;=39,"4",IF(Q44&lt;=49,"4",IF(Q44&lt;=54,"5",IF(Q44&lt;=59,"6",IF(Q44&lt;=69,"7",IF(Q44&lt;=79,"8",IF(Q44&lt;=89,"9","10"))))))))</f>
        <v/>
      </c>
      <c r="T44" s="18">
        <f>IF(O44&lt;=17,"F",IF(Q44&lt;=39,"F",IF(Q44&lt;=49,"P",IF(Q44&lt;=54,"C",IF(Q44&lt;=59,"B",IF(Q44&lt;=69,"B+",IF(Q44&lt;=79,"A",IF(Q44&lt;=89,"A+","O"))))))))</f>
        <v/>
      </c>
      <c r="U44" s="18">
        <f>R44*S44</f>
        <v/>
      </c>
      <c r="V44" s="18" t="n"/>
      <c r="W44" s="9" t="n">
        <v>30</v>
      </c>
      <c r="X44" s="9" t="n">
        <v>48</v>
      </c>
      <c r="Y44" s="18" t="n"/>
      <c r="Z44" s="18">
        <f>SUM(W44:X44)</f>
        <v/>
      </c>
      <c r="AA44" s="18" t="n">
        <v>3</v>
      </c>
      <c r="AB44" s="18">
        <f>IF(X44&lt;=17,"0",IF(Z44&lt;=39,"0",IF(Z44&lt;=49,"4",IF(Z44&lt;=54,"5",IF(Z44&lt;=59,"6",IF(Z44&lt;=69,"7",IF(Z44&lt;=79,"8",IF(Z44&lt;=89,"9","10"))))))))</f>
        <v/>
      </c>
      <c r="AC44" s="18">
        <f>IF(X44&lt;=17,"F",IF(Z44&lt;=39,"F",IF(Z44&lt;=49,"P",IF(Z44&lt;=54,"C",IF(Z44&lt;=59,"B",IF(Z44&lt;=69,"B+",IF(Z44&lt;=79,"A",IF(Z44&lt;=89,"A+","O"))))))))</f>
        <v/>
      </c>
      <c r="AD44" s="18">
        <f>AA44*AB44</f>
        <v/>
      </c>
      <c r="AE44" s="18" t="n"/>
      <c r="AF44" s="46" t="n">
        <v>42</v>
      </c>
      <c r="AG44" s="46" t="n">
        <v>50</v>
      </c>
      <c r="AH44" s="9" t="n"/>
      <c r="AI44" s="18">
        <f>SUM(AF44:AG44)</f>
        <v/>
      </c>
      <c r="AJ44" s="18" t="n">
        <v>3</v>
      </c>
      <c r="AK44" s="18">
        <f>IF(AG44&lt;=17,"0",IF(AI44&lt;=39,"0",IF(AI44&lt;=49,"4",IF(AI44&lt;=54,"5",IF(AI44&lt;=59,"6",IF(AI44&lt;=69,"7",IF(AI44&lt;=79,"8",IF(AI44&lt;=89,"9","10"))))))))</f>
        <v/>
      </c>
      <c r="AL44" s="18">
        <f>IF(AG44&lt;=17,"F",IF(AI44&lt;=39,"F",IF(AI44&lt;=49,"P",IF(AI44&lt;=54,"C",IF(AI44&lt;=59,"B",IF(AI44&lt;=69,"B+",IF(AI44&lt;=79,"A",IF(AI44&lt;=89,"A+","O"))))))))</f>
        <v/>
      </c>
      <c r="AM44" s="18">
        <f>AJ44*AK44</f>
        <v/>
      </c>
      <c r="AN44" s="18" t="n"/>
      <c r="AO44" s="46" t="n">
        <v>36</v>
      </c>
      <c r="AP44" s="46" t="n">
        <v>50</v>
      </c>
      <c r="AQ44" s="9" t="n"/>
      <c r="AR44" s="18">
        <f>(AO44+AP44)</f>
        <v/>
      </c>
      <c r="AS44" s="18" t="n">
        <v>3</v>
      </c>
      <c r="AT44" s="18">
        <f>IF(AP44&lt;=17,"0",IF(AR44&lt;=39,"0",IF(AR44&lt;=49,"4",IF(AR44&lt;=54,"5",IF(AR44&lt;=59,"6",IF(AR44&lt;=69,"7",IF(AR44&lt;=79,"8",IF(AR44&lt;=89,"9","10"))))))))</f>
        <v/>
      </c>
      <c r="AU44" s="18">
        <f>IF(AP44&lt;=17,"F",IF(AR44&lt;=39,"F",IF(AR44&lt;=49,"P",IF(AR44&lt;=54,"C",IF(AR44&lt;=59,"B",IF(AR44&lt;=69,"B+",IF(AR44&lt;=79,"A",IF(AR44&lt;=89,"A+","O"))))))))</f>
        <v/>
      </c>
      <c r="AV44" s="18">
        <f>AS44*AT44</f>
        <v/>
      </c>
      <c r="AW44" s="18" t="n"/>
      <c r="AX44" s="9" t="n">
        <v>40</v>
      </c>
      <c r="AY44" s="9" t="n">
        <v>50</v>
      </c>
      <c r="AZ44" s="9" t="n"/>
      <c r="BA44" s="18">
        <f>(AX44+AY44)</f>
        <v/>
      </c>
      <c r="BB44" s="18" t="n">
        <v>1</v>
      </c>
      <c r="BC44" s="18">
        <f>IF(AY44&lt;=17,"0",IF(BA44&lt;=39,"0",IF(BA44&lt;=49,"4",IF(BA44&lt;=54,"5",IF(BA44&lt;=59,"6",IF(BA44&lt;=69,"7",IF(BA44&lt;=79,"8",IF(BA44&lt;=89,"9","10"))))))))</f>
        <v/>
      </c>
      <c r="BD44" s="18">
        <f>IF(AY44&lt;=17,"F",IF(BA44&lt;=39,"F",IF(BA44&lt;=49,"P",IF(BA44&lt;=54,"C",IF(BA44&lt;=59,"B",IF(BA44&lt;=69,"B+",IF(BA44&lt;=79,"A",IF(BA44&lt;=89,"A+","O"))))))))</f>
        <v/>
      </c>
      <c r="BE44" s="18">
        <f>BB44*BC44</f>
        <v/>
      </c>
      <c r="BF44" s="43" t="inlineStr">
        <is>
          <t>Samskrutika Kannada</t>
        </is>
      </c>
      <c r="BG44" s="9" t="n">
        <v>33</v>
      </c>
      <c r="BH44" s="9" t="n">
        <v>50</v>
      </c>
      <c r="BI44" s="9" t="n"/>
      <c r="BJ44" s="18">
        <f>(BG44+BH44)</f>
        <v/>
      </c>
      <c r="BK44" s="18" t="n">
        <v>1</v>
      </c>
      <c r="BL44" s="18">
        <f>IF(BH44&lt;=17,"0",IF(BJ44&lt;=39,"0",IF(BJ44&lt;=49,"4",IF(BJ44&lt;=54,"5",IF(BJ44&lt;=59,"6",IF(BJ44&lt;=69,"7",IF(BJ44&lt;=79,"8",IF(BJ44&lt;=89,"9","10"))))))))</f>
        <v/>
      </c>
      <c r="BM44" s="18">
        <f>IF(BH44&lt;=17,"F",IF(BJ44&lt;=39,"F",IF(BJ44&lt;=49,"P",IF(BJ44&lt;=54,"C",IF(BJ44&lt;=59,"B",IF(BJ44&lt;=69,"B+",IF(BJ44&lt;=79,"A",IF(BJ44&lt;=89,"A+","O"))))))))</f>
        <v/>
      </c>
      <c r="BN44" s="18">
        <f>BK44*BL44</f>
        <v/>
      </c>
      <c r="BO44" s="18" t="n"/>
      <c r="BP44" s="9" t="n">
        <v>27</v>
      </c>
      <c r="BQ44" s="9" t="n">
        <v>665</v>
      </c>
      <c r="BR44" s="9" t="n"/>
      <c r="BS44" s="18">
        <f>(BP44+BQ44)</f>
        <v/>
      </c>
      <c r="BT44" s="18" t="n">
        <v>1</v>
      </c>
      <c r="BU44" s="18">
        <f>IF(BQ44&lt;=17,"0",IF(BS44&lt;=39,"0",IF(BS44&lt;=49,"4",IF(BS44&lt;=54,"5",IF(BS44&lt;=59,"6",IF(BS44&lt;=69,"7",IF(BS44&lt;=79,"8",IF(BS44&lt;=89,"9","10"))))))))</f>
        <v/>
      </c>
      <c r="BV44" s="18">
        <f>IF(BQ44&lt;=17,"F",IF(BS44&lt;=39,"F",IF(BS44&lt;=49,"P",IF(BS44&lt;=54,"C",IF(BS44&lt;=59,"B",IF(BS44&lt;=69,"B+",IF(BS44&lt;=79,"A",IF(BS44&lt;=89,"A+","O"))))))))</f>
        <v/>
      </c>
      <c r="BW44" s="18">
        <f>BT44*BU44</f>
        <v/>
      </c>
      <c r="BX44" s="18" t="n"/>
      <c r="BY44" s="18" t="n"/>
      <c r="BZ44" s="18">
        <f>L44+U44+AD44+AM44+AV44+BE44+BN44+BW44</f>
        <v/>
      </c>
      <c r="CA44" s="19">
        <f>BZ44/20</f>
        <v/>
      </c>
      <c r="CB44" s="28">
        <f>IF(CA44&lt;4,"F",IF(BV44="F","F",IF(BM44="F","F",IF(BD44="F","F",IF(AU44="F","F",IF(AL44="F","F",IF(AC44="F","F",IF(T44="F","F",IF(K44="F","F",IF(CA44&lt;=5,"C",IF(CA44&lt;6,"B",IF(CA44&lt;7,"B+",IF(CA44&lt;8,"A",IF(CA44&lt;=9,"A+","O"))))))))))))))</f>
        <v/>
      </c>
      <c r="CC44" s="27">
        <f>CA44*9.5</f>
        <v/>
      </c>
      <c r="CD44" s="27" t="n"/>
      <c r="CE44" s="28">
        <f>SUM(BS44,BJ44,BA44,AR44,AI44,Z44,Q44,H44)</f>
        <v/>
      </c>
      <c r="CF44" s="28">
        <f>(CE44/800)*100</f>
        <v/>
      </c>
      <c r="CG44" s="27" t="n"/>
      <c r="CH44" s="27" t="n"/>
      <c r="CI44" s="27">
        <f>IF(CA44&lt;=4,"F",IF(CA44&lt;=6,"PASS",IF(CA44&lt;=6.5,"SC",IF(CA44&lt;=7.5,"FC",IF(CA44&lt;="10","FCD")))))</f>
        <v/>
      </c>
    </row>
    <row r="45" ht="15.75" customHeight="1">
      <c r="A45" s="35">
        <f>A44+1</f>
        <v/>
      </c>
      <c r="B45" s="111" t="inlineStr">
        <is>
          <t>1bi23cd038</t>
        </is>
      </c>
      <c r="C45" s="111" t="inlineStr">
        <is>
          <t>ROHAN S GOWDA</t>
        </is>
      </c>
      <c r="D45" s="47" t="inlineStr">
        <is>
          <t>D</t>
        </is>
      </c>
      <c r="E45" s="53" t="n">
        <v>10</v>
      </c>
      <c r="F45" s="53" t="n">
        <v>41</v>
      </c>
      <c r="G45" s="9" t="n"/>
      <c r="H45" s="18">
        <f>SUM(E45:F45)</f>
        <v/>
      </c>
      <c r="I45" s="18" t="n">
        <v>4</v>
      </c>
      <c r="J45" s="18">
        <f>IF(F45&lt;=17,"0",IF(H45&lt;=39,"0",IF(H45&lt;=49,"4",IF(H45&lt;=54,"5",IF(H45&lt;=59,"6",IF(H45&lt;=69,"7",IF(H45&lt;=79,"8",IF(H45&lt;=89,"9","10"))))))))</f>
        <v/>
      </c>
      <c r="K45" s="18">
        <f>IF(F45&lt;=17,"F",IF(H45&lt;=39,"F",IF(H45&lt;=49,"P",IF(H45&lt;=54,"C",IF(H45&lt;=59,"B",IF(H45&lt;=69,"B+",IF(H45&lt;=79,"A",IF(H45&lt;=89,"A+","O"))))))))</f>
        <v/>
      </c>
      <c r="L45" s="18">
        <f>I45*J45</f>
        <v/>
      </c>
      <c r="M45" s="18" t="n"/>
      <c r="N45" s="9" t="n">
        <v>12</v>
      </c>
      <c r="O45" s="9" t="n">
        <v>25</v>
      </c>
      <c r="P45" s="9" t="n"/>
      <c r="Q45" s="18">
        <f>SUM(N45:O45)</f>
        <v/>
      </c>
      <c r="R45" s="18" t="n">
        <v>4</v>
      </c>
      <c r="S45" s="18">
        <f>IF(O45&lt;=17,"0",IF(Q45&lt;=39,"4",IF(Q45&lt;=49,"4",IF(Q45&lt;=54,"5",IF(Q45&lt;=59,"6",IF(Q45&lt;=69,"7",IF(Q45&lt;=79,"8",IF(Q45&lt;=89,"9","10"))))))))</f>
        <v/>
      </c>
      <c r="T45" s="18">
        <f>IF(O45&lt;=17,"F",IF(Q45&lt;=39,"F",IF(Q45&lt;=49,"P",IF(Q45&lt;=54,"C",IF(Q45&lt;=59,"B",IF(Q45&lt;=69,"B+",IF(Q45&lt;=79,"A",IF(Q45&lt;=89,"A+","O"))))))))</f>
        <v/>
      </c>
      <c r="U45" s="18">
        <f>R45*S45</f>
        <v/>
      </c>
      <c r="V45" s="18" t="n"/>
      <c r="W45" s="9" t="n">
        <v>25</v>
      </c>
      <c r="X45" s="9" t="n">
        <v>44</v>
      </c>
      <c r="Y45" s="18" t="n"/>
      <c r="Z45" s="18">
        <f>SUM(W45:X45)</f>
        <v/>
      </c>
      <c r="AA45" s="18" t="n">
        <v>3</v>
      </c>
      <c r="AB45" s="18">
        <f>IF(X45&lt;=17,"0",IF(Z45&lt;=39,"0",IF(Z45&lt;=49,"4",IF(Z45&lt;=54,"5",IF(Z45&lt;=59,"6",IF(Z45&lt;=69,"7",IF(Z45&lt;=79,"8",IF(Z45&lt;=89,"9","10"))))))))</f>
        <v/>
      </c>
      <c r="AC45" s="18">
        <f>IF(X45&lt;=17,"F",IF(Z45&lt;=39,"F",IF(Z45&lt;=49,"P",IF(Z45&lt;=54,"C",IF(Z45&lt;=59,"B",IF(Z45&lt;=69,"B+",IF(Z45&lt;=79,"A",IF(Z45&lt;=89,"A+","O"))))))))</f>
        <v/>
      </c>
      <c r="AD45" s="18">
        <f>AA45*AB45</f>
        <v/>
      </c>
      <c r="AE45" s="18" t="n"/>
      <c r="AF45" s="46" t="n">
        <v>39</v>
      </c>
      <c r="AG45" s="46" t="n">
        <v>40</v>
      </c>
      <c r="AH45" s="9" t="n"/>
      <c r="AI45" s="18">
        <f>SUM(AF45:AG45)</f>
        <v/>
      </c>
      <c r="AJ45" s="18" t="n">
        <v>3</v>
      </c>
      <c r="AK45" s="18">
        <f>IF(AG45&lt;=17,"0",IF(AI45&lt;=39,"0",IF(AI45&lt;=49,"4",IF(AI45&lt;=54,"5",IF(AI45&lt;=59,"6",IF(AI45&lt;=69,"7",IF(AI45&lt;=79,"8",IF(AI45&lt;=89,"9","10"))))))))</f>
        <v/>
      </c>
      <c r="AL45" s="18">
        <f>IF(AG45&lt;=17,"F",IF(AI45&lt;=39,"F",IF(AI45&lt;=49,"P",IF(AI45&lt;=54,"C",IF(AI45&lt;=59,"B",IF(AI45&lt;=69,"B+",IF(AI45&lt;=79,"A",IF(AI45&lt;=89,"A+","O"))))))))</f>
        <v/>
      </c>
      <c r="AM45" s="18">
        <f>AJ45*AK45</f>
        <v/>
      </c>
      <c r="AN45" s="18" t="n"/>
      <c r="AO45" s="46" t="n">
        <v>25</v>
      </c>
      <c r="AP45" s="46" t="n">
        <v>46</v>
      </c>
      <c r="AQ45" s="9" t="n"/>
      <c r="AR45" s="18">
        <f>(AO45+AP45)</f>
        <v/>
      </c>
      <c r="AS45" s="18" t="n">
        <v>3</v>
      </c>
      <c r="AT45" s="18">
        <f>IF(AP45&lt;=17,"0",IF(AR45&lt;=39,"0",IF(AR45&lt;=49,"4",IF(AR45&lt;=54,"5",IF(AR45&lt;=59,"6",IF(AR45&lt;=69,"7",IF(AR45&lt;=79,"8",IF(AR45&lt;=89,"9","10"))))))))</f>
        <v/>
      </c>
      <c r="AU45" s="18">
        <f>IF(AP45&lt;=17,"F",IF(AR45&lt;=39,"F",IF(AR45&lt;=49,"P",IF(AR45&lt;=54,"C",IF(AR45&lt;=59,"B",IF(AR45&lt;=69,"B+",IF(AR45&lt;=79,"A",IF(AR45&lt;=89,"A+","O"))))))))</f>
        <v/>
      </c>
      <c r="AV45" s="18">
        <f>AS45*AT45</f>
        <v/>
      </c>
      <c r="AW45" s="18" t="n"/>
      <c r="AX45" s="9" t="n">
        <v>40</v>
      </c>
      <c r="AY45" s="9" t="n">
        <v>43</v>
      </c>
      <c r="AZ45" s="9" t="n"/>
      <c r="BA45" s="18">
        <f>(AX45+AY45)</f>
        <v/>
      </c>
      <c r="BB45" s="18" t="n">
        <v>1</v>
      </c>
      <c r="BC45" s="18">
        <f>IF(AY45&lt;=17,"0",IF(BA45&lt;=39,"0",IF(BA45&lt;=49,"4",IF(BA45&lt;=54,"5",IF(BA45&lt;=59,"6",IF(BA45&lt;=69,"7",IF(BA45&lt;=79,"8",IF(BA45&lt;=89,"9","10"))))))))</f>
        <v/>
      </c>
      <c r="BD45" s="18">
        <f>IF(AY45&lt;=17,"F",IF(BA45&lt;=39,"F",IF(BA45&lt;=49,"P",IF(BA45&lt;=54,"C",IF(BA45&lt;=59,"B",IF(BA45&lt;=69,"B+",IF(BA45&lt;=79,"A",IF(BA45&lt;=89,"A+","O"))))))))</f>
        <v/>
      </c>
      <c r="BE45" s="18">
        <f>BB45*BC45</f>
        <v/>
      </c>
      <c r="BF45" s="43" t="inlineStr">
        <is>
          <t>Samskrutika Kannada</t>
        </is>
      </c>
      <c r="BG45" s="9" t="n">
        <v>13</v>
      </c>
      <c r="BH45" s="9" t="n">
        <v>38</v>
      </c>
      <c r="BI45" s="9" t="n"/>
      <c r="BJ45" s="18">
        <f>(BG45+BH45)</f>
        <v/>
      </c>
      <c r="BK45" s="18" t="n">
        <v>1</v>
      </c>
      <c r="BL45" s="18">
        <f>IF(BH45&lt;=17,"0",IF(BJ45&lt;=39,"0",IF(BJ45&lt;=49,"4",IF(BJ45&lt;=54,"5",IF(BJ45&lt;=59,"6",IF(BJ45&lt;=69,"7",IF(BJ45&lt;=79,"8",IF(BJ45&lt;=89,"9","10"))))))))</f>
        <v/>
      </c>
      <c r="BM45" s="18">
        <f>IF(BH45&lt;=17,"F",IF(BJ45&lt;=39,"F",IF(BJ45&lt;=49,"P",IF(BJ45&lt;=54,"C",IF(BJ45&lt;=59,"B",IF(BJ45&lt;=69,"B+",IF(BJ45&lt;=79,"A",IF(BJ45&lt;=89,"A+","O"))))))))</f>
        <v/>
      </c>
      <c r="BN45" s="18">
        <f>BK45*BL45</f>
        <v/>
      </c>
      <c r="BO45" s="18" t="n"/>
      <c r="BP45" s="9" t="n">
        <v>14</v>
      </c>
      <c r="BQ45" s="9" t="n">
        <v>492</v>
      </c>
      <c r="BR45" s="9" t="n"/>
      <c r="BS45" s="18">
        <f>(BP45+BQ45)</f>
        <v/>
      </c>
      <c r="BT45" s="18" t="n">
        <v>1</v>
      </c>
      <c r="BU45" s="18">
        <f>IF(BQ45&lt;=17,"0",IF(BS45&lt;=39,"0",IF(BS45&lt;=49,"4",IF(BS45&lt;=54,"5",IF(BS45&lt;=59,"6",IF(BS45&lt;=69,"7",IF(BS45&lt;=79,"8",IF(BS45&lt;=89,"9","10"))))))))</f>
        <v/>
      </c>
      <c r="BV45" s="18">
        <f>IF(BQ45&lt;=17,"F",IF(BS45&lt;=39,"F",IF(BS45&lt;=49,"P",IF(BS45&lt;=54,"C",IF(BS45&lt;=59,"B",IF(BS45&lt;=69,"B+",IF(BS45&lt;=79,"A",IF(BS45&lt;=89,"A+","O"))))))))</f>
        <v/>
      </c>
      <c r="BW45" s="18">
        <f>BT45*BU45</f>
        <v/>
      </c>
      <c r="BX45" s="18" t="n"/>
      <c r="BY45" s="18" t="n"/>
      <c r="BZ45" s="18">
        <f>L45+U45+AD45+AM45+AV45+BE45+BN45+BW45</f>
        <v/>
      </c>
      <c r="CA45" s="19">
        <f>BZ45/20</f>
        <v/>
      </c>
      <c r="CB45" s="28">
        <f>IF(CA45&lt;4,"F",IF(BV45="F","F",IF(BM45="F","F",IF(BD45="F","F",IF(AU45="F","F",IF(AL45="F","F",IF(AC45="F","F",IF(T45="F","F",IF(K45="F","F",IF(CA45&lt;=5,"C",IF(CA45&lt;6,"B",IF(CA45&lt;7,"B+",IF(CA45&lt;8,"A",IF(CA45&lt;=9,"A+","O"))))))))))))))</f>
        <v/>
      </c>
      <c r="CC45" s="27">
        <f>CA45*9.5</f>
        <v/>
      </c>
      <c r="CD45" s="27" t="n"/>
      <c r="CE45" s="28">
        <f>SUM(BS45,BJ45,BA45,AR45,AI45,Z45,Q45,H45)</f>
        <v/>
      </c>
      <c r="CF45" s="28">
        <f>(CE45/800)*100</f>
        <v/>
      </c>
      <c r="CG45" s="27" t="n"/>
      <c r="CH45" s="27" t="n"/>
      <c r="CI45" s="27">
        <f>IF(CA45&lt;=4,"F",IF(CA45&lt;=6,"PASS",IF(CA45&lt;=6.5,"SC",IF(CA45&lt;=7.5,"FC",IF(CA45&lt;="10","FCD")))))</f>
        <v/>
      </c>
    </row>
    <row r="46" ht="15.75" customHeight="1">
      <c r="A46" s="35">
        <f>A45+1</f>
        <v/>
      </c>
      <c r="B46" s="111" t="inlineStr">
        <is>
          <t>1bi23cd039</t>
        </is>
      </c>
      <c r="C46" s="111" t="inlineStr">
        <is>
          <t>ROHIT R KASHYAP</t>
        </is>
      </c>
      <c r="D46" s="47" t="inlineStr">
        <is>
          <t>D</t>
        </is>
      </c>
      <c r="E46" s="9" t="n">
        <v>27</v>
      </c>
      <c r="F46" s="9" t="n">
        <v>50</v>
      </c>
      <c r="G46" s="9" t="n"/>
      <c r="H46" s="18">
        <f>SUM(E46:F46)</f>
        <v/>
      </c>
      <c r="I46" s="18" t="n">
        <v>4</v>
      </c>
      <c r="J46" s="18">
        <f>IF(F46&lt;=17,"0",IF(H46&lt;=39,"0",IF(H46&lt;=49,"4",IF(H46&lt;=54,"5",IF(H46&lt;=59,"6",IF(H46&lt;=69,"7",IF(H46&lt;=79,"8",IF(H46&lt;=89,"9","10"))))))))</f>
        <v/>
      </c>
      <c r="K46" s="18">
        <f>IF(F46&lt;=17,"F",IF(H46&lt;=39,"F",IF(H46&lt;=49,"P",IF(H46&lt;=54,"C",IF(H46&lt;=59,"B",IF(H46&lt;=69,"B+",IF(H46&lt;=79,"A",IF(H46&lt;=89,"A+","O"))))))))</f>
        <v/>
      </c>
      <c r="L46" s="18">
        <f>I46*J46</f>
        <v/>
      </c>
      <c r="M46" s="18" t="n"/>
      <c r="N46" s="9" t="n">
        <v>30</v>
      </c>
      <c r="O46" s="9" t="n">
        <v>45</v>
      </c>
      <c r="P46" s="9" t="n"/>
      <c r="Q46" s="18">
        <f>SUM(N46:O46)</f>
        <v/>
      </c>
      <c r="R46" s="18" t="n">
        <v>4</v>
      </c>
      <c r="S46" s="18">
        <f>IF(O46&lt;=17,"0",IF(Q46&lt;=39,"4",IF(Q46&lt;=49,"4",IF(Q46&lt;=54,"5",IF(Q46&lt;=59,"6",IF(Q46&lt;=69,"7",IF(Q46&lt;=79,"8",IF(Q46&lt;=89,"9","10"))))))))</f>
        <v/>
      </c>
      <c r="T46" s="18">
        <f>IF(O46&lt;=17,"F",IF(Q46&lt;=39,"F",IF(Q46&lt;=49,"P",IF(Q46&lt;=54,"C",IF(Q46&lt;=59,"B",IF(Q46&lt;=69,"B+",IF(Q46&lt;=79,"A",IF(Q46&lt;=89,"A+","O"))))))))</f>
        <v/>
      </c>
      <c r="U46" s="18">
        <f>R46*S46</f>
        <v/>
      </c>
      <c r="V46" s="18" t="n"/>
      <c r="W46" s="9" t="n">
        <v>40</v>
      </c>
      <c r="X46" s="9" t="n">
        <v>44</v>
      </c>
      <c r="Y46" s="18" t="n"/>
      <c r="Z46" s="18">
        <f>SUM(W46:X46)</f>
        <v/>
      </c>
      <c r="AA46" s="18" t="n">
        <v>3</v>
      </c>
      <c r="AB46" s="18">
        <f>IF(X46&lt;=17,"0",IF(Z46&lt;=39,"0",IF(Z46&lt;=49,"4",IF(Z46&lt;=54,"5",IF(Z46&lt;=59,"6",IF(Z46&lt;=69,"7",IF(Z46&lt;=79,"8",IF(Z46&lt;=89,"9","10"))))))))</f>
        <v/>
      </c>
      <c r="AC46" s="18">
        <f>IF(X46&lt;=17,"F",IF(Z46&lt;=39,"F",IF(Z46&lt;=49,"P",IF(Z46&lt;=54,"C",IF(Z46&lt;=59,"B",IF(Z46&lt;=69,"B+",IF(Z46&lt;=79,"A",IF(Z46&lt;=89,"A+","O"))))))))</f>
        <v/>
      </c>
      <c r="AD46" s="18">
        <f>AA46*AB46</f>
        <v/>
      </c>
      <c r="AE46" s="18" t="n"/>
      <c r="AF46" s="46" t="n">
        <v>44</v>
      </c>
      <c r="AG46" s="46" t="n">
        <v>40</v>
      </c>
      <c r="AH46" s="9" t="n"/>
      <c r="AI46" s="18">
        <f>SUM(AF46:AG46)</f>
        <v/>
      </c>
      <c r="AJ46" s="18" t="n">
        <v>3</v>
      </c>
      <c r="AK46" s="18">
        <f>IF(AG46&lt;=17,"0",IF(AI46&lt;=39,"0",IF(AI46&lt;=49,"4",IF(AI46&lt;=54,"5",IF(AI46&lt;=59,"6",IF(AI46&lt;=69,"7",IF(AI46&lt;=79,"8",IF(AI46&lt;=89,"9","10"))))))))</f>
        <v/>
      </c>
      <c r="AL46" s="18">
        <f>IF(AG46&lt;=17,"F",IF(AI46&lt;=39,"F",IF(AI46&lt;=49,"P",IF(AI46&lt;=54,"C",IF(AI46&lt;=59,"B",IF(AI46&lt;=69,"B+",IF(AI46&lt;=79,"A",IF(AI46&lt;=89,"A+","O"))))))))</f>
        <v/>
      </c>
      <c r="AM46" s="18">
        <f>AJ46*AK46</f>
        <v/>
      </c>
      <c r="AN46" s="18" t="n"/>
      <c r="AO46" s="46" t="n">
        <v>25</v>
      </c>
      <c r="AP46" s="46" t="n">
        <v>46</v>
      </c>
      <c r="AQ46" s="9" t="n"/>
      <c r="AR46" s="18">
        <f>(AO46+AP46)</f>
        <v/>
      </c>
      <c r="AS46" s="18" t="n">
        <v>3</v>
      </c>
      <c r="AT46" s="18">
        <f>IF(AP46&lt;=17,"0",IF(AR46&lt;=39,"0",IF(AR46&lt;=49,"4",IF(AR46&lt;=54,"5",IF(AR46&lt;=59,"6",IF(AR46&lt;=69,"7",IF(AR46&lt;=79,"8",IF(AR46&lt;=89,"9","10"))))))))</f>
        <v/>
      </c>
      <c r="AU46" s="18">
        <f>IF(AP46&lt;=17,"F",IF(AR46&lt;=39,"F",IF(AR46&lt;=49,"P",IF(AR46&lt;=54,"C",IF(AR46&lt;=59,"B",IF(AR46&lt;=69,"B+",IF(AR46&lt;=79,"A",IF(AR46&lt;=89,"A+","O"))))))))</f>
        <v/>
      </c>
      <c r="AV46" s="18">
        <f>AS46*AT46</f>
        <v/>
      </c>
      <c r="AW46" s="18" t="n"/>
      <c r="AX46" s="9" t="n">
        <v>36</v>
      </c>
      <c r="AY46" s="9" t="n">
        <v>43</v>
      </c>
      <c r="AZ46" s="9" t="n"/>
      <c r="BA46" s="18">
        <f>(AX46+AY46)</f>
        <v/>
      </c>
      <c r="BB46" s="18" t="n">
        <v>1</v>
      </c>
      <c r="BC46" s="18">
        <f>IF(AY46&lt;=17,"0",IF(BA46&lt;=39,"0",IF(BA46&lt;=49,"4",IF(BA46&lt;=54,"5",IF(BA46&lt;=59,"6",IF(BA46&lt;=69,"7",IF(BA46&lt;=79,"8",IF(BA46&lt;=89,"9","10"))))))))</f>
        <v/>
      </c>
      <c r="BD46" s="18">
        <f>IF(AY46&lt;=17,"F",IF(BA46&lt;=39,"F",IF(BA46&lt;=49,"P",IF(BA46&lt;=54,"C",IF(BA46&lt;=59,"B",IF(BA46&lt;=69,"B+",IF(BA46&lt;=79,"A",IF(BA46&lt;=89,"A+","O"))))))))</f>
        <v/>
      </c>
      <c r="BE46" s="18">
        <f>BB46*BC46</f>
        <v/>
      </c>
      <c r="BF46" s="43" t="inlineStr">
        <is>
          <t>Samskrutika Kannada</t>
        </is>
      </c>
      <c r="BG46" s="9" t="n">
        <v>29</v>
      </c>
      <c r="BH46" s="9" t="n">
        <v>42</v>
      </c>
      <c r="BI46" s="9" t="n"/>
      <c r="BJ46" s="18">
        <f>(BG46+BH46)</f>
        <v/>
      </c>
      <c r="BK46" s="18" t="n">
        <v>1</v>
      </c>
      <c r="BL46" s="18">
        <f>IF(BH46&lt;=17,"0",IF(BJ46&lt;=39,"0",IF(BJ46&lt;=49,"4",IF(BJ46&lt;=54,"5",IF(BJ46&lt;=59,"6",IF(BJ46&lt;=69,"7",IF(BJ46&lt;=79,"8",IF(BJ46&lt;=89,"9","10"))))))))</f>
        <v/>
      </c>
      <c r="BM46" s="18">
        <f>IF(BH46&lt;=17,"F",IF(BJ46&lt;=39,"F",IF(BJ46&lt;=49,"P",IF(BJ46&lt;=54,"C",IF(BJ46&lt;=59,"B",IF(BJ46&lt;=69,"B+",IF(BJ46&lt;=79,"A",IF(BJ46&lt;=89,"A+","O"))))))))</f>
        <v/>
      </c>
      <c r="BN46" s="18">
        <f>BK46*BL46</f>
        <v/>
      </c>
      <c r="BO46" s="18" t="n"/>
      <c r="BP46" s="9" t="n">
        <v>29</v>
      </c>
      <c r="BQ46" s="9" t="n">
        <v>614</v>
      </c>
      <c r="BR46" s="9" t="n"/>
      <c r="BS46" s="18">
        <f>(BP46+BQ46)</f>
        <v/>
      </c>
      <c r="BT46" s="18" t="n">
        <v>1</v>
      </c>
      <c r="BU46" s="18">
        <f>IF(BQ46&lt;=17,"0",IF(BS46&lt;=39,"0",IF(BS46&lt;=49,"4",IF(BS46&lt;=54,"5",IF(BS46&lt;=59,"6",IF(BS46&lt;=69,"7",IF(BS46&lt;=79,"8",IF(BS46&lt;=89,"9","10"))))))))</f>
        <v/>
      </c>
      <c r="BV46" s="18">
        <f>IF(BQ46&lt;=17,"F",IF(BS46&lt;=39,"F",IF(BS46&lt;=49,"P",IF(BS46&lt;=54,"C",IF(BS46&lt;=59,"B",IF(BS46&lt;=69,"B+",IF(BS46&lt;=79,"A",IF(BS46&lt;=89,"A+","O"))))))))</f>
        <v/>
      </c>
      <c r="BW46" s="18">
        <f>BT46*BU46</f>
        <v/>
      </c>
      <c r="BX46" s="18" t="n"/>
      <c r="BY46" s="18" t="n"/>
      <c r="BZ46" s="18">
        <f>L46+U46+AD46+AM46+AV46+BE46+BN46+BW46</f>
        <v/>
      </c>
      <c r="CA46" s="19">
        <f>BZ46/20</f>
        <v/>
      </c>
      <c r="CB46" s="28">
        <f>IF(CA46&lt;4,"F",IF(BV46="F","F",IF(BM46="F","F",IF(BD46="F","F",IF(AU46="F","F",IF(AL46="F","F",IF(AC46="F","F",IF(T46="F","F",IF(K46="F","F",IF(CA46&lt;=5,"C",IF(CA46&lt;6,"B",IF(CA46&lt;7,"B+",IF(CA46&lt;8,"A",IF(CA46&lt;=9,"A+","O"))))))))))))))</f>
        <v/>
      </c>
      <c r="CC46" s="27">
        <f>CA46*9.5</f>
        <v/>
      </c>
      <c r="CD46" s="27" t="n"/>
      <c r="CE46" s="28">
        <f>SUM(BS46,BJ46,BA46,AR46,AI46,Z46,Q46,H46)</f>
        <v/>
      </c>
      <c r="CF46" s="28">
        <f>(CE46/800)*100</f>
        <v/>
      </c>
      <c r="CG46" s="27" t="n"/>
      <c r="CH46" s="27" t="n"/>
      <c r="CI46" s="27">
        <f>IF(CA46&lt;=4,"F",IF(CA46&lt;=6,"PASS",IF(CA46&lt;=6.5,"SC",IF(CA46&lt;=7.5,"FC",IF(CA46&lt;="10","FCD")))))</f>
        <v/>
      </c>
    </row>
    <row r="47" ht="15.75" customHeight="1">
      <c r="A47" s="35">
        <f>A46+1</f>
        <v/>
      </c>
      <c r="B47" s="111" t="inlineStr">
        <is>
          <t>1bi23cd040</t>
        </is>
      </c>
      <c r="C47" s="111" t="inlineStr">
        <is>
          <t>SALAGALLA CHETAN</t>
        </is>
      </c>
      <c r="D47" s="47" t="inlineStr">
        <is>
          <t>D</t>
        </is>
      </c>
      <c r="E47" s="9" t="n">
        <v>20</v>
      </c>
      <c r="F47" s="9" t="n">
        <v>44</v>
      </c>
      <c r="G47" s="9" t="n"/>
      <c r="H47" s="18">
        <f>SUM(E47:F47)</f>
        <v/>
      </c>
      <c r="I47" s="18" t="n">
        <v>4</v>
      </c>
      <c r="J47" s="18">
        <f>IF(F47&lt;=17,"0",IF(H47&lt;=39,"0",IF(H47&lt;=49,"4",IF(H47&lt;=54,"5",IF(H47&lt;=59,"6",IF(H47&lt;=69,"7",IF(H47&lt;=79,"8",IF(H47&lt;=89,"9","10"))))))))</f>
        <v/>
      </c>
      <c r="K47" s="18">
        <f>IF(F47&lt;=17,"F",IF(H47&lt;=39,"F",IF(H47&lt;=49,"P",IF(H47&lt;=54,"C",IF(H47&lt;=59,"B",IF(H47&lt;=69,"B+",IF(H47&lt;=79,"A",IF(H47&lt;=89,"A+","O"))))))))</f>
        <v/>
      </c>
      <c r="L47" s="18">
        <f>I47*J47</f>
        <v/>
      </c>
      <c r="M47" s="18" t="n"/>
      <c r="N47" s="9" t="n">
        <v>22</v>
      </c>
      <c r="O47" s="9" t="n">
        <v>41</v>
      </c>
      <c r="P47" s="9" t="n"/>
      <c r="Q47" s="18">
        <f>SUM(N47:O47)</f>
        <v/>
      </c>
      <c r="R47" s="18" t="n">
        <v>4</v>
      </c>
      <c r="S47" s="18">
        <f>IF(O47&lt;=17,"0",IF(Q47&lt;=39,"4",IF(Q47&lt;=49,"4",IF(Q47&lt;=54,"5",IF(Q47&lt;=59,"6",IF(Q47&lt;=69,"7",IF(Q47&lt;=79,"8",IF(Q47&lt;=89,"9","10"))))))))</f>
        <v/>
      </c>
      <c r="T47" s="18">
        <f>IF(O47&lt;=17,"F",IF(Q47&lt;=39,"F",IF(Q47&lt;=49,"P",IF(Q47&lt;=54,"C",IF(Q47&lt;=59,"B",IF(Q47&lt;=69,"B+",IF(Q47&lt;=79,"A",IF(Q47&lt;=89,"A+","O"))))))))</f>
        <v/>
      </c>
      <c r="U47" s="18">
        <f>R47*S47</f>
        <v/>
      </c>
      <c r="V47" s="18" t="n"/>
      <c r="W47" s="9" t="n">
        <v>33</v>
      </c>
      <c r="X47" s="9" t="n">
        <v>42</v>
      </c>
      <c r="Y47" s="18" t="n"/>
      <c r="Z47" s="18">
        <f>SUM(W47:X47)</f>
        <v/>
      </c>
      <c r="AA47" s="18" t="n">
        <v>3</v>
      </c>
      <c r="AB47" s="18">
        <f>IF(X47&lt;=17,"0",IF(Z47&lt;=39,"0",IF(Z47&lt;=49,"4",IF(Z47&lt;=54,"5",IF(Z47&lt;=59,"6",IF(Z47&lt;=69,"7",IF(Z47&lt;=79,"8",IF(Z47&lt;=89,"9","10"))))))))</f>
        <v/>
      </c>
      <c r="AC47" s="18">
        <f>IF(X47&lt;=17,"F",IF(Z47&lt;=39,"F",IF(Z47&lt;=49,"P",IF(Z47&lt;=54,"C",IF(Z47&lt;=59,"B",IF(Z47&lt;=69,"B+",IF(Z47&lt;=79,"A",IF(Z47&lt;=89,"A+","O"))))))))</f>
        <v/>
      </c>
      <c r="AD47" s="18">
        <f>AA47*AB47</f>
        <v/>
      </c>
      <c r="AE47" s="18" t="n"/>
      <c r="AF47" s="46" t="n">
        <v>36</v>
      </c>
      <c r="AG47" s="46" t="n">
        <v>39</v>
      </c>
      <c r="AH47" s="9" t="n"/>
      <c r="AI47" s="18">
        <f>SUM(AF47:AG47)</f>
        <v/>
      </c>
      <c r="AJ47" s="18" t="n">
        <v>3</v>
      </c>
      <c r="AK47" s="18">
        <f>IF(AG47&lt;=17,"0",IF(AI47&lt;=39,"0",IF(AI47&lt;=49,"4",IF(AI47&lt;=54,"5",IF(AI47&lt;=59,"6",IF(AI47&lt;=69,"7",IF(AI47&lt;=79,"8",IF(AI47&lt;=89,"9","10"))))))))</f>
        <v/>
      </c>
      <c r="AL47" s="18">
        <f>IF(AG47&lt;=17,"F",IF(AI47&lt;=39,"F",IF(AI47&lt;=49,"P",IF(AI47&lt;=54,"C",IF(AI47&lt;=59,"B",IF(AI47&lt;=69,"B+",IF(AI47&lt;=79,"A",IF(AI47&lt;=89,"A+","O"))))))))</f>
        <v/>
      </c>
      <c r="AM47" s="18">
        <f>AJ47*AK47</f>
        <v/>
      </c>
      <c r="AN47" s="18" t="n"/>
      <c r="AO47" s="46" t="n">
        <v>20</v>
      </c>
      <c r="AP47" s="46" t="n">
        <v>47</v>
      </c>
      <c r="AQ47" s="9" t="n"/>
      <c r="AR47" s="18">
        <f>(AO47+AP47)</f>
        <v/>
      </c>
      <c r="AS47" s="18" t="n">
        <v>3</v>
      </c>
      <c r="AT47" s="18">
        <f>IF(AP47&lt;=17,"0",IF(AR47&lt;=39,"0",IF(AR47&lt;=49,"4",IF(AR47&lt;=54,"5",IF(AR47&lt;=59,"6",IF(AR47&lt;=69,"7",IF(AR47&lt;=79,"8",IF(AR47&lt;=89,"9","10"))))))))</f>
        <v/>
      </c>
      <c r="AU47" s="18">
        <f>IF(AP47&lt;=17,"F",IF(AR47&lt;=39,"F",IF(AR47&lt;=49,"P",IF(AR47&lt;=54,"C",IF(AR47&lt;=59,"B",IF(AR47&lt;=69,"B+",IF(AR47&lt;=79,"A",IF(AR47&lt;=89,"A+","O"))))))))</f>
        <v/>
      </c>
      <c r="AV47" s="18">
        <f>AS47*AT47</f>
        <v/>
      </c>
      <c r="AW47" s="18" t="n"/>
      <c r="AX47" s="9" t="n">
        <v>37</v>
      </c>
      <c r="AY47" s="9" t="n">
        <v>45</v>
      </c>
      <c r="AZ47" s="9" t="n"/>
      <c r="BA47" s="18">
        <f>(AX47+AY47)</f>
        <v/>
      </c>
      <c r="BB47" s="18" t="n">
        <v>1</v>
      </c>
      <c r="BC47" s="18">
        <f>IF(AY47&lt;=17,"0",IF(BA47&lt;=39,"0",IF(BA47&lt;=49,"4",IF(BA47&lt;=54,"5",IF(BA47&lt;=59,"6",IF(BA47&lt;=69,"7",IF(BA47&lt;=79,"8",IF(BA47&lt;=89,"9","10"))))))))</f>
        <v/>
      </c>
      <c r="BD47" s="18">
        <f>IF(AY47&lt;=17,"F",IF(BA47&lt;=39,"F",IF(BA47&lt;=49,"P",IF(BA47&lt;=54,"C",IF(BA47&lt;=59,"B",IF(BA47&lt;=69,"B+",IF(BA47&lt;=79,"A",IF(BA47&lt;=89,"A+","O"))))))))</f>
        <v/>
      </c>
      <c r="BE47" s="18">
        <f>BB47*BC47</f>
        <v/>
      </c>
      <c r="BF47" s="43" t="inlineStr">
        <is>
          <t>Balake Kannada</t>
        </is>
      </c>
      <c r="BG47" s="9" t="n">
        <v>20</v>
      </c>
      <c r="BH47" s="9" t="n">
        <v>41</v>
      </c>
      <c r="BI47" s="9" t="n"/>
      <c r="BJ47" s="18">
        <f>(BG47+BH47)</f>
        <v/>
      </c>
      <c r="BK47" s="18" t="n">
        <v>1</v>
      </c>
      <c r="BL47" s="18">
        <f>IF(BH47&lt;=17,"0",IF(BJ47&lt;=39,"0",IF(BJ47&lt;=49,"4",IF(BJ47&lt;=54,"5",IF(BJ47&lt;=59,"6",IF(BJ47&lt;=69,"7",IF(BJ47&lt;=79,"8",IF(BJ47&lt;=89,"9","10"))))))))</f>
        <v/>
      </c>
      <c r="BM47" s="18">
        <f>IF(BH47&lt;=17,"F",IF(BJ47&lt;=39,"F",IF(BJ47&lt;=49,"P",IF(BJ47&lt;=54,"C",IF(BJ47&lt;=59,"B",IF(BJ47&lt;=69,"B+",IF(BJ47&lt;=79,"A",IF(BJ47&lt;=89,"A+","O"))))))))</f>
        <v/>
      </c>
      <c r="BN47" s="18">
        <f>BK47*BL47</f>
        <v/>
      </c>
      <c r="BO47" s="18" t="n"/>
      <c r="BP47" s="9" t="n">
        <v>20</v>
      </c>
      <c r="BQ47" s="9" t="n">
        <v>546</v>
      </c>
      <c r="BR47" s="9" t="n"/>
      <c r="BS47" s="18">
        <f>(BP47+BQ47)</f>
        <v/>
      </c>
      <c r="BT47" s="18" t="n">
        <v>1</v>
      </c>
      <c r="BU47" s="18">
        <f>IF(BQ47&lt;=17,"0",IF(BS47&lt;=39,"0",IF(BS47&lt;=49,"4",IF(BS47&lt;=54,"5",IF(BS47&lt;=59,"6",IF(BS47&lt;=69,"7",IF(BS47&lt;=79,"8",IF(BS47&lt;=89,"9","10"))))))))</f>
        <v/>
      </c>
      <c r="BV47" s="18">
        <f>IF(BQ47&lt;=17,"F",IF(BS47&lt;=39,"F",IF(BS47&lt;=49,"P",IF(BS47&lt;=54,"C",IF(BS47&lt;=59,"B",IF(BS47&lt;=69,"B+",IF(BS47&lt;=79,"A",IF(BS47&lt;=89,"A+","O"))))))))</f>
        <v/>
      </c>
      <c r="BW47" s="18">
        <f>BT47*BU47</f>
        <v/>
      </c>
      <c r="BX47" s="18" t="n"/>
      <c r="BY47" s="18" t="n"/>
      <c r="BZ47" s="18">
        <f>L47+U47+AD47+AM47+AV47+BE47+BN47+BW47</f>
        <v/>
      </c>
      <c r="CA47" s="19">
        <f>BZ47/20</f>
        <v/>
      </c>
      <c r="CB47" s="28">
        <f>IF(CA47&lt;4,"F",IF(BV47="F","F",IF(BM47="F","F",IF(BD47="F","F",IF(AU47="F","F",IF(AL47="F","F",IF(AC47="F","F",IF(T47="F","F",IF(K47="F","F",IF(CA47&lt;=5,"C",IF(CA47&lt;6,"B",IF(CA47&lt;7,"B+",IF(CA47&lt;8,"A",IF(CA47&lt;=9,"A+","O"))))))))))))))</f>
        <v/>
      </c>
      <c r="CC47" s="27">
        <f>CA47*9.5</f>
        <v/>
      </c>
      <c r="CD47" s="27" t="n"/>
      <c r="CE47" s="28">
        <f>SUM(BS47,BJ47,BA47,AR47,AI47,Z47,Q47,H47)</f>
        <v/>
      </c>
      <c r="CF47" s="28">
        <f>(CE47/800)*100</f>
        <v/>
      </c>
      <c r="CG47" s="27" t="n"/>
      <c r="CH47" s="27" t="n"/>
      <c r="CI47" s="27">
        <f>IF(CA47&lt;=4,"F",IF(CA47&lt;=6,"PASS",IF(CA47&lt;=6.5,"SC",IF(CA47&lt;=7.5,"FC",IF(CA47&lt;="10","FCD")))))</f>
        <v/>
      </c>
    </row>
    <row r="48" ht="15.75" customHeight="1">
      <c r="A48" s="35">
        <f>A47+1</f>
        <v/>
      </c>
      <c r="B48" s="111" t="inlineStr">
        <is>
          <t>1bi23cd041</t>
        </is>
      </c>
      <c r="C48" s="111" t="inlineStr">
        <is>
          <t>SAMARTH B H</t>
        </is>
      </c>
      <c r="D48" s="47" t="inlineStr">
        <is>
          <t>D</t>
        </is>
      </c>
      <c r="E48" s="9" t="n">
        <v>40</v>
      </c>
      <c r="F48" s="9" t="n">
        <v>48</v>
      </c>
      <c r="G48" s="9" t="n"/>
      <c r="H48" s="18">
        <f>SUM(E48:F48)</f>
        <v/>
      </c>
      <c r="I48" s="18" t="n">
        <v>4</v>
      </c>
      <c r="J48" s="18">
        <f>IF(F48&lt;=17,"0",IF(H48&lt;=39,"0",IF(H48&lt;=49,"4",IF(H48&lt;=54,"5",IF(H48&lt;=59,"6",IF(H48&lt;=69,"7",IF(H48&lt;=79,"8",IF(H48&lt;=89,"9","10"))))))))</f>
        <v/>
      </c>
      <c r="K48" s="18">
        <f>IF(F48&lt;=17,"F",IF(H48&lt;=39,"F",IF(H48&lt;=49,"P",IF(H48&lt;=54,"C",IF(H48&lt;=59,"B",IF(H48&lt;=69,"B+",IF(H48&lt;=79,"A",IF(H48&lt;=89,"A+","O"))))))))</f>
        <v/>
      </c>
      <c r="L48" s="18">
        <f>I48*J48</f>
        <v/>
      </c>
      <c r="M48" s="18" t="n"/>
      <c r="N48" s="9" t="n">
        <v>39</v>
      </c>
      <c r="O48" s="9" t="n">
        <v>48</v>
      </c>
      <c r="P48" s="9" t="n"/>
      <c r="Q48" s="18">
        <f>SUM(N48:O48)</f>
        <v/>
      </c>
      <c r="R48" s="18" t="n">
        <v>4</v>
      </c>
      <c r="S48" s="18">
        <f>IF(O48&lt;=17,"0",IF(Q48&lt;=39,"4",IF(Q48&lt;=49,"4",IF(Q48&lt;=54,"5",IF(Q48&lt;=59,"6",IF(Q48&lt;=69,"7",IF(Q48&lt;=79,"8",IF(Q48&lt;=89,"9","10"))))))))</f>
        <v/>
      </c>
      <c r="T48" s="18">
        <f>IF(O48&lt;=17,"F",IF(Q48&lt;=39,"F",IF(Q48&lt;=49,"P",IF(Q48&lt;=54,"C",IF(Q48&lt;=59,"B",IF(Q48&lt;=69,"B+",IF(Q48&lt;=79,"A",IF(Q48&lt;=89,"A+","O"))))))))</f>
        <v/>
      </c>
      <c r="U48" s="18">
        <f>R48*S48</f>
        <v/>
      </c>
      <c r="V48" s="18" t="n"/>
      <c r="W48" s="9" t="n">
        <v>49</v>
      </c>
      <c r="X48" s="9" t="n">
        <v>47</v>
      </c>
      <c r="Y48" s="18" t="n"/>
      <c r="Z48" s="18">
        <f>SUM(W48:X48)</f>
        <v/>
      </c>
      <c r="AA48" s="18" t="n">
        <v>3</v>
      </c>
      <c r="AB48" s="18">
        <f>IF(X48&lt;=17,"0",IF(Z48&lt;=39,"0",IF(Z48&lt;=49,"4",IF(Z48&lt;=54,"5",IF(Z48&lt;=59,"6",IF(Z48&lt;=69,"7",IF(Z48&lt;=79,"8",IF(Z48&lt;=89,"9","10"))))))))</f>
        <v/>
      </c>
      <c r="AC48" s="18">
        <f>IF(X48&lt;=17,"F",IF(Z48&lt;=39,"F",IF(Z48&lt;=49,"P",IF(Z48&lt;=54,"C",IF(Z48&lt;=59,"B",IF(Z48&lt;=69,"B+",IF(Z48&lt;=79,"A",IF(Z48&lt;=89,"A+","O"))))))))</f>
        <v/>
      </c>
      <c r="AD48" s="18">
        <f>AA48*AB48</f>
        <v/>
      </c>
      <c r="AE48" s="18" t="n"/>
      <c r="AF48" s="46" t="n">
        <v>44</v>
      </c>
      <c r="AG48" s="46" t="n">
        <v>43</v>
      </c>
      <c r="AH48" s="9" t="n"/>
      <c r="AI48" s="18">
        <f>SUM(AF48:AG48)</f>
        <v/>
      </c>
      <c r="AJ48" s="18" t="n">
        <v>3</v>
      </c>
      <c r="AK48" s="18">
        <f>IF(AG48&lt;=17,"0",IF(AI48&lt;=39,"0",IF(AI48&lt;=49,"4",IF(AI48&lt;=54,"5",IF(AI48&lt;=59,"6",IF(AI48&lt;=69,"7",IF(AI48&lt;=79,"8",IF(AI48&lt;=89,"9","10"))))))))</f>
        <v/>
      </c>
      <c r="AL48" s="18">
        <f>IF(AG48&lt;=17,"F",IF(AI48&lt;=39,"F",IF(AI48&lt;=49,"P",IF(AI48&lt;=54,"C",IF(AI48&lt;=59,"B",IF(AI48&lt;=69,"B+",IF(AI48&lt;=79,"A",IF(AI48&lt;=89,"A+","O"))))))))</f>
        <v/>
      </c>
      <c r="AM48" s="18">
        <f>AJ48*AK48</f>
        <v/>
      </c>
      <c r="AN48" s="18" t="n"/>
      <c r="AO48" s="46" t="n">
        <v>31</v>
      </c>
      <c r="AP48" s="46" t="n">
        <v>46</v>
      </c>
      <c r="AQ48" s="9" t="n"/>
      <c r="AR48" s="18">
        <f>(AO48+AP48)</f>
        <v/>
      </c>
      <c r="AS48" s="18" t="n">
        <v>3</v>
      </c>
      <c r="AT48" s="18">
        <f>IF(AP48&lt;=17,"0",IF(AR48&lt;=39,"0",IF(AR48&lt;=49,"4",IF(AR48&lt;=54,"5",IF(AR48&lt;=59,"6",IF(AR48&lt;=69,"7",IF(AR48&lt;=79,"8",IF(AR48&lt;=89,"9","10"))))))))</f>
        <v/>
      </c>
      <c r="AU48" s="18">
        <f>IF(AP48&lt;=17,"F",IF(AR48&lt;=39,"F",IF(AR48&lt;=49,"P",IF(AR48&lt;=54,"C",IF(AR48&lt;=59,"B",IF(AR48&lt;=69,"B+",IF(AR48&lt;=79,"A",IF(AR48&lt;=89,"A+","O"))))))))</f>
        <v/>
      </c>
      <c r="AV48" s="18">
        <f>AS48*AT48</f>
        <v/>
      </c>
      <c r="AW48" s="18" t="n"/>
      <c r="AX48" s="9" t="n">
        <v>41</v>
      </c>
      <c r="AY48" s="9" t="n">
        <v>46</v>
      </c>
      <c r="AZ48" s="9" t="n"/>
      <c r="BA48" s="18">
        <f>(AX48+AY48)</f>
        <v/>
      </c>
      <c r="BB48" s="18" t="n">
        <v>1</v>
      </c>
      <c r="BC48" s="18">
        <f>IF(AY48&lt;=17,"0",IF(BA48&lt;=39,"0",IF(BA48&lt;=49,"4",IF(BA48&lt;=54,"5",IF(BA48&lt;=59,"6",IF(BA48&lt;=69,"7",IF(BA48&lt;=79,"8",IF(BA48&lt;=89,"9","10"))))))))</f>
        <v/>
      </c>
      <c r="BD48" s="18">
        <f>IF(AY48&lt;=17,"F",IF(BA48&lt;=39,"F",IF(BA48&lt;=49,"P",IF(BA48&lt;=54,"C",IF(BA48&lt;=59,"B",IF(BA48&lt;=69,"B+",IF(BA48&lt;=79,"A",IF(BA48&lt;=89,"A+","O"))))))))</f>
        <v/>
      </c>
      <c r="BE48" s="18">
        <f>BB48*BC48</f>
        <v/>
      </c>
      <c r="BF48" s="43" t="inlineStr">
        <is>
          <t>Balake Kannada</t>
        </is>
      </c>
      <c r="BG48" s="9" t="n">
        <v>32</v>
      </c>
      <c r="BH48" s="9" t="n">
        <v>47</v>
      </c>
      <c r="BI48" s="9" t="n"/>
      <c r="BJ48" s="18">
        <f>(BG48+BH48)</f>
        <v/>
      </c>
      <c r="BK48" s="18" t="n">
        <v>1</v>
      </c>
      <c r="BL48" s="18">
        <f>IF(BH48&lt;=17,"0",IF(BJ48&lt;=39,"0",IF(BJ48&lt;=49,"4",IF(BJ48&lt;=54,"5",IF(BJ48&lt;=59,"6",IF(BJ48&lt;=69,"7",IF(BJ48&lt;=79,"8",IF(BJ48&lt;=89,"9","10"))))))))</f>
        <v/>
      </c>
      <c r="BM48" s="18">
        <f>IF(BH48&lt;=17,"F",IF(BJ48&lt;=39,"F",IF(BJ48&lt;=49,"P",IF(BJ48&lt;=54,"C",IF(BJ48&lt;=59,"B",IF(BJ48&lt;=69,"B+",IF(BJ48&lt;=79,"A",IF(BJ48&lt;=89,"A+","O"))))))))</f>
        <v/>
      </c>
      <c r="BN48" s="18">
        <f>BK48*BL48</f>
        <v/>
      </c>
      <c r="BO48" s="18" t="n"/>
      <c r="BP48" s="9" t="n">
        <v>22</v>
      </c>
      <c r="BQ48" s="9" t="n">
        <v>671</v>
      </c>
      <c r="BR48" s="9" t="n"/>
      <c r="BS48" s="18">
        <f>(BP48+BQ48)</f>
        <v/>
      </c>
      <c r="BT48" s="18" t="n">
        <v>1</v>
      </c>
      <c r="BU48" s="18">
        <f>IF(BQ48&lt;=17,"0",IF(BS48&lt;=39,"0",IF(BS48&lt;=49,"4",IF(BS48&lt;=54,"5",IF(BS48&lt;=59,"6",IF(BS48&lt;=69,"7",IF(BS48&lt;=79,"8",IF(BS48&lt;=89,"9","10"))))))))</f>
        <v/>
      </c>
      <c r="BV48" s="18">
        <f>IF(BQ48&lt;=17,"F",IF(BS48&lt;=39,"F",IF(BS48&lt;=49,"P",IF(BS48&lt;=54,"C",IF(BS48&lt;=59,"B",IF(BS48&lt;=69,"B+",IF(BS48&lt;=79,"A",IF(BS48&lt;=89,"A+","O"))))))))</f>
        <v/>
      </c>
      <c r="BW48" s="18">
        <f>BT48*BU48</f>
        <v/>
      </c>
      <c r="BX48" s="18" t="n"/>
      <c r="BY48" s="18" t="n"/>
      <c r="BZ48" s="18">
        <f>L48+U48+AD48+AM48+AV48+BE48+BN48+BW48</f>
        <v/>
      </c>
      <c r="CA48" s="19">
        <f>BZ48/20</f>
        <v/>
      </c>
      <c r="CB48" s="28">
        <f>IF(CA48&lt;4,"F",IF(BV48="F","F",IF(BM48="F","F",IF(BD48="F","F",IF(AU48="F","F",IF(AL48="F","F",IF(AC48="F","F",IF(T48="F","F",IF(K48="F","F",IF(CA48&lt;=5,"C",IF(CA48&lt;6,"B",IF(CA48&lt;7,"B+",IF(CA48&lt;8,"A",IF(CA48&lt;=9,"A+","O"))))))))))))))</f>
        <v/>
      </c>
      <c r="CC48" s="27">
        <f>CA48*9.5</f>
        <v/>
      </c>
      <c r="CD48" s="27" t="n"/>
      <c r="CE48" s="28">
        <f>SUM(BS48,BJ48,BA48,AR48,AI48,Z48,Q48,H48)</f>
        <v/>
      </c>
      <c r="CF48" s="28">
        <f>(CE48/800)*100</f>
        <v/>
      </c>
      <c r="CG48" s="27" t="n"/>
      <c r="CH48" s="27" t="n"/>
      <c r="CI48" s="27">
        <f>IF(CA48&lt;=4,"F",IF(CA48&lt;=6,"PASS",IF(CA48&lt;=6.5,"SC",IF(CA48&lt;=7.5,"FC",IF(CA48&lt;="10","FCD")))))</f>
        <v/>
      </c>
    </row>
    <row r="49" ht="15.75" customHeight="1">
      <c r="A49" s="35">
        <f>A48+1</f>
        <v/>
      </c>
      <c r="B49" s="111" t="inlineStr">
        <is>
          <t>1bi23cd042</t>
        </is>
      </c>
      <c r="C49" s="111" t="inlineStr">
        <is>
          <t>SANJEEV M D</t>
        </is>
      </c>
      <c r="D49" s="47" t="inlineStr">
        <is>
          <t>D</t>
        </is>
      </c>
      <c r="E49" s="9" t="n">
        <v>18</v>
      </c>
      <c r="F49" s="9" t="n">
        <v>47</v>
      </c>
      <c r="G49" s="9" t="n"/>
      <c r="H49" s="18">
        <f>SUM(E49:F49)</f>
        <v/>
      </c>
      <c r="I49" s="18" t="n">
        <v>4</v>
      </c>
      <c r="J49" s="18">
        <f>IF(F49&lt;=17,"0",IF(H49&lt;=39,"0",IF(H49&lt;=49,"4",IF(H49&lt;=54,"5",IF(H49&lt;=59,"6",IF(H49&lt;=69,"7",IF(H49&lt;=79,"8",IF(H49&lt;=89,"9","10"))))))))</f>
        <v/>
      </c>
      <c r="K49" s="18">
        <f>IF(F49&lt;=17,"F",IF(H49&lt;=39,"F",IF(H49&lt;=49,"P",IF(H49&lt;=54,"C",IF(H49&lt;=59,"B",IF(H49&lt;=69,"B+",IF(H49&lt;=79,"A",IF(H49&lt;=89,"A+","O"))))))))</f>
        <v/>
      </c>
      <c r="L49" s="18">
        <f>I49*J49</f>
        <v/>
      </c>
      <c r="M49" s="18" t="n"/>
      <c r="N49" s="9" t="n">
        <v>26</v>
      </c>
      <c r="O49" s="9" t="n">
        <v>40</v>
      </c>
      <c r="P49" s="9" t="n"/>
      <c r="Q49" s="18">
        <f>SUM(N49:O49)</f>
        <v/>
      </c>
      <c r="R49" s="18" t="n">
        <v>4</v>
      </c>
      <c r="S49" s="18">
        <f>IF(O49&lt;=17,"0",IF(Q49&lt;=39,"4",IF(Q49&lt;=49,"4",IF(Q49&lt;=54,"5",IF(Q49&lt;=59,"6",IF(Q49&lt;=69,"7",IF(Q49&lt;=79,"8",IF(Q49&lt;=89,"9","10"))))))))</f>
        <v/>
      </c>
      <c r="T49" s="18">
        <f>IF(O49&lt;=17,"F",IF(Q49&lt;=39,"F",IF(Q49&lt;=49,"P",IF(Q49&lt;=54,"C",IF(Q49&lt;=59,"B",IF(Q49&lt;=69,"B+",IF(Q49&lt;=79,"A",IF(Q49&lt;=89,"A+","O"))))))))</f>
        <v/>
      </c>
      <c r="U49" s="18">
        <f>R49*S49</f>
        <v/>
      </c>
      <c r="V49" s="18" t="n"/>
      <c r="W49" s="9" t="n">
        <v>44</v>
      </c>
      <c r="X49" s="9" t="n">
        <v>45</v>
      </c>
      <c r="Y49" s="18" t="n"/>
      <c r="Z49" s="18">
        <f>SUM(W49:X49)</f>
        <v/>
      </c>
      <c r="AA49" s="18" t="n">
        <v>3</v>
      </c>
      <c r="AB49" s="18">
        <f>IF(X49&lt;=17,"0",IF(Z49&lt;=39,"0",IF(Z49&lt;=49,"4",IF(Z49&lt;=54,"5",IF(Z49&lt;=59,"6",IF(Z49&lt;=69,"7",IF(Z49&lt;=79,"8",IF(Z49&lt;=89,"9","10"))))))))</f>
        <v/>
      </c>
      <c r="AC49" s="18">
        <f>IF(X49&lt;=17,"F",IF(Z49&lt;=39,"F",IF(Z49&lt;=49,"P",IF(Z49&lt;=54,"C",IF(Z49&lt;=59,"B",IF(Z49&lt;=69,"B+",IF(Z49&lt;=79,"A",IF(Z49&lt;=89,"A+","O"))))))))</f>
        <v/>
      </c>
      <c r="AD49" s="18">
        <f>AA49*AB49</f>
        <v/>
      </c>
      <c r="AE49" s="18" t="n"/>
      <c r="AF49" s="46" t="n">
        <v>36</v>
      </c>
      <c r="AG49" s="46" t="n">
        <v>41</v>
      </c>
      <c r="AH49" s="9" t="n"/>
      <c r="AI49" s="18">
        <f>SUM(AF49:AG49)</f>
        <v/>
      </c>
      <c r="AJ49" s="18" t="n">
        <v>3</v>
      </c>
      <c r="AK49" s="18">
        <f>IF(AG49&lt;=17,"0",IF(AI49&lt;=39,"0",IF(AI49&lt;=49,"4",IF(AI49&lt;=54,"5",IF(AI49&lt;=59,"6",IF(AI49&lt;=69,"7",IF(AI49&lt;=79,"8",IF(AI49&lt;=89,"9","10"))))))))</f>
        <v/>
      </c>
      <c r="AL49" s="18">
        <f>IF(AG49&lt;=17,"F",IF(AI49&lt;=39,"F",IF(AI49&lt;=49,"P",IF(AI49&lt;=54,"C",IF(AI49&lt;=59,"B",IF(AI49&lt;=69,"B+",IF(AI49&lt;=79,"A",IF(AI49&lt;=89,"A+","O"))))))))</f>
        <v/>
      </c>
      <c r="AM49" s="18">
        <f>AJ49*AK49</f>
        <v/>
      </c>
      <c r="AN49" s="18" t="n"/>
      <c r="AO49" s="46" t="n">
        <v>29</v>
      </c>
      <c r="AP49" s="46" t="n">
        <v>47</v>
      </c>
      <c r="AQ49" s="9" t="n"/>
      <c r="AR49" s="18">
        <f>(AO49+AP49)</f>
        <v/>
      </c>
      <c r="AS49" s="18" t="n">
        <v>3</v>
      </c>
      <c r="AT49" s="18">
        <f>IF(AP49&lt;=17,"0",IF(AR49&lt;=39,"0",IF(AR49&lt;=49,"4",IF(AR49&lt;=54,"5",IF(AR49&lt;=59,"6",IF(AR49&lt;=69,"7",IF(AR49&lt;=79,"8",IF(AR49&lt;=89,"9","10"))))))))</f>
        <v/>
      </c>
      <c r="AU49" s="18">
        <f>IF(AP49&lt;=17,"F",IF(AR49&lt;=39,"F",IF(AR49&lt;=49,"P",IF(AR49&lt;=54,"C",IF(AR49&lt;=59,"B",IF(AR49&lt;=69,"B+",IF(AR49&lt;=79,"A",IF(AR49&lt;=89,"A+","O"))))))))</f>
        <v/>
      </c>
      <c r="AV49" s="18">
        <f>AS49*AT49</f>
        <v/>
      </c>
      <c r="AW49" s="18" t="n"/>
      <c r="AX49" s="9" t="n">
        <v>39</v>
      </c>
      <c r="AY49" s="9" t="n">
        <v>42</v>
      </c>
      <c r="AZ49" s="9" t="n"/>
      <c r="BA49" s="18">
        <f>(AX49+AY49)</f>
        <v/>
      </c>
      <c r="BB49" s="18" t="n">
        <v>1</v>
      </c>
      <c r="BC49" s="18">
        <f>IF(AY49&lt;=17,"0",IF(BA49&lt;=39,"0",IF(BA49&lt;=49,"4",IF(BA49&lt;=54,"5",IF(BA49&lt;=59,"6",IF(BA49&lt;=69,"7",IF(BA49&lt;=79,"8",IF(BA49&lt;=89,"9","10"))))))))</f>
        <v/>
      </c>
      <c r="BD49" s="18">
        <f>IF(AY49&lt;=17,"F",IF(BA49&lt;=39,"F",IF(BA49&lt;=49,"P",IF(BA49&lt;=54,"C",IF(BA49&lt;=59,"B",IF(BA49&lt;=69,"B+",IF(BA49&lt;=79,"A",IF(BA49&lt;=89,"A+","O"))))))))</f>
        <v/>
      </c>
      <c r="BE49" s="18">
        <f>BB49*BC49</f>
        <v/>
      </c>
      <c r="BF49" s="43" t="inlineStr">
        <is>
          <t>Samskrutika Kannada</t>
        </is>
      </c>
      <c r="BG49" s="9" t="n">
        <v>28</v>
      </c>
      <c r="BH49" s="9" t="n">
        <v>44</v>
      </c>
      <c r="BI49" s="9" t="n"/>
      <c r="BJ49" s="18">
        <f>(BG49+BH49)</f>
        <v/>
      </c>
      <c r="BK49" s="18" t="n">
        <v>1</v>
      </c>
      <c r="BL49" s="18">
        <f>IF(BH49&lt;=17,"0",IF(BJ49&lt;=39,"0",IF(BJ49&lt;=49,"4",IF(BJ49&lt;=54,"5",IF(BJ49&lt;=59,"6",IF(BJ49&lt;=69,"7",IF(BJ49&lt;=79,"8",IF(BJ49&lt;=89,"9","10"))))))))</f>
        <v/>
      </c>
      <c r="BM49" s="18">
        <f>IF(BH49&lt;=17,"F",IF(BJ49&lt;=39,"F",IF(BJ49&lt;=49,"P",IF(BJ49&lt;=54,"C",IF(BJ49&lt;=59,"B",IF(BJ49&lt;=69,"B+",IF(BJ49&lt;=79,"A",IF(BJ49&lt;=89,"A+","O"))))))))</f>
        <v/>
      </c>
      <c r="BN49" s="18">
        <f>BK49*BL49</f>
        <v/>
      </c>
      <c r="BO49" s="18" t="n"/>
      <c r="BP49" s="9" t="n">
        <v>18</v>
      </c>
      <c r="BQ49" s="9" t="n">
        <v>586</v>
      </c>
      <c r="BR49" s="9" t="n"/>
      <c r="BS49" s="18">
        <f>(BP49+BQ49)</f>
        <v/>
      </c>
      <c r="BT49" s="18" t="n">
        <v>1</v>
      </c>
      <c r="BU49" s="18">
        <f>IF(BQ49&lt;=17,"0",IF(BS49&lt;=39,"0",IF(BS49&lt;=49,"4",IF(BS49&lt;=54,"5",IF(BS49&lt;=59,"6",IF(BS49&lt;=69,"7",IF(BS49&lt;=79,"8",IF(BS49&lt;=89,"9","10"))))))))</f>
        <v/>
      </c>
      <c r="BV49" s="18">
        <f>IF(BQ49&lt;=17,"F",IF(BS49&lt;=39,"F",IF(BS49&lt;=49,"P",IF(BS49&lt;=54,"C",IF(BS49&lt;=59,"B",IF(BS49&lt;=69,"B+",IF(BS49&lt;=79,"A",IF(BS49&lt;=89,"A+","O"))))))))</f>
        <v/>
      </c>
      <c r="BW49" s="18">
        <f>BT49*BU49</f>
        <v/>
      </c>
      <c r="BX49" s="18" t="n"/>
      <c r="BY49" s="18" t="n"/>
      <c r="BZ49" s="18">
        <f>L49+U49+AD49+AM49+AV49+BE49+BN49+BW49</f>
        <v/>
      </c>
      <c r="CA49" s="19">
        <f>BZ49/20</f>
        <v/>
      </c>
      <c r="CB49" s="28">
        <f>IF(CA49&lt;4,"F",IF(BV49="F","F",IF(BM49="F","F",IF(BD49="F","F",IF(AU49="F","F",IF(AL49="F","F",IF(AC49="F","F",IF(T49="F","F",IF(K49="F","F",IF(CA49&lt;=5,"C",IF(CA49&lt;6,"B",IF(CA49&lt;7,"B+",IF(CA49&lt;8,"A",IF(CA49&lt;=9,"A+","O"))))))))))))))</f>
        <v/>
      </c>
      <c r="CC49" s="27">
        <f>CA49*9.5</f>
        <v/>
      </c>
      <c r="CD49" s="27" t="n"/>
      <c r="CE49" s="28">
        <f>SUM(BS49,BJ49,BA49,AR49,AI49,Z49,Q49,H49)</f>
        <v/>
      </c>
      <c r="CF49" s="28">
        <f>(CE49/800)*100</f>
        <v/>
      </c>
      <c r="CG49" s="27" t="n"/>
      <c r="CH49" s="27" t="n"/>
      <c r="CI49" s="27">
        <f>IF(CA49&lt;=4,"F",IF(CA49&lt;=6,"PASS",IF(CA49&lt;=6.5,"SC",IF(CA49&lt;=7.5,"FC",IF(CA49&lt;="10","FCD")))))</f>
        <v/>
      </c>
    </row>
    <row r="50" ht="15.75" customHeight="1">
      <c r="A50" s="35">
        <f>A49+1</f>
        <v/>
      </c>
      <c r="B50" s="111" t="inlineStr">
        <is>
          <t>1bi23cd043</t>
        </is>
      </c>
      <c r="C50" s="111" t="inlineStr">
        <is>
          <t>SHANTANNU GUPTA</t>
        </is>
      </c>
      <c r="D50" s="47" t="inlineStr">
        <is>
          <t>D</t>
        </is>
      </c>
      <c r="E50" s="9" t="n">
        <v>32</v>
      </c>
      <c r="F50" s="9" t="n">
        <v>48</v>
      </c>
      <c r="G50" s="9" t="n"/>
      <c r="H50" s="18">
        <f>SUM(E50:F50)</f>
        <v/>
      </c>
      <c r="I50" s="18" t="n">
        <v>4</v>
      </c>
      <c r="J50" s="18">
        <f>IF(F50&lt;=17,"0",IF(H50&lt;=39,"0",IF(H50&lt;=49,"4",IF(H50&lt;=54,"5",IF(H50&lt;=59,"6",IF(H50&lt;=69,"7",IF(H50&lt;=79,"8",IF(H50&lt;=89,"9","10"))))))))</f>
        <v/>
      </c>
      <c r="K50" s="18">
        <f>IF(F50&lt;=17,"F",IF(H50&lt;=39,"F",IF(H50&lt;=49,"P",IF(H50&lt;=54,"C",IF(H50&lt;=59,"B",IF(H50&lt;=69,"B+",IF(H50&lt;=79,"A",IF(H50&lt;=89,"A+","O"))))))))</f>
        <v/>
      </c>
      <c r="L50" s="18">
        <f>I50*J50</f>
        <v/>
      </c>
      <c r="M50" s="18" t="n"/>
      <c r="N50" s="9" t="n">
        <v>28</v>
      </c>
      <c r="O50" s="9" t="n">
        <v>40</v>
      </c>
      <c r="P50" s="9" t="n"/>
      <c r="Q50" s="18">
        <f>SUM(N50:O50)</f>
        <v/>
      </c>
      <c r="R50" s="18" t="n">
        <v>4</v>
      </c>
      <c r="S50" s="18">
        <f>IF(O50&lt;=17,"0",IF(Q50&lt;=39,"4",IF(Q50&lt;=49,"4",IF(Q50&lt;=54,"5",IF(Q50&lt;=59,"6",IF(Q50&lt;=69,"7",IF(Q50&lt;=79,"8",IF(Q50&lt;=89,"9","10"))))))))</f>
        <v/>
      </c>
      <c r="T50" s="18">
        <f>IF(O50&lt;=17,"F",IF(Q50&lt;=39,"F",IF(Q50&lt;=49,"P",IF(Q50&lt;=54,"C",IF(Q50&lt;=59,"B",IF(Q50&lt;=69,"B+",IF(Q50&lt;=79,"A",IF(Q50&lt;=89,"A+","O"))))))))</f>
        <v/>
      </c>
      <c r="U50" s="18">
        <f>R50*S50</f>
        <v/>
      </c>
      <c r="V50" s="18" t="n"/>
      <c r="W50" s="9" t="n">
        <v>41</v>
      </c>
      <c r="X50" s="9" t="n">
        <v>43</v>
      </c>
      <c r="Y50" s="18" t="n"/>
      <c r="Z50" s="18">
        <f>SUM(W50:X50)</f>
        <v/>
      </c>
      <c r="AA50" s="18" t="n">
        <v>3</v>
      </c>
      <c r="AB50" s="18">
        <f>IF(X50&lt;=17,"0",IF(Z50&lt;=39,"0",IF(Z50&lt;=49,"4",IF(Z50&lt;=54,"5",IF(Z50&lt;=59,"6",IF(Z50&lt;=69,"7",IF(Z50&lt;=79,"8",IF(Z50&lt;=89,"9","10"))))))))</f>
        <v/>
      </c>
      <c r="AC50" s="18">
        <f>IF(X50&lt;=17,"F",IF(Z50&lt;=39,"F",IF(Z50&lt;=49,"P",IF(Z50&lt;=54,"C",IF(Z50&lt;=59,"B",IF(Z50&lt;=69,"B+",IF(Z50&lt;=79,"A",IF(Z50&lt;=89,"A+","O"))))))))</f>
        <v/>
      </c>
      <c r="AD50" s="18">
        <f>AA50*AB50</f>
        <v/>
      </c>
      <c r="AE50" s="18" t="n"/>
      <c r="AF50" s="46" t="n">
        <v>38</v>
      </c>
      <c r="AG50" s="46" t="n">
        <v>43</v>
      </c>
      <c r="AH50" s="9" t="n"/>
      <c r="AI50" s="18">
        <f>SUM(AF50:AG50)</f>
        <v/>
      </c>
      <c r="AJ50" s="18" t="n">
        <v>3</v>
      </c>
      <c r="AK50" s="18">
        <f>IF(AG50&lt;=17,"0",IF(AI50&lt;=39,"0",IF(AI50&lt;=49,"4",IF(AI50&lt;=54,"5",IF(AI50&lt;=59,"6",IF(AI50&lt;=69,"7",IF(AI50&lt;=79,"8",IF(AI50&lt;=89,"9","10"))))))))</f>
        <v/>
      </c>
      <c r="AL50" s="18">
        <f>IF(AG50&lt;=17,"F",IF(AI50&lt;=39,"F",IF(AI50&lt;=49,"P",IF(AI50&lt;=54,"C",IF(AI50&lt;=59,"B",IF(AI50&lt;=69,"B+",IF(AI50&lt;=79,"A",IF(AI50&lt;=89,"A+","O"))))))))</f>
        <v/>
      </c>
      <c r="AM50" s="18">
        <f>AJ50*AK50</f>
        <v/>
      </c>
      <c r="AN50" s="18" t="n"/>
      <c r="AO50" s="46" t="n">
        <v>31</v>
      </c>
      <c r="AP50" s="46" t="n">
        <v>46</v>
      </c>
      <c r="AQ50" s="9" t="n"/>
      <c r="AR50" s="18">
        <f>(AO50+AP50)</f>
        <v/>
      </c>
      <c r="AS50" s="18" t="n">
        <v>3</v>
      </c>
      <c r="AT50" s="18">
        <f>IF(AP50&lt;=17,"0",IF(AR50&lt;=39,"0",IF(AR50&lt;=49,"4",IF(AR50&lt;=54,"5",IF(AR50&lt;=59,"6",IF(AR50&lt;=69,"7",IF(AR50&lt;=79,"8",IF(AR50&lt;=89,"9","10"))))))))</f>
        <v/>
      </c>
      <c r="AU50" s="18">
        <f>IF(AP50&lt;=17,"F",IF(AR50&lt;=39,"F",IF(AR50&lt;=49,"P",IF(AR50&lt;=54,"C",IF(AR50&lt;=59,"B",IF(AR50&lt;=69,"B+",IF(AR50&lt;=79,"A",IF(AR50&lt;=89,"A+","O"))))))))</f>
        <v/>
      </c>
      <c r="AV50" s="18">
        <f>AS50*AT50</f>
        <v/>
      </c>
      <c r="AW50" s="18" t="n"/>
      <c r="AX50" s="9" t="n">
        <v>41</v>
      </c>
      <c r="AY50" s="9" t="n">
        <v>47</v>
      </c>
      <c r="AZ50" s="9" t="n"/>
      <c r="BA50" s="18">
        <f>(AX50+AY50)</f>
        <v/>
      </c>
      <c r="BB50" s="18" t="n">
        <v>1</v>
      </c>
      <c r="BC50" s="18">
        <f>IF(AY50&lt;=17,"0",IF(BA50&lt;=39,"0",IF(BA50&lt;=49,"4",IF(BA50&lt;=54,"5",IF(BA50&lt;=59,"6",IF(BA50&lt;=69,"7",IF(BA50&lt;=79,"8",IF(BA50&lt;=89,"9","10"))))))))</f>
        <v/>
      </c>
      <c r="BD50" s="18">
        <f>IF(AY50&lt;=17,"F",IF(BA50&lt;=39,"F",IF(BA50&lt;=49,"P",IF(BA50&lt;=54,"C",IF(BA50&lt;=59,"B",IF(BA50&lt;=69,"B+",IF(BA50&lt;=79,"A",IF(BA50&lt;=89,"A+","O"))))))))</f>
        <v/>
      </c>
      <c r="BE50" s="18">
        <f>BB50*BC50</f>
        <v/>
      </c>
      <c r="BF50" s="43" t="inlineStr">
        <is>
          <t>Samskrutika Kannada</t>
        </is>
      </c>
      <c r="BG50" s="9" t="n">
        <v>28</v>
      </c>
      <c r="BH50" s="9" t="n">
        <v>46</v>
      </c>
      <c r="BI50" s="9" t="n"/>
      <c r="BJ50" s="18">
        <f>(BG50+BH50)</f>
        <v/>
      </c>
      <c r="BK50" s="18" t="n">
        <v>1</v>
      </c>
      <c r="BL50" s="18">
        <f>IF(BH50&lt;=17,"0",IF(BJ50&lt;=39,"0",IF(BJ50&lt;=49,"4",IF(BJ50&lt;=54,"5",IF(BJ50&lt;=59,"6",IF(BJ50&lt;=69,"7",IF(BJ50&lt;=79,"8",IF(BJ50&lt;=89,"9","10"))))))))</f>
        <v/>
      </c>
      <c r="BM50" s="18">
        <f>IF(BH50&lt;=17,"F",IF(BJ50&lt;=39,"F",IF(BJ50&lt;=49,"P",IF(BJ50&lt;=54,"C",IF(BJ50&lt;=59,"B",IF(BJ50&lt;=69,"B+",IF(BJ50&lt;=79,"A",IF(BJ50&lt;=89,"A+","O"))))))))</f>
        <v/>
      </c>
      <c r="BN50" s="18">
        <f>BK50*BL50</f>
        <v/>
      </c>
      <c r="BO50" s="18" t="n"/>
      <c r="BP50" s="9" t="n">
        <v>30</v>
      </c>
      <c r="BQ50" s="9" t="n">
        <v>627</v>
      </c>
      <c r="BR50" s="9" t="n"/>
      <c r="BS50" s="18">
        <f>(BP50+BQ50)</f>
        <v/>
      </c>
      <c r="BT50" s="18" t="n">
        <v>1</v>
      </c>
      <c r="BU50" s="18">
        <f>IF(BQ50&lt;=17,"0",IF(BS50&lt;=39,"0",IF(BS50&lt;=49,"4",IF(BS50&lt;=54,"5",IF(BS50&lt;=59,"6",IF(BS50&lt;=69,"7",IF(BS50&lt;=79,"8",IF(BS50&lt;=89,"9","10"))))))))</f>
        <v/>
      </c>
      <c r="BV50" s="18">
        <f>IF(BQ50&lt;=17,"F",IF(BS50&lt;=39,"F",IF(BS50&lt;=49,"P",IF(BS50&lt;=54,"C",IF(BS50&lt;=59,"B",IF(BS50&lt;=69,"B+",IF(BS50&lt;=79,"A",IF(BS50&lt;=89,"A+","O"))))))))</f>
        <v/>
      </c>
      <c r="BW50" s="18">
        <f>BT50*BU50</f>
        <v/>
      </c>
      <c r="BX50" s="18" t="n"/>
      <c r="BY50" s="18" t="n"/>
      <c r="BZ50" s="18">
        <f>L50+U50+AD50+AM50+AV50+BE50+BN50+BW50</f>
        <v/>
      </c>
      <c r="CA50" s="19">
        <f>BZ50/20</f>
        <v/>
      </c>
      <c r="CB50" s="28">
        <f>IF(CA50&lt;4,"F",IF(BV50="F","F",IF(BM50="F","F",IF(BD50="F","F",IF(AU50="F","F",IF(AL50="F","F",IF(AC50="F","F",IF(T50="F","F",IF(K50="F","F",IF(CA50&lt;=5,"C",IF(CA50&lt;6,"B",IF(CA50&lt;7,"B+",IF(CA50&lt;8,"A",IF(CA50&lt;=9,"A+","O"))))))))))))))</f>
        <v/>
      </c>
      <c r="CC50" s="27">
        <f>CA50*9.5</f>
        <v/>
      </c>
      <c r="CD50" s="27" t="n"/>
      <c r="CE50" s="28">
        <f>SUM(BS50,BJ50,BA50,AR50,AI50,Z50,Q50,H50)</f>
        <v/>
      </c>
      <c r="CF50" s="28">
        <f>(CE50/800)*100</f>
        <v/>
      </c>
      <c r="CG50" s="27" t="n"/>
      <c r="CH50" s="27" t="n"/>
      <c r="CI50" s="27">
        <f>IF(CA50&lt;=4,"F",IF(CA50&lt;=6,"PASS",IF(CA50&lt;=6.5,"SC",IF(CA50&lt;=7.5,"FC",IF(CA50&lt;="10","FCD")))))</f>
        <v/>
      </c>
    </row>
    <row r="51" ht="15.75" customHeight="1">
      <c r="A51" s="35">
        <f>A50+1</f>
        <v/>
      </c>
      <c r="B51" s="111" t="inlineStr">
        <is>
          <t>1bi23cd044</t>
        </is>
      </c>
      <c r="C51" s="111" t="inlineStr">
        <is>
          <t>SHARANYA S DEVADIGA</t>
        </is>
      </c>
      <c r="D51" s="47" t="inlineStr">
        <is>
          <t>D</t>
        </is>
      </c>
      <c r="E51" s="9" t="n">
        <v>48</v>
      </c>
      <c r="F51" s="9" t="n">
        <v>50</v>
      </c>
      <c r="G51" s="9" t="n"/>
      <c r="H51" s="18">
        <f>SUM(E51:F51)</f>
        <v/>
      </c>
      <c r="I51" s="18" t="n">
        <v>4</v>
      </c>
      <c r="J51" s="18">
        <f>IF(F51&lt;=17,"0",IF(H51&lt;=39,"0",IF(H51&lt;=49,"4",IF(H51&lt;=54,"5",IF(H51&lt;=59,"6",IF(H51&lt;=69,"7",IF(H51&lt;=79,"8",IF(H51&lt;=89,"9","10"))))))))</f>
        <v/>
      </c>
      <c r="K51" s="18">
        <f>IF(F51&lt;=17,"F",IF(H51&lt;=39,"F",IF(H51&lt;=49,"P",IF(H51&lt;=54,"C",IF(H51&lt;=59,"B",IF(H51&lt;=69,"B+",IF(H51&lt;=79,"A",IF(H51&lt;=89,"A+","O"))))))))</f>
        <v/>
      </c>
      <c r="L51" s="18">
        <f>I51*J51</f>
        <v/>
      </c>
      <c r="M51" s="18" t="n"/>
      <c r="N51" s="9" t="n">
        <v>42</v>
      </c>
      <c r="O51" s="9" t="n">
        <v>49</v>
      </c>
      <c r="P51" s="9" t="n"/>
      <c r="Q51" s="18">
        <f>SUM(N51:O51)</f>
        <v/>
      </c>
      <c r="R51" s="18" t="n">
        <v>4</v>
      </c>
      <c r="S51" s="18">
        <f>IF(O51&lt;=17,"0",IF(Q51&lt;=39,"4",IF(Q51&lt;=49,"4",IF(Q51&lt;=54,"5",IF(Q51&lt;=59,"6",IF(Q51&lt;=69,"7",IF(Q51&lt;=79,"8",IF(Q51&lt;=89,"9","10"))))))))</f>
        <v/>
      </c>
      <c r="T51" s="18">
        <f>IF(O51&lt;=17,"F",IF(Q51&lt;=39,"F",IF(Q51&lt;=49,"P",IF(Q51&lt;=54,"C",IF(Q51&lt;=59,"B",IF(Q51&lt;=69,"B+",IF(Q51&lt;=79,"A",IF(Q51&lt;=89,"A+","O"))))))))</f>
        <v/>
      </c>
      <c r="U51" s="18">
        <f>R51*S51</f>
        <v/>
      </c>
      <c r="V51" s="18" t="n"/>
      <c r="W51" s="9" t="n">
        <v>50</v>
      </c>
      <c r="X51" s="9" t="n">
        <v>49</v>
      </c>
      <c r="Y51" s="18" t="n"/>
      <c r="Z51" s="18">
        <f>SUM(W51:X51)</f>
        <v/>
      </c>
      <c r="AA51" s="18" t="n">
        <v>3</v>
      </c>
      <c r="AB51" s="18">
        <f>IF(X51&lt;=17,"0",IF(Z51&lt;=39,"0",IF(Z51&lt;=49,"4",IF(Z51&lt;=54,"5",IF(Z51&lt;=59,"6",IF(Z51&lt;=69,"7",IF(Z51&lt;=79,"8",IF(Z51&lt;=89,"9","10"))))))))</f>
        <v/>
      </c>
      <c r="AC51" s="18">
        <f>IF(X51&lt;=17,"F",IF(Z51&lt;=39,"F",IF(Z51&lt;=49,"P",IF(Z51&lt;=54,"C",IF(Z51&lt;=59,"B",IF(Z51&lt;=69,"B+",IF(Z51&lt;=79,"A",IF(Z51&lt;=89,"A+","O"))))))))</f>
        <v/>
      </c>
      <c r="AD51" s="18">
        <f>AA51*AB51</f>
        <v/>
      </c>
      <c r="AE51" s="18" t="n"/>
      <c r="AF51" s="46" t="n">
        <v>44</v>
      </c>
      <c r="AG51" s="46" t="n">
        <v>50</v>
      </c>
      <c r="AH51" s="9" t="n"/>
      <c r="AI51" s="18">
        <f>SUM(AF51:AG51)</f>
        <v/>
      </c>
      <c r="AJ51" s="18" t="n">
        <v>3</v>
      </c>
      <c r="AK51" s="18">
        <f>IF(AG51&lt;=17,"0",IF(AI51&lt;=39,"0",IF(AI51&lt;=49,"4",IF(AI51&lt;=54,"5",IF(AI51&lt;=59,"6",IF(AI51&lt;=69,"7",IF(AI51&lt;=79,"8",IF(AI51&lt;=89,"9","10"))))))))</f>
        <v/>
      </c>
      <c r="AL51" s="18">
        <f>IF(AG51&lt;=17,"F",IF(AI51&lt;=39,"F",IF(AI51&lt;=49,"P",IF(AI51&lt;=54,"C",IF(AI51&lt;=59,"B",IF(AI51&lt;=69,"B+",IF(AI51&lt;=79,"A",IF(AI51&lt;=89,"A+","O"))))))))</f>
        <v/>
      </c>
      <c r="AM51" s="18">
        <f>AJ51*AK51</f>
        <v/>
      </c>
      <c r="AN51" s="18" t="n"/>
      <c r="AO51" s="46" t="n">
        <v>38</v>
      </c>
      <c r="AP51" s="46" t="n">
        <v>50</v>
      </c>
      <c r="AQ51" s="9" t="n"/>
      <c r="AR51" s="18">
        <f>(AO51+AP51)</f>
        <v/>
      </c>
      <c r="AS51" s="18" t="n">
        <v>3</v>
      </c>
      <c r="AT51" s="18">
        <f>IF(AP51&lt;=17,"0",IF(AR51&lt;=39,"0",IF(AR51&lt;=49,"4",IF(AR51&lt;=54,"5",IF(AR51&lt;=59,"6",IF(AR51&lt;=69,"7",IF(AR51&lt;=79,"8",IF(AR51&lt;=89,"9","10"))))))))</f>
        <v/>
      </c>
      <c r="AU51" s="18">
        <f>IF(AP51&lt;=17,"F",IF(AR51&lt;=39,"F",IF(AR51&lt;=49,"P",IF(AR51&lt;=54,"C",IF(AR51&lt;=59,"B",IF(AR51&lt;=69,"B+",IF(AR51&lt;=79,"A",IF(AR51&lt;=89,"A+","O"))))))))</f>
        <v/>
      </c>
      <c r="AV51" s="18">
        <f>AS51*AT51</f>
        <v/>
      </c>
      <c r="AW51" s="18" t="n"/>
      <c r="AX51" s="9" t="n">
        <v>47</v>
      </c>
      <c r="AY51" s="9" t="n">
        <v>50</v>
      </c>
      <c r="AZ51" s="9" t="n"/>
      <c r="BA51" s="18">
        <f>(AX51+AY51)</f>
        <v/>
      </c>
      <c r="BB51" s="18" t="n">
        <v>1</v>
      </c>
      <c r="BC51" s="18">
        <f>IF(AY51&lt;=17,"0",IF(BA51&lt;=39,"0",IF(BA51&lt;=49,"4",IF(BA51&lt;=54,"5",IF(BA51&lt;=59,"6",IF(BA51&lt;=69,"7",IF(BA51&lt;=79,"8",IF(BA51&lt;=89,"9","10"))))))))</f>
        <v/>
      </c>
      <c r="BD51" s="18">
        <f>IF(AY51&lt;=17,"F",IF(BA51&lt;=39,"F",IF(BA51&lt;=49,"P",IF(BA51&lt;=54,"C",IF(BA51&lt;=59,"B",IF(BA51&lt;=69,"B+",IF(BA51&lt;=79,"A",IF(BA51&lt;=89,"A+","O"))))))))</f>
        <v/>
      </c>
      <c r="BE51" s="18">
        <f>BB51*BC51</f>
        <v/>
      </c>
      <c r="BF51" s="43" t="inlineStr">
        <is>
          <t>Balake Kannada</t>
        </is>
      </c>
      <c r="BG51" s="9" t="n">
        <v>42</v>
      </c>
      <c r="BH51" s="9" t="n">
        <v>50</v>
      </c>
      <c r="BI51" s="9" t="n"/>
      <c r="BJ51" s="18">
        <f>(BG51+BH51)</f>
        <v/>
      </c>
      <c r="BK51" s="18" t="n">
        <v>1</v>
      </c>
      <c r="BL51" s="18">
        <f>IF(BH51&lt;=17,"0",IF(BJ51&lt;=39,"0",IF(BJ51&lt;=49,"4",IF(BJ51&lt;=54,"5",IF(BJ51&lt;=59,"6",IF(BJ51&lt;=69,"7",IF(BJ51&lt;=79,"8",IF(BJ51&lt;=89,"9","10"))))))))</f>
        <v/>
      </c>
      <c r="BM51" s="18">
        <f>IF(BH51&lt;=17,"F",IF(BJ51&lt;=39,"F",IF(BJ51&lt;=49,"P",IF(BJ51&lt;=54,"C",IF(BJ51&lt;=59,"B",IF(BJ51&lt;=69,"B+",IF(BJ51&lt;=79,"A",IF(BJ51&lt;=89,"A+","O"))))))))</f>
        <v/>
      </c>
      <c r="BN51" s="18">
        <f>BK51*BL51</f>
        <v/>
      </c>
      <c r="BO51" s="18" t="n"/>
      <c r="BP51" s="9" t="n">
        <v>41</v>
      </c>
      <c r="BQ51" s="9" t="n">
        <v>750</v>
      </c>
      <c r="BR51" s="9" t="n"/>
      <c r="BS51" s="18">
        <f>(BP51+BQ51)</f>
        <v/>
      </c>
      <c r="BT51" s="18" t="n">
        <v>1</v>
      </c>
      <c r="BU51" s="18">
        <f>IF(BQ51&lt;=17,"0",IF(BS51&lt;=39,"0",IF(BS51&lt;=49,"4",IF(BS51&lt;=54,"5",IF(BS51&lt;=59,"6",IF(BS51&lt;=69,"7",IF(BS51&lt;=79,"8",IF(BS51&lt;=89,"9","10"))))))))</f>
        <v/>
      </c>
      <c r="BV51" s="18">
        <f>IF(BQ51&lt;=17,"F",IF(BS51&lt;=39,"F",IF(BS51&lt;=49,"P",IF(BS51&lt;=54,"C",IF(BS51&lt;=59,"B",IF(BS51&lt;=69,"B+",IF(BS51&lt;=79,"A",IF(BS51&lt;=89,"A+","O"))))))))</f>
        <v/>
      </c>
      <c r="BW51" s="18">
        <f>BT51*BU51</f>
        <v/>
      </c>
      <c r="BX51" s="18" t="n"/>
      <c r="BY51" s="18" t="n"/>
      <c r="BZ51" s="18">
        <f>L51+U51+AD51+AM51+AV51+BE51+BN51+BW51</f>
        <v/>
      </c>
      <c r="CA51" s="19">
        <f>BZ51/20</f>
        <v/>
      </c>
      <c r="CB51" s="28">
        <f>IF(CA51&lt;4,"F",IF(BV51="F","F",IF(BM51="F","F",IF(BD51="F","F",IF(AU51="F","F",IF(AL51="F","F",IF(AC51="F","F",IF(T51="F","F",IF(K51="F","F",IF(CA51&lt;=5,"C",IF(CA51&lt;6,"B",IF(CA51&lt;7,"B+",IF(CA51&lt;8,"A",IF(CA51&lt;=9,"A+","O"))))))))))))))</f>
        <v/>
      </c>
      <c r="CC51" s="27">
        <f>CA51*9.5</f>
        <v/>
      </c>
      <c r="CD51" s="27" t="n"/>
      <c r="CE51" s="28">
        <f>SUM(BS51,BJ51,BA51,AR51,AI51,Z51,Q51,H51)</f>
        <v/>
      </c>
      <c r="CF51" s="28">
        <f>(CE51/800)*100</f>
        <v/>
      </c>
      <c r="CG51" s="27" t="n"/>
      <c r="CH51" s="27" t="n"/>
      <c r="CI51" s="27">
        <f>IF(CA51&lt;=4,"F",IF(CA51&lt;=6,"PASS",IF(CA51&lt;=6.5,"SC",IF(CA51&lt;=7.5,"FC",IF(CA51&lt;="10","FCD")))))</f>
        <v/>
      </c>
    </row>
    <row r="52" ht="15.75" customHeight="1">
      <c r="A52" s="35">
        <f>A51+1</f>
        <v/>
      </c>
      <c r="B52" s="111" t="inlineStr">
        <is>
          <t>1bi23cd045</t>
        </is>
      </c>
      <c r="C52" s="111" t="inlineStr">
        <is>
          <t>SHREEYA B</t>
        </is>
      </c>
      <c r="D52" s="47" t="inlineStr">
        <is>
          <t>D</t>
        </is>
      </c>
      <c r="E52" s="9" t="n">
        <v>32</v>
      </c>
      <c r="F52" s="9" t="n">
        <v>50</v>
      </c>
      <c r="G52" s="9" t="n"/>
      <c r="H52" s="18">
        <f>SUM(E52:F52)</f>
        <v/>
      </c>
      <c r="I52" s="18" t="n">
        <v>4</v>
      </c>
      <c r="J52" s="18">
        <f>IF(F52&lt;=17,"0",IF(H52&lt;=39,"0",IF(H52&lt;=49,"4",IF(H52&lt;=54,"5",IF(H52&lt;=59,"6",IF(H52&lt;=69,"7",IF(H52&lt;=79,"8",IF(H52&lt;=89,"9","10"))))))))</f>
        <v/>
      </c>
      <c r="K52" s="18">
        <f>IF(F52&lt;=17,"F",IF(H52&lt;=39,"F",IF(H52&lt;=49,"P",IF(H52&lt;=54,"C",IF(H52&lt;=59,"B",IF(H52&lt;=69,"B+",IF(H52&lt;=79,"A",IF(H52&lt;=89,"A+","O"))))))))</f>
        <v/>
      </c>
      <c r="L52" s="18">
        <f>I52*J52</f>
        <v/>
      </c>
      <c r="M52" s="18" t="n"/>
      <c r="N52" s="9" t="n">
        <v>38</v>
      </c>
      <c r="O52" s="9" t="n">
        <v>50</v>
      </c>
      <c r="P52" s="18" t="n"/>
      <c r="Q52" s="18">
        <f>SUM(N52:O52)</f>
        <v/>
      </c>
      <c r="R52" s="18" t="n">
        <v>4</v>
      </c>
      <c r="S52" s="18">
        <f>IF(O52&lt;=17,"0",IF(Q52&lt;=39,"4",IF(Q52&lt;=49,"4",IF(Q52&lt;=54,"5",IF(Q52&lt;=59,"6",IF(Q52&lt;=69,"7",IF(Q52&lt;=79,"8",IF(Q52&lt;=89,"9","10"))))))))</f>
        <v/>
      </c>
      <c r="T52" s="18">
        <f>IF(O52&lt;=17,"F",IF(Q52&lt;=39,"F",IF(Q52&lt;=49,"P",IF(Q52&lt;=54,"C",IF(Q52&lt;=59,"B",IF(Q52&lt;=69,"B+",IF(Q52&lt;=79,"A",IF(Q52&lt;=89,"A+","O"))))))))</f>
        <v/>
      </c>
      <c r="U52" s="18">
        <f>R52*S52</f>
        <v/>
      </c>
      <c r="V52" s="18" t="n"/>
      <c r="W52" s="9" t="n">
        <v>49</v>
      </c>
      <c r="X52" s="9" t="n">
        <v>49</v>
      </c>
      <c r="Y52" s="18" t="n"/>
      <c r="Z52" s="18">
        <f>SUM(W52:X52)</f>
        <v/>
      </c>
      <c r="AA52" s="18" t="n">
        <v>3</v>
      </c>
      <c r="AB52" s="18">
        <f>IF(X52&lt;=17,"0",IF(Z52&lt;=39,"0",IF(Z52&lt;=49,"4",IF(Z52&lt;=54,"5",IF(Z52&lt;=59,"6",IF(Z52&lt;=69,"7",IF(Z52&lt;=79,"8",IF(Z52&lt;=89,"9","10"))))))))</f>
        <v/>
      </c>
      <c r="AC52" s="18">
        <f>IF(X52&lt;=17,"F",IF(Z52&lt;=39,"F",IF(Z52&lt;=49,"P",IF(Z52&lt;=54,"C",IF(Z52&lt;=59,"B",IF(Z52&lt;=69,"B+",IF(Z52&lt;=79,"A",IF(Z52&lt;=89,"A+","O"))))))))</f>
        <v/>
      </c>
      <c r="AD52" s="18">
        <f>AA52*AB52</f>
        <v/>
      </c>
      <c r="AE52" s="18" t="n"/>
      <c r="AF52" s="46" t="n">
        <v>39</v>
      </c>
      <c r="AG52" s="46" t="n">
        <v>45</v>
      </c>
      <c r="AH52" s="9" t="n"/>
      <c r="AI52" s="18">
        <f>SUM(AF52:AG52)</f>
        <v/>
      </c>
      <c r="AJ52" s="18" t="n">
        <v>3</v>
      </c>
      <c r="AK52" s="18">
        <f>IF(AG52&lt;=17,"0",IF(AI52&lt;=39,"0",IF(AI52&lt;=49,"4",IF(AI52&lt;=54,"5",IF(AI52&lt;=59,"6",IF(AI52&lt;=69,"7",IF(AI52&lt;=79,"8",IF(AI52&lt;=89,"9","10"))))))))</f>
        <v/>
      </c>
      <c r="AL52" s="18">
        <f>IF(AG52&lt;=17,"F",IF(AI52&lt;=39,"F",IF(AI52&lt;=49,"P",IF(AI52&lt;=54,"C",IF(AI52&lt;=59,"B",IF(AI52&lt;=69,"B+",IF(AI52&lt;=79,"A",IF(AI52&lt;=89,"A+","O"))))))))</f>
        <v/>
      </c>
      <c r="AM52" s="18">
        <f>AJ52*AK52</f>
        <v/>
      </c>
      <c r="AN52" s="18" t="n"/>
      <c r="AO52" s="46" t="n">
        <v>33</v>
      </c>
      <c r="AP52" s="46" t="n">
        <v>46</v>
      </c>
      <c r="AQ52" s="9" t="n"/>
      <c r="AR52" s="18">
        <f>(AO52+AP52)</f>
        <v/>
      </c>
      <c r="AS52" s="18" t="n">
        <v>3</v>
      </c>
      <c r="AT52" s="18">
        <f>IF(AP52&lt;=17,"0",IF(AR52&lt;=39,"0",IF(AR52&lt;=49,"4",IF(AR52&lt;=54,"5",IF(AR52&lt;=59,"6",IF(AR52&lt;=69,"7",IF(AR52&lt;=79,"8",IF(AR52&lt;=89,"9","10"))))))))</f>
        <v/>
      </c>
      <c r="AU52" s="18">
        <f>IF(AP52&lt;=17,"F",IF(AR52&lt;=39,"F",IF(AR52&lt;=49,"P",IF(AR52&lt;=54,"C",IF(AR52&lt;=59,"B",IF(AR52&lt;=69,"B+",IF(AR52&lt;=79,"A",IF(AR52&lt;=89,"A+","O"))))))))</f>
        <v/>
      </c>
      <c r="AV52" s="18">
        <f>AS52*AT52</f>
        <v/>
      </c>
      <c r="AW52" s="18" t="n"/>
      <c r="AX52" s="9" t="n">
        <v>41</v>
      </c>
      <c r="AY52" s="9" t="n">
        <v>47</v>
      </c>
      <c r="AZ52" s="9" t="n"/>
      <c r="BA52" s="18">
        <f>(AX52+AY52)</f>
        <v/>
      </c>
      <c r="BB52" s="18" t="n">
        <v>1</v>
      </c>
      <c r="BC52" s="18">
        <f>IF(AY52&lt;=17,"0",IF(BA52&lt;=39,"0",IF(BA52&lt;=49,"4",IF(BA52&lt;=54,"5",IF(BA52&lt;=59,"6",IF(BA52&lt;=69,"7",IF(BA52&lt;=79,"8",IF(BA52&lt;=89,"9","10"))))))))</f>
        <v/>
      </c>
      <c r="BD52" s="18">
        <f>IF(AY52&lt;=17,"F",IF(BA52&lt;=39,"F",IF(BA52&lt;=49,"P",IF(BA52&lt;=54,"C",IF(BA52&lt;=59,"B",IF(BA52&lt;=69,"B+",IF(BA52&lt;=79,"A",IF(BA52&lt;=89,"A+","O"))))))))</f>
        <v/>
      </c>
      <c r="BE52" s="18">
        <f>BB52*BC52</f>
        <v/>
      </c>
      <c r="BF52" s="43" t="inlineStr">
        <is>
          <t>Samskrutika Kannada</t>
        </is>
      </c>
      <c r="BG52" s="9" t="n">
        <v>35</v>
      </c>
      <c r="BH52" s="9" t="n">
        <v>49</v>
      </c>
      <c r="BI52" s="9" t="n"/>
      <c r="BJ52" s="18">
        <f>(BG52+BH52)</f>
        <v/>
      </c>
      <c r="BK52" s="18" t="n">
        <v>1</v>
      </c>
      <c r="BL52" s="18">
        <f>IF(BH52&lt;=17,"0",IF(BJ52&lt;=39,"0",IF(BJ52&lt;=49,"4",IF(BJ52&lt;=54,"5",IF(BJ52&lt;=59,"6",IF(BJ52&lt;=69,"7",IF(BJ52&lt;=79,"8",IF(BJ52&lt;=89,"9","10"))))))))</f>
        <v/>
      </c>
      <c r="BM52" s="18">
        <f>IF(BH52&lt;=17,"F",IF(BJ52&lt;=39,"F",IF(BJ52&lt;=49,"P",IF(BJ52&lt;=54,"C",IF(BJ52&lt;=59,"B",IF(BJ52&lt;=69,"B+",IF(BJ52&lt;=79,"A",IF(BJ52&lt;=89,"A+","O"))))))))</f>
        <v/>
      </c>
      <c r="BN52" s="18">
        <f>BK52*BL52</f>
        <v/>
      </c>
      <c r="BO52" s="18" t="n"/>
      <c r="BP52" s="9" t="n">
        <v>40</v>
      </c>
      <c r="BQ52" s="9" t="n">
        <v>693</v>
      </c>
      <c r="BR52" s="9" t="n"/>
      <c r="BS52" s="18">
        <f>(BP52+BQ52)</f>
        <v/>
      </c>
      <c r="BT52" s="18" t="n">
        <v>1</v>
      </c>
      <c r="BU52" s="18">
        <f>IF(BQ52&lt;=17,"0",IF(BS52&lt;=39,"0",IF(BS52&lt;=49,"4",IF(BS52&lt;=54,"5",IF(BS52&lt;=59,"6",IF(BS52&lt;=69,"7",IF(BS52&lt;=79,"8",IF(BS52&lt;=89,"9","10"))))))))</f>
        <v/>
      </c>
      <c r="BV52" s="18">
        <f>IF(BQ52&lt;=17,"F",IF(BS52&lt;=39,"F",IF(BS52&lt;=49,"P",IF(BS52&lt;=54,"C",IF(BS52&lt;=59,"B",IF(BS52&lt;=69,"B+",IF(BS52&lt;=79,"A",IF(BS52&lt;=89,"A+","O"))))))))</f>
        <v/>
      </c>
      <c r="BW52" s="18">
        <f>BT52*BU52</f>
        <v/>
      </c>
      <c r="BX52" s="18" t="n"/>
      <c r="BY52" s="18" t="n"/>
      <c r="BZ52" s="18">
        <f>L52+U52+AD52+AM52+AV52+BE52+BN52+BW52</f>
        <v/>
      </c>
      <c r="CA52" s="19">
        <f>BZ52/20</f>
        <v/>
      </c>
      <c r="CB52" s="28">
        <f>IF(CA52&lt;4,"F",IF(BV52="F","F",IF(BM52="F","F",IF(BD52="F","F",IF(AU52="F","F",IF(AL52="F","F",IF(AC52="F","F",IF(T52="F","F",IF(K52="F","F",IF(CA52&lt;=5,"C",IF(CA52&lt;6,"B",IF(CA52&lt;7,"B+",IF(CA52&lt;8,"A",IF(CA52&lt;=9,"A+","O"))))))))))))))</f>
        <v/>
      </c>
      <c r="CC52" s="27">
        <f>CA52*9.5</f>
        <v/>
      </c>
      <c r="CD52" s="27" t="n"/>
      <c r="CE52" s="28">
        <f>SUM(BS52,BJ52,BA52,AR52,AI52,Z52,Q52,H52)</f>
        <v/>
      </c>
      <c r="CF52" s="28">
        <f>(CE52/800)*100</f>
        <v/>
      </c>
      <c r="CG52" s="27" t="n"/>
      <c r="CH52" s="27" t="n"/>
      <c r="CI52" s="27">
        <f>IF(CA52&lt;=4,"F",IF(CA52&lt;=6,"PASS",IF(CA52&lt;=6.5,"SC",IF(CA52&lt;=7.5,"FC",IF(CA52&lt;="10","FCD")))))</f>
        <v/>
      </c>
    </row>
    <row r="53" ht="15.75" customHeight="1">
      <c r="A53" s="35">
        <f>A52+1</f>
        <v/>
      </c>
      <c r="B53" s="111" t="inlineStr">
        <is>
          <t>1bi23cd046</t>
        </is>
      </c>
      <c r="C53" s="111" t="inlineStr">
        <is>
          <t>SPARSH JAIN</t>
        </is>
      </c>
      <c r="D53" s="47" t="inlineStr">
        <is>
          <t>D</t>
        </is>
      </c>
      <c r="E53" s="9" t="n">
        <v>50</v>
      </c>
      <c r="F53" s="9" t="n">
        <v>50</v>
      </c>
      <c r="G53" s="9" t="n"/>
      <c r="H53" s="18">
        <f>SUM(E53:F53)</f>
        <v/>
      </c>
      <c r="I53" s="18" t="n">
        <v>4</v>
      </c>
      <c r="J53" s="18">
        <f>IF(F53&lt;=17,"0",IF(H53&lt;=39,"0",IF(H53&lt;=49,"4",IF(H53&lt;=54,"5",IF(H53&lt;=59,"6",IF(H53&lt;=69,"7",IF(H53&lt;=79,"8",IF(H53&lt;=89,"9","10"))))))))</f>
        <v/>
      </c>
      <c r="K53" s="18">
        <f>IF(F53&lt;=17,"F",IF(H53&lt;=39,"F",IF(H53&lt;=49,"P",IF(H53&lt;=54,"C",IF(H53&lt;=59,"B",IF(H53&lt;=69,"B+",IF(H53&lt;=79,"A",IF(H53&lt;=89,"A+","O"))))))))</f>
        <v/>
      </c>
      <c r="L53" s="18">
        <f>I53*J53</f>
        <v/>
      </c>
      <c r="M53" s="18" t="n"/>
      <c r="N53" s="9" t="n">
        <v>43</v>
      </c>
      <c r="O53" s="9" t="n">
        <v>50</v>
      </c>
      <c r="P53" s="9" t="n"/>
      <c r="Q53" s="18">
        <f>SUM(N53:O53)</f>
        <v/>
      </c>
      <c r="R53" s="18" t="n">
        <v>4</v>
      </c>
      <c r="S53" s="18">
        <f>IF(O53&lt;=17,"0",IF(Q53&lt;=39,"4",IF(Q53&lt;=49,"4",IF(Q53&lt;=54,"5",IF(Q53&lt;=59,"6",IF(Q53&lt;=69,"7",IF(Q53&lt;=79,"8",IF(Q53&lt;=89,"9","10"))))))))</f>
        <v/>
      </c>
      <c r="T53" s="18">
        <f>IF(O53&lt;=17,"F",IF(Q53&lt;=39,"F",IF(Q53&lt;=49,"P",IF(Q53&lt;=54,"C",IF(Q53&lt;=59,"B",IF(Q53&lt;=69,"B+",IF(Q53&lt;=79,"A",IF(Q53&lt;=89,"A+","O"))))))))</f>
        <v/>
      </c>
      <c r="U53" s="18">
        <f>R53*S53</f>
        <v/>
      </c>
      <c r="V53" s="18" t="n"/>
      <c r="W53" s="9" t="n">
        <v>49</v>
      </c>
      <c r="X53" s="9" t="n">
        <v>46</v>
      </c>
      <c r="Y53" s="18" t="n"/>
      <c r="Z53" s="18">
        <f>SUM(W53:X53)</f>
        <v/>
      </c>
      <c r="AA53" s="18" t="n">
        <v>3</v>
      </c>
      <c r="AB53" s="18">
        <f>IF(X53&lt;=17,"0",IF(Z53&lt;=39,"0",IF(Z53&lt;=49,"4",IF(Z53&lt;=54,"5",IF(Z53&lt;=59,"6",IF(Z53&lt;=69,"7",IF(Z53&lt;=79,"8",IF(Z53&lt;=89,"9","10"))))))))</f>
        <v/>
      </c>
      <c r="AC53" s="18">
        <f>IF(X53&lt;=17,"F",IF(Z53&lt;=39,"F",IF(Z53&lt;=49,"P",IF(Z53&lt;=54,"C",IF(Z53&lt;=59,"B",IF(Z53&lt;=69,"B+",IF(Z53&lt;=79,"A",IF(Z53&lt;=89,"A+","O"))))))))</f>
        <v/>
      </c>
      <c r="AD53" s="18">
        <f>AA53*AB53</f>
        <v/>
      </c>
      <c r="AE53" s="18" t="n"/>
      <c r="AF53" s="46" t="n">
        <v>45</v>
      </c>
      <c r="AG53" s="46" t="n">
        <v>46</v>
      </c>
      <c r="AH53" s="9" t="n"/>
      <c r="AI53" s="18">
        <f>SUM(AF53:AG53)</f>
        <v/>
      </c>
      <c r="AJ53" s="18" t="n">
        <v>3</v>
      </c>
      <c r="AK53" s="18">
        <f>IF(AG53&lt;=17,"0",IF(AI53&lt;=39,"0",IF(AI53&lt;=49,"4",IF(AI53&lt;=54,"5",IF(AI53&lt;=59,"6",IF(AI53&lt;=69,"7",IF(AI53&lt;=79,"8",IF(AI53&lt;=89,"9","10"))))))))</f>
        <v/>
      </c>
      <c r="AL53" s="18">
        <f>IF(AG53&lt;=17,"F",IF(AI53&lt;=39,"F",IF(AI53&lt;=49,"P",IF(AI53&lt;=54,"C",IF(AI53&lt;=59,"B",IF(AI53&lt;=69,"B+",IF(AI53&lt;=79,"A",IF(AI53&lt;=89,"A+","O"))))))))</f>
        <v/>
      </c>
      <c r="AM53" s="18">
        <f>AJ53*AK53</f>
        <v/>
      </c>
      <c r="AN53" s="18" t="n"/>
      <c r="AO53" s="46" t="n">
        <v>32</v>
      </c>
      <c r="AP53" s="46" t="n">
        <v>46</v>
      </c>
      <c r="AQ53" s="9" t="n"/>
      <c r="AR53" s="18">
        <f>(AO53+AP53)</f>
        <v/>
      </c>
      <c r="AS53" s="18" t="n">
        <v>3</v>
      </c>
      <c r="AT53" s="18">
        <f>IF(AP53&lt;=17,"0",IF(AR53&lt;=39,"0",IF(AR53&lt;=49,"4",IF(AR53&lt;=54,"5",IF(AR53&lt;=59,"6",IF(AR53&lt;=69,"7",IF(AR53&lt;=79,"8",IF(AR53&lt;=89,"9","10"))))))))</f>
        <v/>
      </c>
      <c r="AU53" s="18">
        <f>IF(AP53&lt;=17,"F",IF(AR53&lt;=39,"F",IF(AR53&lt;=49,"P",IF(AR53&lt;=54,"C",IF(AR53&lt;=59,"B",IF(AR53&lt;=69,"B+",IF(AR53&lt;=79,"A",IF(AR53&lt;=89,"A+","O"))))))))</f>
        <v/>
      </c>
      <c r="AV53" s="18">
        <f>AS53*AT53</f>
        <v/>
      </c>
      <c r="AW53" s="18" t="n"/>
      <c r="AX53" s="9" t="n">
        <v>41</v>
      </c>
      <c r="AY53" s="9" t="n">
        <v>48</v>
      </c>
      <c r="AZ53" s="9" t="n"/>
      <c r="BA53" s="18">
        <f>(AX53+AY53)</f>
        <v/>
      </c>
      <c r="BB53" s="18" t="n">
        <v>1</v>
      </c>
      <c r="BC53" s="18">
        <f>IF(AY53&lt;=17,"0",IF(BA53&lt;=39,"0",IF(BA53&lt;=49,"4",IF(BA53&lt;=54,"5",IF(BA53&lt;=59,"6",IF(BA53&lt;=69,"7",IF(BA53&lt;=79,"8",IF(BA53&lt;=89,"9","10"))))))))</f>
        <v/>
      </c>
      <c r="BD53" s="18">
        <f>IF(AY53&lt;=17,"F",IF(BA53&lt;=39,"F",IF(BA53&lt;=49,"P",IF(BA53&lt;=54,"C",IF(BA53&lt;=59,"B",IF(BA53&lt;=69,"B+",IF(BA53&lt;=79,"A",IF(BA53&lt;=89,"A+","O"))))))))</f>
        <v/>
      </c>
      <c r="BE53" s="18">
        <f>BB53*BC53</f>
        <v/>
      </c>
      <c r="BF53" s="43" t="inlineStr">
        <is>
          <t>Balake Kannada</t>
        </is>
      </c>
      <c r="BG53" s="9" t="n">
        <v>38</v>
      </c>
      <c r="BH53" s="9" t="n">
        <v>48</v>
      </c>
      <c r="BI53" s="9" t="n"/>
      <c r="BJ53" s="18">
        <f>(BG53+BH53)</f>
        <v/>
      </c>
      <c r="BK53" s="18" t="n">
        <v>1</v>
      </c>
      <c r="BL53" s="18">
        <f>IF(BH53&lt;=17,"0",IF(BJ53&lt;=39,"0",IF(BJ53&lt;=49,"4",IF(BJ53&lt;=54,"5",IF(BJ53&lt;=59,"6",IF(BJ53&lt;=69,"7",IF(BJ53&lt;=79,"8",IF(BJ53&lt;=89,"9","10"))))))))</f>
        <v/>
      </c>
      <c r="BM53" s="18">
        <f>IF(BH53&lt;=17,"F",IF(BJ53&lt;=39,"F",IF(BJ53&lt;=49,"P",IF(BJ53&lt;=54,"C",IF(BJ53&lt;=59,"B",IF(BJ53&lt;=69,"B+",IF(BJ53&lt;=79,"A",IF(BJ53&lt;=89,"A+","O"))))))))</f>
        <v/>
      </c>
      <c r="BN53" s="18">
        <f>BK53*BL53</f>
        <v/>
      </c>
      <c r="BO53" s="18" t="n"/>
      <c r="BP53" s="9" t="n">
        <v>35</v>
      </c>
      <c r="BQ53" s="9" t="n">
        <v>714</v>
      </c>
      <c r="BR53" s="9" t="n"/>
      <c r="BS53" s="18">
        <f>(BP53+BQ53)</f>
        <v/>
      </c>
      <c r="BT53" s="18" t="n">
        <v>1</v>
      </c>
      <c r="BU53" s="18">
        <f>IF(BQ53&lt;=17,"0",IF(BS53&lt;=39,"0",IF(BS53&lt;=49,"4",IF(BS53&lt;=54,"5",IF(BS53&lt;=59,"6",IF(BS53&lt;=69,"7",IF(BS53&lt;=79,"8",IF(BS53&lt;=89,"9","10"))))))))</f>
        <v/>
      </c>
      <c r="BV53" s="18">
        <f>IF(BQ53&lt;=17,"F",IF(BS53&lt;=39,"F",IF(BS53&lt;=49,"P",IF(BS53&lt;=54,"C",IF(BS53&lt;=59,"B",IF(BS53&lt;=69,"B+",IF(BS53&lt;=79,"A",IF(BS53&lt;=89,"A+","O"))))))))</f>
        <v/>
      </c>
      <c r="BW53" s="18">
        <f>BT53*BU53</f>
        <v/>
      </c>
      <c r="BX53" s="18" t="n"/>
      <c r="BY53" s="18" t="n"/>
      <c r="BZ53" s="18">
        <f>L53+U53+AD53+AM53+AV53+BE53+BN53+BW53</f>
        <v/>
      </c>
      <c r="CA53" s="19">
        <f>BZ53/20</f>
        <v/>
      </c>
      <c r="CB53" s="28">
        <f>IF(CA53&lt;4,"F",IF(BV53="F","F",IF(BM53="F","F",IF(BD53="F","F",IF(AU53="F","F",IF(AL53="F","F",IF(AC53="F","F",IF(T53="F","F",IF(K53="F","F",IF(CA53&lt;=5,"C",IF(CA53&lt;6,"B",IF(CA53&lt;7,"B+",IF(CA53&lt;8,"A",IF(CA53&lt;=9,"A+","O"))))))))))))))</f>
        <v/>
      </c>
      <c r="CC53" s="27">
        <f>CA53*9.5</f>
        <v/>
      </c>
      <c r="CD53" s="27" t="n"/>
      <c r="CE53" s="28">
        <f>SUM(BS53,BJ53,BA53,AR53,AI53,Z53,Q53,H53)</f>
        <v/>
      </c>
      <c r="CF53" s="28">
        <f>(CE53/800)*100</f>
        <v/>
      </c>
      <c r="CG53" s="27" t="n"/>
      <c r="CH53" s="27" t="n"/>
      <c r="CI53" s="27">
        <f>IF(CA53&lt;=4,"F",IF(CA53&lt;=6,"PASS",IF(CA53&lt;=6.5,"SC",IF(CA53&lt;=7.5,"FC",IF(CA53&lt;="10","FCD")))))</f>
        <v/>
      </c>
    </row>
    <row r="54" ht="15.75" customHeight="1">
      <c r="A54" s="35">
        <f>A53+1</f>
        <v/>
      </c>
      <c r="B54" s="111" t="inlineStr">
        <is>
          <t>1bi23cd047</t>
        </is>
      </c>
      <c r="C54" s="111" t="inlineStr">
        <is>
          <t>SRINIVAS SHREYAS</t>
        </is>
      </c>
      <c r="D54" s="47" t="inlineStr">
        <is>
          <t>D</t>
        </is>
      </c>
      <c r="E54" s="9" t="n">
        <v>22</v>
      </c>
      <c r="F54" s="9" t="n">
        <v>44</v>
      </c>
      <c r="G54" s="25" t="n"/>
      <c r="H54" s="24">
        <f>SUM(E54:F54)</f>
        <v/>
      </c>
      <c r="I54" s="18" t="n">
        <v>4</v>
      </c>
      <c r="J54" s="18">
        <f>IF(F54&lt;=17,"0",IF(H54&lt;=39,"0",IF(H54&lt;=49,"4",IF(H54&lt;=54,"5",IF(H54&lt;=59,"6",IF(H54&lt;=69,"7",IF(H54&lt;=79,"8",IF(H54&lt;=89,"9","10"))))))))</f>
        <v/>
      </c>
      <c r="K54" s="18">
        <f>IF(F54&lt;=17,"F",IF(H54&lt;=39,"F",IF(H54&lt;=49,"P",IF(H54&lt;=54,"C",IF(H54&lt;=59,"B",IF(H54&lt;=69,"B+",IF(H54&lt;=79,"A",IF(H54&lt;=89,"A+","O"))))))))</f>
        <v/>
      </c>
      <c r="L54" s="24">
        <f>I54*J54</f>
        <v/>
      </c>
      <c r="M54" s="24" t="n"/>
      <c r="N54" s="25" t="n">
        <v>27</v>
      </c>
      <c r="O54" s="25" t="n">
        <v>49</v>
      </c>
      <c r="P54" s="25" t="n"/>
      <c r="Q54" s="24">
        <f>SUM(N54:O54)</f>
        <v/>
      </c>
      <c r="R54" s="18" t="n">
        <v>4</v>
      </c>
      <c r="S54" s="18">
        <f>IF(O54&lt;=17,"0",IF(Q54&lt;=39,"4",IF(Q54&lt;=49,"4",IF(Q54&lt;=54,"5",IF(Q54&lt;=59,"6",IF(Q54&lt;=69,"7",IF(Q54&lt;=79,"8",IF(Q54&lt;=89,"9","10"))))))))</f>
        <v/>
      </c>
      <c r="T54" s="18">
        <f>IF(O54&lt;=17,"F",IF(Q54&lt;=39,"F",IF(Q54&lt;=49,"P",IF(Q54&lt;=54,"C",IF(Q54&lt;=59,"B",IF(Q54&lt;=69,"B+",IF(Q54&lt;=79,"A",IF(Q54&lt;=89,"A+","O"))))))))</f>
        <v/>
      </c>
      <c r="U54" s="24">
        <f>R54*S54</f>
        <v/>
      </c>
      <c r="V54" s="24" t="n"/>
      <c r="W54" s="25" t="n">
        <v>47</v>
      </c>
      <c r="X54" s="25" t="n">
        <v>45</v>
      </c>
      <c r="Y54" s="24" t="n"/>
      <c r="Z54" s="24">
        <f>SUM(W54:X54)</f>
        <v/>
      </c>
      <c r="AA54" s="24" t="n">
        <v>3</v>
      </c>
      <c r="AB54" s="18">
        <f>IF(X54&lt;=17,"0",IF(Z54&lt;=39,"0",IF(Z54&lt;=49,"4",IF(Z54&lt;=54,"5",IF(Z54&lt;=59,"6",IF(Z54&lt;=69,"7",IF(Z54&lt;=79,"8",IF(Z54&lt;=89,"9","10"))))))))</f>
        <v/>
      </c>
      <c r="AC54" s="18">
        <f>IF(X54&lt;=17,"F",IF(Z54&lt;=39,"F",IF(Z54&lt;=49,"P",IF(Z54&lt;=54,"C",IF(Z54&lt;=59,"B",IF(Z54&lt;=69,"B+",IF(Z54&lt;=79,"A",IF(Z54&lt;=89,"A+","O"))))))))</f>
        <v/>
      </c>
      <c r="AD54" s="24">
        <f>AA54*AB54</f>
        <v/>
      </c>
      <c r="AE54" s="24" t="n"/>
      <c r="AF54" s="46" t="n">
        <v>41</v>
      </c>
      <c r="AG54" s="46" t="n">
        <v>40</v>
      </c>
      <c r="AH54" s="25" t="n"/>
      <c r="AI54" s="24">
        <f>SUM(AF54:AG54)</f>
        <v/>
      </c>
      <c r="AJ54" s="24" t="n">
        <v>3</v>
      </c>
      <c r="AK54" s="18">
        <f>IF(AG54&lt;=17,"0",IF(AI54&lt;=39,"0",IF(AI54&lt;=49,"4",IF(AI54&lt;=54,"5",IF(AI54&lt;=59,"6",IF(AI54&lt;=69,"7",IF(AI54&lt;=79,"8",IF(AI54&lt;=89,"9","10"))))))))</f>
        <v/>
      </c>
      <c r="AL54" s="18">
        <f>IF(AG54&lt;=17,"F",IF(AI54&lt;=39,"F",IF(AI54&lt;=49,"P",IF(AI54&lt;=54,"C",IF(AI54&lt;=59,"B",IF(AI54&lt;=69,"B+",IF(AI54&lt;=79,"A",IF(AI54&lt;=89,"A+","O"))))))))</f>
        <v/>
      </c>
      <c r="AM54" s="24">
        <f>AJ54*AK54</f>
        <v/>
      </c>
      <c r="AN54" s="24" t="n"/>
      <c r="AO54" s="46" t="n">
        <v>24</v>
      </c>
      <c r="AP54" s="46" t="n">
        <v>48</v>
      </c>
      <c r="AQ54" s="25" t="n"/>
      <c r="AR54" s="24">
        <f>(AO54+AP54)</f>
        <v/>
      </c>
      <c r="AS54" s="24" t="n">
        <v>3</v>
      </c>
      <c r="AT54" s="18">
        <f>IF(AP54&lt;=17,"0",IF(AR54&lt;=39,"0",IF(AR54&lt;=49,"4",IF(AR54&lt;=54,"5",IF(AR54&lt;=59,"6",IF(AR54&lt;=69,"7",IF(AR54&lt;=79,"8",IF(AR54&lt;=89,"9","10"))))))))</f>
        <v/>
      </c>
      <c r="AU54" s="18">
        <f>IF(AP54&lt;=17,"F",IF(AR54&lt;=39,"F",IF(AR54&lt;=49,"P",IF(AR54&lt;=54,"C",IF(AR54&lt;=59,"B",IF(AR54&lt;=69,"B+",IF(AR54&lt;=79,"A",IF(AR54&lt;=89,"A+","O"))))))))</f>
        <v/>
      </c>
      <c r="AV54" s="24">
        <f>AS54*AT54</f>
        <v/>
      </c>
      <c r="AW54" s="24" t="n"/>
      <c r="AX54" s="25" t="n">
        <v>35</v>
      </c>
      <c r="AY54" s="25" t="n">
        <v>41</v>
      </c>
      <c r="AZ54" s="25" t="n"/>
      <c r="BA54" s="24">
        <f>(AX54+AY54)</f>
        <v/>
      </c>
      <c r="BB54" s="18" t="n">
        <v>1</v>
      </c>
      <c r="BC54" s="18">
        <f>IF(AY54&lt;=17,"0",IF(BA54&lt;=39,"0",IF(BA54&lt;=49,"4",IF(BA54&lt;=54,"5",IF(BA54&lt;=59,"6",IF(BA54&lt;=69,"7",IF(BA54&lt;=79,"8",IF(BA54&lt;=89,"9","10"))))))))</f>
        <v/>
      </c>
      <c r="BD54" s="18">
        <f>IF(AY54&lt;=17,"F",IF(BA54&lt;=39,"F",IF(BA54&lt;=49,"P",IF(BA54&lt;=54,"C",IF(BA54&lt;=59,"B",IF(BA54&lt;=69,"B+",IF(BA54&lt;=79,"A",IF(BA54&lt;=89,"A+","O"))))))))</f>
        <v/>
      </c>
      <c r="BE54" s="24">
        <f>BB54*BC54</f>
        <v/>
      </c>
      <c r="BF54" s="43" t="inlineStr">
        <is>
          <t>Samskrutika Kannada</t>
        </is>
      </c>
      <c r="BG54" s="9" t="n">
        <v>35</v>
      </c>
      <c r="BH54" s="9" t="n">
        <v>40</v>
      </c>
      <c r="BI54" s="25" t="n"/>
      <c r="BJ54" s="24">
        <f>(BG54+BH54)</f>
        <v/>
      </c>
      <c r="BK54" s="18" t="n">
        <v>1</v>
      </c>
      <c r="BL54" s="18">
        <f>IF(BH54&lt;=17,"0",IF(BJ54&lt;=39,"0",IF(BJ54&lt;=49,"4",IF(BJ54&lt;=54,"5",IF(BJ54&lt;=59,"6",IF(BJ54&lt;=69,"7",IF(BJ54&lt;=79,"8",IF(BJ54&lt;=89,"9","10"))))))))</f>
        <v/>
      </c>
      <c r="BM54" s="18">
        <f>IF(BH54&lt;=17,"F",IF(BJ54&lt;=39,"F",IF(BJ54&lt;=49,"P",IF(BJ54&lt;=54,"C",IF(BJ54&lt;=59,"B",IF(BJ54&lt;=69,"B+",IF(BJ54&lt;=79,"A",IF(BJ54&lt;=89,"A+","O"))))))))</f>
        <v/>
      </c>
      <c r="BN54" s="24">
        <f>BK54*BL54</f>
        <v/>
      </c>
      <c r="BO54" s="24" t="n"/>
      <c r="BP54" s="25" t="n">
        <v>29</v>
      </c>
      <c r="BQ54" s="25" t="n">
        <v>613</v>
      </c>
      <c r="BR54" s="25" t="n"/>
      <c r="BS54" s="24">
        <f>(BP54+BQ54)</f>
        <v/>
      </c>
      <c r="BT54" s="18" t="n">
        <v>1</v>
      </c>
      <c r="BU54" s="18">
        <f>IF(BQ54&lt;=17,"0",IF(BS54&lt;=39,"0",IF(BS54&lt;=49,"4",IF(BS54&lt;=54,"5",IF(BS54&lt;=59,"6",IF(BS54&lt;=69,"7",IF(BS54&lt;=79,"8",IF(BS54&lt;=89,"9","10"))))))))</f>
        <v/>
      </c>
      <c r="BV54" s="18">
        <f>IF(BQ54&lt;=17,"F",IF(BS54&lt;=39,"F",IF(BS54&lt;=49,"P",IF(BS54&lt;=54,"C",IF(BS54&lt;=59,"B",IF(BS54&lt;=69,"B+",IF(BS54&lt;=79,"A",IF(BS54&lt;=89,"A+","O"))))))))</f>
        <v/>
      </c>
      <c r="BW54" s="24">
        <f>BT54*BU54</f>
        <v/>
      </c>
      <c r="BX54" s="24" t="n"/>
      <c r="BY54" s="24" t="n"/>
      <c r="BZ54" s="18">
        <f>L54+U54+AD54+AM54+AV54+BE54+BN54+BW54</f>
        <v/>
      </c>
      <c r="CA54" s="19">
        <f>BZ54/20</f>
        <v/>
      </c>
      <c r="CB54" s="28">
        <f>IF(CA54&lt;4,"F",IF(BV54="F","F",IF(BM54="F","F",IF(BD54="F","F",IF(AU54="F","F",IF(AL54="F","F",IF(AC54="F","F",IF(T54="F","F",IF(K54="F","F",IF(CA54&lt;=5,"C",IF(CA54&lt;6,"B",IF(CA54&lt;7,"B+",IF(CA54&lt;8,"A",IF(CA54&lt;=9,"A+","O"))))))))))))))</f>
        <v/>
      </c>
      <c r="CC54" s="27">
        <f>CA54*9.5</f>
        <v/>
      </c>
      <c r="CD54" s="27" t="n"/>
      <c r="CE54" s="28">
        <f>SUM(BS54,BJ54,BA54,AR54,AI54,Z54,Q54,H54)</f>
        <v/>
      </c>
      <c r="CF54" s="28">
        <f>(CE54/800)*100</f>
        <v/>
      </c>
      <c r="CG54" s="27" t="n"/>
      <c r="CH54" s="27" t="n"/>
      <c r="CI54" s="27">
        <f>IF(CA54&lt;=4,"F",IF(CA54&lt;=6,"PASS",IF(CA54&lt;=6.5,"SC",IF(CA54&lt;=7.5,"FC",IF(CA54&lt;="10","FCD")))))</f>
        <v/>
      </c>
    </row>
    <row r="55" ht="15.75" customHeight="1">
      <c r="A55" s="35">
        <f>A54+1</f>
        <v/>
      </c>
      <c r="B55" s="111" t="inlineStr">
        <is>
          <t>1bi23cd048</t>
        </is>
      </c>
      <c r="C55" s="111" t="inlineStr">
        <is>
          <t>SRIVATSA K</t>
        </is>
      </c>
      <c r="D55" s="47" t="inlineStr">
        <is>
          <t>D</t>
        </is>
      </c>
      <c r="E55" s="9" t="n">
        <v>34</v>
      </c>
      <c r="F55" s="9" t="n">
        <v>50</v>
      </c>
      <c r="G55" s="9" t="n"/>
      <c r="H55" s="18">
        <f>SUM(E55:F55)</f>
        <v/>
      </c>
      <c r="I55" s="18" t="n">
        <v>4</v>
      </c>
      <c r="J55" s="18">
        <f>IF(F55&lt;=17,"0",IF(H55&lt;=39,"0",IF(H55&lt;=49,"4",IF(H55&lt;=54,"5",IF(H55&lt;=59,"6",IF(H55&lt;=69,"7",IF(H55&lt;=79,"8",IF(H55&lt;=89,"9","10"))))))))</f>
        <v/>
      </c>
      <c r="K55" s="18">
        <f>IF(F55&lt;=17,"F",IF(H55&lt;=39,"F",IF(H55&lt;=49,"P",IF(H55&lt;=54,"C",IF(H55&lt;=59,"B",IF(H55&lt;=69,"B+",IF(H55&lt;=79,"A",IF(H55&lt;=89,"A+","O"))))))))</f>
        <v/>
      </c>
      <c r="L55" s="18">
        <f>I55*J55</f>
        <v/>
      </c>
      <c r="M55" s="18" t="n"/>
      <c r="N55" s="9" t="n">
        <v>40</v>
      </c>
      <c r="O55" s="9" t="n">
        <v>49</v>
      </c>
      <c r="P55" s="9" t="n"/>
      <c r="Q55" s="18">
        <f>SUM(N55:O55)</f>
        <v/>
      </c>
      <c r="R55" s="18" t="n">
        <v>4</v>
      </c>
      <c r="S55" s="18">
        <f>IF(O55&lt;=17,"0",IF(Q55&lt;=39,"4",IF(Q55&lt;=49,"4",IF(Q55&lt;=54,"5",IF(Q55&lt;=59,"6",IF(Q55&lt;=69,"7",IF(Q55&lt;=79,"8",IF(Q55&lt;=89,"9","10"))))))))</f>
        <v/>
      </c>
      <c r="T55" s="18">
        <f>IF(O55&lt;=17,"F",IF(Q55&lt;=39,"F",IF(Q55&lt;=49,"P",IF(Q55&lt;=54,"C",IF(Q55&lt;=59,"B",IF(Q55&lt;=69,"B+",IF(Q55&lt;=79,"A",IF(Q55&lt;=89,"A+","O"))))))))</f>
        <v/>
      </c>
      <c r="U55" s="18">
        <f>R55*S55</f>
        <v/>
      </c>
      <c r="V55" s="18" t="n"/>
      <c r="W55" s="9" t="n">
        <v>48</v>
      </c>
      <c r="X55" s="9" t="n">
        <v>49</v>
      </c>
      <c r="Y55" s="18" t="n"/>
      <c r="Z55" s="18">
        <f>SUM(W55:X55)</f>
        <v/>
      </c>
      <c r="AA55" s="18" t="n">
        <v>3</v>
      </c>
      <c r="AB55" s="18">
        <f>IF(X55&lt;=17,"0",IF(Z55&lt;=39,"0",IF(Z55&lt;=49,"4",IF(Z55&lt;=54,"5",IF(Z55&lt;=59,"6",IF(Z55&lt;=69,"7",IF(Z55&lt;=79,"8",IF(Z55&lt;=89,"9","10"))))))))</f>
        <v/>
      </c>
      <c r="AC55" s="18">
        <f>IF(X55&lt;=17,"F",IF(Z55&lt;=39,"F",IF(Z55&lt;=49,"P",IF(Z55&lt;=54,"C",IF(Z55&lt;=59,"B",IF(Z55&lt;=69,"B+",IF(Z55&lt;=79,"A",IF(Z55&lt;=89,"A+","O"))))))))</f>
        <v/>
      </c>
      <c r="AD55" s="18">
        <f>AA55*AB55</f>
        <v/>
      </c>
      <c r="AE55" s="18" t="n"/>
      <c r="AF55" s="46" t="n">
        <v>39</v>
      </c>
      <c r="AG55" s="46" t="n">
        <v>43</v>
      </c>
      <c r="AH55" s="9" t="n"/>
      <c r="AI55" s="18">
        <f>SUM(AF55:AG55)</f>
        <v/>
      </c>
      <c r="AJ55" s="18" t="n">
        <v>3</v>
      </c>
      <c r="AK55" s="18">
        <f>IF(AG55&lt;=17,"0",IF(AI55&lt;=39,"0",IF(AI55&lt;=49,"4",IF(AI55&lt;=54,"5",IF(AI55&lt;=59,"6",IF(AI55&lt;=69,"7",IF(AI55&lt;=79,"8",IF(AI55&lt;=89,"9","10"))))))))</f>
        <v/>
      </c>
      <c r="AL55" s="18">
        <f>IF(AG55&lt;=17,"F",IF(AI55&lt;=39,"F",IF(AI55&lt;=49,"P",IF(AI55&lt;=54,"C",IF(AI55&lt;=59,"B",IF(AI55&lt;=69,"B+",IF(AI55&lt;=79,"A",IF(AI55&lt;=89,"A+","O"))))))))</f>
        <v/>
      </c>
      <c r="AM55" s="18">
        <f>AJ55*AK55</f>
        <v/>
      </c>
      <c r="AN55" s="18" t="n"/>
      <c r="AO55" s="46" t="n">
        <v>28</v>
      </c>
      <c r="AP55" s="46" t="n">
        <v>47</v>
      </c>
      <c r="AQ55" s="9" t="n"/>
      <c r="AR55" s="18">
        <f>(AO55+AP55)</f>
        <v/>
      </c>
      <c r="AS55" s="18" t="n">
        <v>3</v>
      </c>
      <c r="AT55" s="18">
        <f>IF(AP55&lt;=17,"0",IF(AR55&lt;=39,"0",IF(AR55&lt;=49,"4",IF(AR55&lt;=54,"5",IF(AR55&lt;=59,"6",IF(AR55&lt;=69,"7",IF(AR55&lt;=79,"8",IF(AR55&lt;=89,"9","10"))))))))</f>
        <v/>
      </c>
      <c r="AU55" s="18">
        <f>IF(AP55&lt;=17,"F",IF(AR55&lt;=39,"F",IF(AR55&lt;=49,"P",IF(AR55&lt;=54,"C",IF(AR55&lt;=59,"B",IF(AR55&lt;=69,"B+",IF(AR55&lt;=79,"A",IF(AR55&lt;=89,"A+","O"))))))))</f>
        <v/>
      </c>
      <c r="AV55" s="18">
        <f>AS55*AT55</f>
        <v/>
      </c>
      <c r="AW55" s="18" t="n"/>
      <c r="AX55" s="9" t="n">
        <v>40</v>
      </c>
      <c r="AY55" s="9" t="n">
        <v>48</v>
      </c>
      <c r="AZ55" s="9" t="n"/>
      <c r="BA55" s="18">
        <f>(AX55+AY55)</f>
        <v/>
      </c>
      <c r="BB55" s="18" t="n">
        <v>1</v>
      </c>
      <c r="BC55" s="18">
        <f>IF(AY55&lt;=17,"0",IF(BA55&lt;=39,"0",IF(BA55&lt;=49,"4",IF(BA55&lt;=54,"5",IF(BA55&lt;=59,"6",IF(BA55&lt;=69,"7",IF(BA55&lt;=79,"8",IF(BA55&lt;=89,"9","10"))))))))</f>
        <v/>
      </c>
      <c r="BD55" s="18">
        <f>IF(AY55&lt;=17,"F",IF(BA55&lt;=39,"F",IF(BA55&lt;=49,"P",IF(BA55&lt;=54,"C",IF(BA55&lt;=59,"B",IF(BA55&lt;=69,"B+",IF(BA55&lt;=79,"A",IF(BA55&lt;=89,"A+","O"))))))))</f>
        <v/>
      </c>
      <c r="BE55" s="18">
        <f>BB55*BC55</f>
        <v/>
      </c>
      <c r="BF55" s="43" t="inlineStr">
        <is>
          <t>Samskrutika Kannada</t>
        </is>
      </c>
      <c r="BG55" s="9" t="n">
        <v>40</v>
      </c>
      <c r="BH55" s="9" t="n">
        <v>49</v>
      </c>
      <c r="BI55" s="9" t="n"/>
      <c r="BJ55" s="18">
        <f>(BG55+BH55)</f>
        <v/>
      </c>
      <c r="BK55" s="18" t="n">
        <v>1</v>
      </c>
      <c r="BL55" s="18">
        <f>IF(BH55&lt;=17,"0",IF(BJ55&lt;=39,"0",IF(BJ55&lt;=49,"4",IF(BJ55&lt;=54,"5",IF(BJ55&lt;=59,"6",IF(BJ55&lt;=69,"7",IF(BJ55&lt;=79,"8",IF(BJ55&lt;=89,"9","10"))))))))</f>
        <v/>
      </c>
      <c r="BM55" s="18">
        <f>IF(BH55&lt;=17,"F",IF(BJ55&lt;=39,"F",IF(BJ55&lt;=49,"P",IF(BJ55&lt;=54,"C",IF(BJ55&lt;=59,"B",IF(BJ55&lt;=69,"B+",IF(BJ55&lt;=79,"A",IF(BJ55&lt;=89,"A+","O"))))))))</f>
        <v/>
      </c>
      <c r="BN55" s="18">
        <f>BK55*BL55</f>
        <v/>
      </c>
      <c r="BO55" s="18" t="n"/>
      <c r="BP55" s="9" t="n">
        <v>40</v>
      </c>
      <c r="BQ55" s="9" t="n">
        <v>693</v>
      </c>
      <c r="BR55" s="9" t="n"/>
      <c r="BS55" s="18">
        <f>(BP55+BQ55)</f>
        <v/>
      </c>
      <c r="BT55" s="18" t="n">
        <v>1</v>
      </c>
      <c r="BU55" s="18">
        <f>IF(BQ55&lt;=17,"0",IF(BS55&lt;=39,"0",IF(BS55&lt;=49,"4",IF(BS55&lt;=54,"5",IF(BS55&lt;=59,"6",IF(BS55&lt;=69,"7",IF(BS55&lt;=79,"8",IF(BS55&lt;=89,"9","10"))))))))</f>
        <v/>
      </c>
      <c r="BV55" s="18">
        <f>IF(BQ55&lt;=17,"F",IF(BS55&lt;=39,"F",IF(BS55&lt;=49,"P",IF(BS55&lt;=54,"C",IF(BS55&lt;=59,"B",IF(BS55&lt;=69,"B+",IF(BS55&lt;=79,"A",IF(BS55&lt;=89,"A+","O"))))))))</f>
        <v/>
      </c>
      <c r="BW55" s="18">
        <f>BT55*BU55</f>
        <v/>
      </c>
      <c r="BX55" s="18" t="n"/>
      <c r="BY55" s="18" t="n"/>
      <c r="BZ55" s="18">
        <f>L55+U55+AD55+AM55+AV55+BE55+BN55+BW55</f>
        <v/>
      </c>
      <c r="CA55" s="19">
        <f>BZ55/20</f>
        <v/>
      </c>
      <c r="CB55" s="28">
        <f>IF(CA55&lt;4,"F",IF(BV55="F","F",IF(BM55="F","F",IF(BD55="F","F",IF(AU55="F","F",IF(AL55="F","F",IF(AC55="F","F",IF(T55="F","F",IF(K55="F","F",IF(CA55&lt;=5,"C",IF(CA55&lt;6,"B",IF(CA55&lt;7,"B+",IF(CA55&lt;8,"A",IF(CA55&lt;=9,"A+","O"))))))))))))))</f>
        <v/>
      </c>
      <c r="CC55" s="27">
        <f>CA55*9.5</f>
        <v/>
      </c>
      <c r="CD55" s="27" t="n"/>
      <c r="CE55" s="28">
        <f>SUM(BS55,BJ55,BA55,AR55,AI55,Z55,Q55,H55)</f>
        <v/>
      </c>
      <c r="CF55" s="28">
        <f>(CE55/800)*100</f>
        <v/>
      </c>
      <c r="CG55" s="27" t="n"/>
      <c r="CH55" s="27" t="n"/>
      <c r="CI55" s="27">
        <f>IF(CA55&lt;=4,"F",IF(CA55&lt;=6,"PASS",IF(CA55&lt;=6.5,"SC",IF(CA55&lt;=7.5,"FC",IF(CA55&lt;="10","FCD")))))</f>
        <v/>
      </c>
    </row>
    <row r="56" ht="15.75" customHeight="1">
      <c r="A56" s="35">
        <f>A55+1</f>
        <v/>
      </c>
      <c r="B56" s="111" t="inlineStr">
        <is>
          <t>1bi23cd049</t>
        </is>
      </c>
      <c r="C56" s="111" t="inlineStr">
        <is>
          <t>SWASTIK ATHARVA</t>
        </is>
      </c>
      <c r="D56" s="47" t="inlineStr">
        <is>
          <t>D</t>
        </is>
      </c>
      <c r="E56" s="9" t="n">
        <v>30</v>
      </c>
      <c r="F56" s="9" t="n">
        <v>47</v>
      </c>
      <c r="G56" s="9" t="n"/>
      <c r="H56" s="18">
        <f>SUM(E56:F56)</f>
        <v/>
      </c>
      <c r="I56" s="18" t="n">
        <v>4</v>
      </c>
      <c r="J56" s="18">
        <f>IF(F56&lt;=17,"0",IF(H56&lt;=39,"0",IF(H56&lt;=49,"4",IF(H56&lt;=54,"5",IF(H56&lt;=59,"6",IF(H56&lt;=69,"7",IF(H56&lt;=79,"8",IF(H56&lt;=89,"9","10"))))))))</f>
        <v/>
      </c>
      <c r="K56" s="18">
        <f>IF(F56&lt;=17,"F",IF(H56&lt;=39,"F",IF(H56&lt;=49,"P",IF(H56&lt;=54,"C",IF(H56&lt;=59,"B",IF(H56&lt;=69,"B+",IF(H56&lt;=79,"A",IF(H56&lt;=89,"A+","O"))))))))</f>
        <v/>
      </c>
      <c r="L56" s="18">
        <f>I56*J56</f>
        <v/>
      </c>
      <c r="M56" s="18" t="n"/>
      <c r="N56" s="9" t="n">
        <v>19</v>
      </c>
      <c r="O56" s="9" t="n">
        <v>46</v>
      </c>
      <c r="P56" s="9" t="n"/>
      <c r="Q56" s="18">
        <f>SUM(N56:O56)</f>
        <v/>
      </c>
      <c r="R56" s="18" t="n">
        <v>4</v>
      </c>
      <c r="S56" s="18">
        <f>IF(O56&lt;=17,"0",IF(Q56&lt;=39,"4",IF(Q56&lt;=49,"4",IF(Q56&lt;=54,"5",IF(Q56&lt;=59,"6",IF(Q56&lt;=69,"7",IF(Q56&lt;=79,"8",IF(Q56&lt;=89,"9","10"))))))))</f>
        <v/>
      </c>
      <c r="T56" s="18">
        <f>IF(O56&lt;=17,"F",IF(Q56&lt;=39,"F",IF(Q56&lt;=49,"P",IF(Q56&lt;=54,"C",IF(Q56&lt;=59,"B",IF(Q56&lt;=69,"B+",IF(Q56&lt;=79,"A",IF(Q56&lt;=89,"A+","O"))))))))</f>
        <v/>
      </c>
      <c r="U56" s="18">
        <f>R56*S56</f>
        <v/>
      </c>
      <c r="V56" s="18" t="n"/>
      <c r="W56" s="9" t="n">
        <v>39</v>
      </c>
      <c r="X56" s="9" t="n">
        <v>43</v>
      </c>
      <c r="Y56" s="18" t="n"/>
      <c r="Z56" s="18">
        <f>SUM(W56:X56)</f>
        <v/>
      </c>
      <c r="AA56" s="18" t="n">
        <v>3</v>
      </c>
      <c r="AB56" s="18">
        <f>IF(X56&lt;=17,"0",IF(Z56&lt;=39,"0",IF(Z56&lt;=49,"4",IF(Z56&lt;=54,"5",IF(Z56&lt;=59,"6",IF(Z56&lt;=69,"7",IF(Z56&lt;=79,"8",IF(Z56&lt;=89,"9","10"))))))))</f>
        <v/>
      </c>
      <c r="AC56" s="18">
        <f>IF(X56&lt;=17,"F",IF(Z56&lt;=39,"F",IF(Z56&lt;=49,"P",IF(Z56&lt;=54,"C",IF(Z56&lt;=59,"B",IF(Z56&lt;=69,"B+",IF(Z56&lt;=79,"A",IF(Z56&lt;=89,"A+","O"))))))))</f>
        <v/>
      </c>
      <c r="AD56" s="18">
        <f>AA56*AB56</f>
        <v/>
      </c>
      <c r="AE56" s="18" t="n"/>
      <c r="AF56" s="46" t="n">
        <v>38</v>
      </c>
      <c r="AG56" s="46" t="n">
        <v>40</v>
      </c>
      <c r="AH56" s="9" t="n"/>
      <c r="AI56" s="18">
        <f>SUM(AF56:AG56)</f>
        <v/>
      </c>
      <c r="AJ56" s="18" t="n">
        <v>3</v>
      </c>
      <c r="AK56" s="18">
        <f>IF(AG56&lt;=17,"0",IF(AI56&lt;=39,"0",IF(AI56&lt;=49,"4",IF(AI56&lt;=54,"5",IF(AI56&lt;=59,"6",IF(AI56&lt;=69,"7",IF(AI56&lt;=79,"8",IF(AI56&lt;=89,"9","10"))))))))</f>
        <v/>
      </c>
      <c r="AL56" s="18">
        <f>IF(AG56&lt;=17,"F",IF(AI56&lt;=39,"F",IF(AI56&lt;=49,"P",IF(AI56&lt;=54,"C",IF(AI56&lt;=59,"B",IF(AI56&lt;=69,"B+",IF(AI56&lt;=79,"A",IF(AI56&lt;=89,"A+","O"))))))))</f>
        <v/>
      </c>
      <c r="AM56" s="18">
        <f>AJ56*AK56</f>
        <v/>
      </c>
      <c r="AN56" s="18" t="n"/>
      <c r="AO56" s="46" t="n">
        <v>32</v>
      </c>
      <c r="AP56" s="46" t="n">
        <v>47</v>
      </c>
      <c r="AQ56" s="9" t="n"/>
      <c r="AR56" s="18">
        <f>(AO56+AP56)</f>
        <v/>
      </c>
      <c r="AS56" s="18" t="n">
        <v>3</v>
      </c>
      <c r="AT56" s="18">
        <f>IF(AP56&lt;=17,"0",IF(AR56&lt;=39,"0",IF(AR56&lt;=49,"4",IF(AR56&lt;=54,"5",IF(AR56&lt;=59,"6",IF(AR56&lt;=69,"7",IF(AR56&lt;=79,"8",IF(AR56&lt;=89,"9","10"))))))))</f>
        <v/>
      </c>
      <c r="AU56" s="18">
        <f>IF(AP56&lt;=17,"F",IF(AR56&lt;=39,"F",IF(AR56&lt;=49,"P",IF(AR56&lt;=54,"C",IF(AR56&lt;=59,"B",IF(AR56&lt;=69,"B+",IF(AR56&lt;=79,"A",IF(AR56&lt;=89,"A+","O"))))))))</f>
        <v/>
      </c>
      <c r="AV56" s="18">
        <f>AS56*AT56</f>
        <v/>
      </c>
      <c r="AW56" s="18" t="n"/>
      <c r="AX56" s="9" t="n">
        <v>40</v>
      </c>
      <c r="AY56" s="9" t="n">
        <v>46</v>
      </c>
      <c r="AZ56" s="9" t="n"/>
      <c r="BA56" s="18">
        <f>(AX56+AY56)</f>
        <v/>
      </c>
      <c r="BB56" s="18" t="n">
        <v>1</v>
      </c>
      <c r="BC56" s="18">
        <f>IF(AY56&lt;=17,"0",IF(BA56&lt;=39,"0",IF(BA56&lt;=49,"4",IF(BA56&lt;=54,"5",IF(BA56&lt;=59,"6",IF(BA56&lt;=69,"7",IF(BA56&lt;=79,"8",IF(BA56&lt;=89,"9","10"))))))))</f>
        <v/>
      </c>
      <c r="BD56" s="18">
        <f>IF(AY56&lt;=17,"F",IF(BA56&lt;=39,"F",IF(BA56&lt;=49,"P",IF(BA56&lt;=54,"C",IF(BA56&lt;=59,"B",IF(BA56&lt;=69,"B+",IF(BA56&lt;=79,"A",IF(BA56&lt;=89,"A+","O"))))))))</f>
        <v/>
      </c>
      <c r="BE56" s="18">
        <f>BB56*BC56</f>
        <v/>
      </c>
      <c r="BF56" s="43" t="inlineStr">
        <is>
          <t>Balake Kannada</t>
        </is>
      </c>
      <c r="BG56" s="9" t="n">
        <v>22</v>
      </c>
      <c r="BH56" s="9" t="n">
        <v>40</v>
      </c>
      <c r="BI56" s="9" t="n"/>
      <c r="BJ56" s="18">
        <f>(BG56+BH56)</f>
        <v/>
      </c>
      <c r="BK56" s="18" t="n">
        <v>1</v>
      </c>
      <c r="BL56" s="18">
        <f>IF(BH56&lt;=17,"0",IF(BJ56&lt;=39,"0",IF(BJ56&lt;=49,"4",IF(BJ56&lt;=54,"5",IF(BJ56&lt;=59,"6",IF(BJ56&lt;=69,"7",IF(BJ56&lt;=79,"8",IF(BJ56&lt;=89,"9","10"))))))))</f>
        <v/>
      </c>
      <c r="BM56" s="18">
        <f>IF(BH56&lt;=17,"F",IF(BJ56&lt;=39,"F",IF(BJ56&lt;=49,"P",IF(BJ56&lt;=54,"C",IF(BJ56&lt;=59,"B",IF(BJ56&lt;=69,"B+",IF(BJ56&lt;=79,"A",IF(BJ56&lt;=89,"A+","O"))))))))</f>
        <v/>
      </c>
      <c r="BN56" s="18">
        <f>BK56*BL56</f>
        <v/>
      </c>
      <c r="BO56" s="18" t="n"/>
      <c r="BP56" s="9" t="n">
        <v>30</v>
      </c>
      <c r="BQ56" s="9" t="n">
        <v>609</v>
      </c>
      <c r="BR56" s="9" t="n"/>
      <c r="BS56" s="18">
        <f>(BP56+BQ56)</f>
        <v/>
      </c>
      <c r="BT56" s="18" t="n">
        <v>1</v>
      </c>
      <c r="BU56" s="18">
        <f>IF(BQ56&lt;=17,"0",IF(BS56&lt;=39,"0",IF(BS56&lt;=49,"4",IF(BS56&lt;=54,"5",IF(BS56&lt;=59,"6",IF(BS56&lt;=69,"7",IF(BS56&lt;=79,"8",IF(BS56&lt;=89,"9","10"))))))))</f>
        <v/>
      </c>
      <c r="BV56" s="18">
        <f>IF(BQ56&lt;=17,"F",IF(BS56&lt;=39,"F",IF(BS56&lt;=49,"P",IF(BS56&lt;=54,"C",IF(BS56&lt;=59,"B",IF(BS56&lt;=69,"B+",IF(BS56&lt;=79,"A",IF(BS56&lt;=89,"A+","O"))))))))</f>
        <v/>
      </c>
      <c r="BW56" s="18">
        <f>BT56*BU56</f>
        <v/>
      </c>
      <c r="BX56" s="18" t="n"/>
      <c r="BY56" s="18" t="n"/>
      <c r="BZ56" s="18">
        <f>L56+U56+AD56+AM56+AV56+BE56+BN56+BW56</f>
        <v/>
      </c>
      <c r="CA56" s="19">
        <f>BZ56/20</f>
        <v/>
      </c>
      <c r="CB56" s="28">
        <f>IF(CA56&lt;4,"F",IF(BV56="F","F",IF(BM56="F","F",IF(BD56="F","F",IF(AU56="F","F",IF(AL56="F","F",IF(AC56="F","F",IF(T56="F","F",IF(K56="F","F",IF(CA56&lt;=5,"C",IF(CA56&lt;6,"B",IF(CA56&lt;7,"B+",IF(CA56&lt;8,"A",IF(CA56&lt;=9,"A+","O"))))))))))))))</f>
        <v/>
      </c>
      <c r="CC56" s="27">
        <f>CA56*9.5</f>
        <v/>
      </c>
      <c r="CD56" s="27" t="n"/>
      <c r="CE56" s="28">
        <f>SUM(BS56,BJ56,BA56,AR56,AI56,Z56,Q56,H56)</f>
        <v/>
      </c>
      <c r="CF56" s="28">
        <f>(CE56/800)*100</f>
        <v/>
      </c>
      <c r="CG56" s="27" t="n"/>
      <c r="CH56" s="27" t="n"/>
      <c r="CI56" s="27">
        <f>IF(CA56&lt;=4,"F",IF(CA56&lt;=6,"PASS",IF(CA56&lt;=6.5,"SC",IF(CA56&lt;=7.5,"FC",IF(CA56&lt;="10","FCD")))))</f>
        <v/>
      </c>
    </row>
    <row r="57" ht="15.75" customHeight="1">
      <c r="A57" s="35">
        <f>A56+1</f>
        <v/>
      </c>
      <c r="B57" s="111" t="inlineStr">
        <is>
          <t>1bi23cd050</t>
        </is>
      </c>
      <c r="C57" s="111" t="inlineStr">
        <is>
          <t>TALACHERU MOKSHAGNA LAKSHMI RAHUL</t>
        </is>
      </c>
      <c r="D57" s="47" t="inlineStr">
        <is>
          <t>D</t>
        </is>
      </c>
      <c r="E57" s="9" t="n">
        <v>2</v>
      </c>
      <c r="F57" s="9" t="n">
        <v>49</v>
      </c>
      <c r="G57" s="9" t="n"/>
      <c r="H57" s="18">
        <f>SUM(E57:F57)</f>
        <v/>
      </c>
      <c r="I57" s="18" t="n">
        <v>4</v>
      </c>
      <c r="J57" s="18">
        <f>IF(F57&lt;=17,"0",IF(H57&lt;=39,"0",IF(H57&lt;=49,"4",IF(H57&lt;=54,"5",IF(H57&lt;=59,"6",IF(H57&lt;=69,"7",IF(H57&lt;=79,"8",IF(H57&lt;=89,"9","10"))))))))</f>
        <v/>
      </c>
      <c r="K57" s="18">
        <f>IF(F57&lt;=17,"F",IF(H57&lt;=39,"F",IF(H57&lt;=49,"P",IF(H57&lt;=54,"C",IF(H57&lt;=59,"B",IF(H57&lt;=69,"B+",IF(H57&lt;=79,"A",IF(H57&lt;=89,"A+","O"))))))))</f>
        <v/>
      </c>
      <c r="L57" s="18">
        <f>I57*J57</f>
        <v/>
      </c>
      <c r="M57" s="18" t="n"/>
      <c r="N57" s="9" t="n">
        <v>5</v>
      </c>
      <c r="O57" s="9" t="n">
        <v>40</v>
      </c>
      <c r="P57" s="9" t="n"/>
      <c r="Q57" s="18">
        <f>SUM(N57:O57)</f>
        <v/>
      </c>
      <c r="R57" s="18" t="n">
        <v>4</v>
      </c>
      <c r="S57" s="18">
        <f>IF(O57&lt;=17,"0",IF(Q57&lt;=39,"4",IF(Q57&lt;=49,"4",IF(Q57&lt;=54,"5",IF(Q57&lt;=59,"6",IF(Q57&lt;=69,"7",IF(Q57&lt;=79,"8",IF(Q57&lt;=89,"9","10"))))))))</f>
        <v/>
      </c>
      <c r="T57" s="18">
        <f>IF(O57&lt;=17,"F",IF(Q57&lt;=39,"F",IF(Q57&lt;=49,"P",IF(Q57&lt;=54,"C",IF(Q57&lt;=59,"B",IF(Q57&lt;=69,"B+",IF(Q57&lt;=79,"A",IF(Q57&lt;=89,"A+","O"))))))))</f>
        <v/>
      </c>
      <c r="U57" s="18">
        <f>R57*S57</f>
        <v/>
      </c>
      <c r="V57" s="18" t="n"/>
      <c r="W57" s="9" t="n">
        <v>25</v>
      </c>
      <c r="X57" s="9" t="n">
        <v>45</v>
      </c>
      <c r="Y57" s="18" t="n"/>
      <c r="Z57" s="18">
        <f>SUM(W57:X57)</f>
        <v/>
      </c>
      <c r="AA57" s="18" t="n">
        <v>3</v>
      </c>
      <c r="AB57" s="18">
        <f>IF(X57&lt;=17,"0",IF(Z57&lt;=39,"0",IF(Z57&lt;=49,"4",IF(Z57&lt;=54,"5",IF(Z57&lt;=59,"6",IF(Z57&lt;=69,"7",IF(Z57&lt;=79,"8",IF(Z57&lt;=89,"9","10"))))))))</f>
        <v/>
      </c>
      <c r="AC57" s="18">
        <f>IF(X57&lt;=17,"F",IF(Z57&lt;=39,"F",IF(Z57&lt;=49,"P",IF(Z57&lt;=54,"C",IF(Z57&lt;=59,"B",IF(Z57&lt;=69,"B+",IF(Z57&lt;=79,"A",IF(Z57&lt;=89,"A+","O"))))))))</f>
        <v/>
      </c>
      <c r="AD57" s="18">
        <f>AA57*AB57</f>
        <v/>
      </c>
      <c r="AE57" s="18" t="n"/>
      <c r="AF57" s="46" t="n">
        <v>22</v>
      </c>
      <c r="AG57" s="46" t="n">
        <v>40</v>
      </c>
      <c r="AH57" s="9" t="n"/>
      <c r="AI57" s="18">
        <f>SUM(AF57:AG57)</f>
        <v/>
      </c>
      <c r="AJ57" s="18" t="n">
        <v>3</v>
      </c>
      <c r="AK57" s="18">
        <f>IF(AG57&lt;=17,"0",IF(AI57&lt;=39,"0",IF(AI57&lt;=49,"4",IF(AI57&lt;=54,"5",IF(AI57&lt;=59,"6",IF(AI57&lt;=69,"7",IF(AI57&lt;=79,"8",IF(AI57&lt;=89,"9","10"))))))))</f>
        <v/>
      </c>
      <c r="AL57" s="18">
        <f>IF(AG57&lt;=17,"F",IF(AI57&lt;=39,"F",IF(AI57&lt;=49,"P",IF(AI57&lt;=54,"C",IF(AI57&lt;=59,"B",IF(AI57&lt;=69,"B+",IF(AI57&lt;=79,"A",IF(AI57&lt;=89,"A+","O"))))))))</f>
        <v/>
      </c>
      <c r="AM57" s="18">
        <f>AJ57*AK57</f>
        <v/>
      </c>
      <c r="AN57" s="18" t="n"/>
      <c r="AO57" s="46" t="n">
        <v>24</v>
      </c>
      <c r="AP57" s="46" t="n">
        <v>41</v>
      </c>
      <c r="AQ57" s="9" t="n"/>
      <c r="AR57" s="18">
        <f>(AO57+AP57)</f>
        <v/>
      </c>
      <c r="AS57" s="18" t="n">
        <v>3</v>
      </c>
      <c r="AT57" s="18">
        <f>IF(AP57&lt;=17,"0",IF(AR57&lt;=39,"0",IF(AR57&lt;=49,"4",IF(AR57&lt;=54,"5",IF(AR57&lt;=59,"6",IF(AR57&lt;=69,"7",IF(AR57&lt;=79,"8",IF(AR57&lt;=89,"9","10"))))))))</f>
        <v/>
      </c>
      <c r="AU57" s="18">
        <f>IF(AP57&lt;=17,"F",IF(AR57&lt;=39,"F",IF(AR57&lt;=49,"P",IF(AR57&lt;=54,"C",IF(AR57&lt;=59,"B",IF(AR57&lt;=69,"B+",IF(AR57&lt;=79,"A",IF(AR57&lt;=89,"A+","O"))))))))</f>
        <v/>
      </c>
      <c r="AV57" s="18">
        <f>AS57*AT57</f>
        <v/>
      </c>
      <c r="AW57" s="18" t="n"/>
      <c r="AX57" s="9" t="n">
        <v>41</v>
      </c>
      <c r="AY57" s="9" t="n">
        <v>40</v>
      </c>
      <c r="AZ57" s="9" t="n"/>
      <c r="BA57" s="18">
        <f>(AX57+AY57)</f>
        <v/>
      </c>
      <c r="BB57" s="18" t="n">
        <v>1</v>
      </c>
      <c r="BC57" s="18">
        <f>IF(AY57&lt;=17,"0",IF(BA57&lt;=39,"0",IF(BA57&lt;=49,"4",IF(BA57&lt;=54,"5",IF(BA57&lt;=59,"6",IF(BA57&lt;=69,"7",IF(BA57&lt;=79,"8",IF(BA57&lt;=89,"9","10"))))))))</f>
        <v/>
      </c>
      <c r="BD57" s="18">
        <f>IF(AY57&lt;=17,"F",IF(BA57&lt;=39,"F",IF(BA57&lt;=49,"P",IF(BA57&lt;=54,"C",IF(BA57&lt;=59,"B",IF(BA57&lt;=69,"B+",IF(BA57&lt;=79,"A",IF(BA57&lt;=89,"A+","O"))))))))</f>
        <v/>
      </c>
      <c r="BE57" s="18">
        <f>BB57*BC57</f>
        <v/>
      </c>
      <c r="BF57" s="43" t="inlineStr">
        <is>
          <t>Samskrutika Kannada</t>
        </is>
      </c>
      <c r="BG57" s="9" t="n">
        <v>13</v>
      </c>
      <c r="BH57" s="9" t="n">
        <v>33</v>
      </c>
      <c r="BI57" s="9" t="n"/>
      <c r="BJ57" s="18">
        <f>(BG57+BH57)</f>
        <v/>
      </c>
      <c r="BK57" s="18" t="n">
        <v>1</v>
      </c>
      <c r="BL57" s="18">
        <f>IF(BH57&lt;=17,"0",IF(BJ57&lt;=39,"0",IF(BJ57&lt;=49,"4",IF(BJ57&lt;=54,"5",IF(BJ57&lt;=59,"6",IF(BJ57&lt;=69,"7",IF(BJ57&lt;=79,"8",IF(BJ57&lt;=89,"9","10"))))))))</f>
        <v/>
      </c>
      <c r="BM57" s="18">
        <f>IF(BH57&lt;=17,"F",IF(BJ57&lt;=39,"F",IF(BJ57&lt;=49,"P",IF(BJ57&lt;=54,"C",IF(BJ57&lt;=59,"B",IF(BJ57&lt;=69,"B+",IF(BJ57&lt;=79,"A",IF(BJ57&lt;=89,"A+","O"))))))))</f>
        <v/>
      </c>
      <c r="BN57" s="18">
        <f>BK57*BL57</f>
        <v/>
      </c>
      <c r="BO57" s="18" t="n"/>
      <c r="BP57" s="9" t="n">
        <v>18</v>
      </c>
      <c r="BQ57" s="9" t="n">
        <v>477</v>
      </c>
      <c r="BR57" s="9" t="n"/>
      <c r="BS57" s="18">
        <f>(BP57+BQ57)</f>
        <v/>
      </c>
      <c r="BT57" s="18" t="n">
        <v>1</v>
      </c>
      <c r="BU57" s="18">
        <f>IF(BQ57&lt;=17,"0",IF(BS57&lt;=39,"0",IF(BS57&lt;=49,"4",IF(BS57&lt;=54,"5",IF(BS57&lt;=59,"6",IF(BS57&lt;=69,"7",IF(BS57&lt;=79,"8",IF(BS57&lt;=89,"9","10"))))))))</f>
        <v/>
      </c>
      <c r="BV57" s="18">
        <f>IF(BQ57&lt;=17,"F",IF(BS57&lt;=39,"F",IF(BS57&lt;=49,"P",IF(BS57&lt;=54,"C",IF(BS57&lt;=59,"B",IF(BS57&lt;=69,"B+",IF(BS57&lt;=79,"A",IF(BS57&lt;=89,"A+","O"))))))))</f>
        <v/>
      </c>
      <c r="BW57" s="18">
        <f>BT57*BU57</f>
        <v/>
      </c>
      <c r="BX57" s="18" t="n"/>
      <c r="BY57" s="18" t="n"/>
      <c r="BZ57" s="18">
        <f>L57+U57+AD57+AM57+AV57+BE57+BN57+BW57</f>
        <v/>
      </c>
      <c r="CA57" s="19">
        <f>BZ57/20</f>
        <v/>
      </c>
      <c r="CB57" s="28">
        <f>IF(CA57&lt;4,"F",IF(BV57="F","F",IF(BM57="F","F",IF(BD57="F","F",IF(AU57="F","F",IF(AL57="F","F",IF(AC57="F","F",IF(T57="F","F",IF(K57="F","F",IF(CA57&lt;=5,"C",IF(CA57&lt;6,"B",IF(CA57&lt;7,"B+",IF(CA57&lt;8,"A",IF(CA57&lt;=9,"A+","O"))))))))))))))</f>
        <v/>
      </c>
      <c r="CC57" s="27">
        <f>CA57*9.5</f>
        <v/>
      </c>
      <c r="CD57" s="27" t="n"/>
      <c r="CE57" s="28">
        <f>SUM(BS57,BJ57,BA57,AR57,AI57,Z57,Q57,H57)</f>
        <v/>
      </c>
      <c r="CF57" s="28">
        <f>(CE57/800)*100</f>
        <v/>
      </c>
      <c r="CG57" s="27" t="n"/>
      <c r="CH57" s="27" t="n"/>
      <c r="CI57" s="27">
        <f>IF(CA57&lt;=4,"F",IF(CA57&lt;=6,"PASS",IF(CA57&lt;=6.5,"SC",IF(CA57&lt;=7.5,"FC",IF(CA57&lt;="10","FCD")))))</f>
        <v/>
      </c>
    </row>
    <row r="58" ht="15.75" customHeight="1">
      <c r="A58" s="35">
        <f>A57+1</f>
        <v/>
      </c>
      <c r="B58" s="85" t="inlineStr">
        <is>
          <t>1bi23cd051</t>
        </is>
      </c>
      <c r="C58" s="85" t="inlineStr">
        <is>
          <t>TEJAS C</t>
        </is>
      </c>
      <c r="D58" s="47" t="inlineStr">
        <is>
          <t>D</t>
        </is>
      </c>
      <c r="E58" s="9" t="n">
        <v>19</v>
      </c>
      <c r="F58" s="9" t="n">
        <v>47</v>
      </c>
      <c r="G58" s="9" t="n"/>
      <c r="H58" s="18">
        <f>SUM(E58:F58)</f>
        <v/>
      </c>
      <c r="I58" s="18" t="n">
        <v>4</v>
      </c>
      <c r="J58" s="18">
        <f>IF(F58&lt;=17,"0",IF(H58&lt;=39,"0",IF(H58&lt;=49,"4",IF(H58&lt;=54,"5",IF(H58&lt;=59,"6",IF(H58&lt;=69,"7",IF(H58&lt;=79,"8",IF(H58&lt;=89,"9","10"))))))))</f>
        <v/>
      </c>
      <c r="K58" s="18">
        <f>IF(F58&lt;=17,"F",IF(H58&lt;=39,"F",IF(H58&lt;=49,"P",IF(H58&lt;=54,"C",IF(H58&lt;=59,"B",IF(H58&lt;=69,"B+",IF(H58&lt;=79,"A",IF(H58&lt;=89,"A+","O"))))))))</f>
        <v/>
      </c>
      <c r="L58" s="18">
        <f>I58*J58</f>
        <v/>
      </c>
      <c r="M58" s="18" t="n"/>
      <c r="N58" s="9" t="n">
        <v>25</v>
      </c>
      <c r="O58" s="9" t="n">
        <v>44</v>
      </c>
      <c r="P58" s="9" t="n"/>
      <c r="Q58" s="18">
        <f>SUM(N58:O58)</f>
        <v/>
      </c>
      <c r="R58" s="18" t="n">
        <v>4</v>
      </c>
      <c r="S58" s="18">
        <f>IF(O58&lt;=17,"0",IF(Q58&lt;=39,"4",IF(Q58&lt;=49,"4",IF(Q58&lt;=54,"5",IF(Q58&lt;=59,"6",IF(Q58&lt;=69,"7",IF(Q58&lt;=79,"8",IF(Q58&lt;=89,"9","10"))))))))</f>
        <v/>
      </c>
      <c r="T58" s="18">
        <f>IF(O58&lt;=17,"F",IF(Q58&lt;=39,"F",IF(Q58&lt;=49,"P",IF(Q58&lt;=54,"C",IF(Q58&lt;=59,"B",IF(Q58&lt;=69,"B+",IF(Q58&lt;=79,"A",IF(Q58&lt;=89,"A+","O"))))))))</f>
        <v/>
      </c>
      <c r="U58" s="18">
        <f>R58*S58</f>
        <v/>
      </c>
      <c r="V58" s="18" t="n"/>
      <c r="W58" s="9" t="n">
        <v>39</v>
      </c>
      <c r="X58" s="9" t="n">
        <v>44</v>
      </c>
      <c r="Y58" s="18" t="n"/>
      <c r="Z58" s="18">
        <f>SUM(W58:X58)</f>
        <v/>
      </c>
      <c r="AA58" s="18" t="n">
        <v>3</v>
      </c>
      <c r="AB58" s="18">
        <f>IF(X58&lt;=17,"0",IF(Z58&lt;=39,"0",IF(Z58&lt;=49,"4",IF(Z58&lt;=54,"5",IF(Z58&lt;=59,"6",IF(Z58&lt;=69,"7",IF(Z58&lt;=79,"8",IF(Z58&lt;=89,"9","10"))))))))</f>
        <v/>
      </c>
      <c r="AC58" s="18">
        <f>IF(X58&lt;=17,"F",IF(Z58&lt;=39,"F",IF(Z58&lt;=49,"P",IF(Z58&lt;=54,"C",IF(Z58&lt;=59,"B",IF(Z58&lt;=69,"B+",IF(Z58&lt;=79,"A",IF(Z58&lt;=89,"A+","O"))))))))</f>
        <v/>
      </c>
      <c r="AD58" s="18">
        <f>AA58*AB58</f>
        <v/>
      </c>
      <c r="AE58" s="18" t="n"/>
      <c r="AF58" s="46" t="n">
        <v>37</v>
      </c>
      <c r="AG58" s="46" t="n">
        <v>41</v>
      </c>
      <c r="AH58" s="9" t="n"/>
      <c r="AI58" s="18">
        <f>SUM(AF58:AG58)</f>
        <v/>
      </c>
      <c r="AJ58" s="18" t="n">
        <v>3</v>
      </c>
      <c r="AK58" s="18">
        <f>IF(AG58&lt;=17,"0",IF(AI58&lt;=39,"0",IF(AI58&lt;=49,"4",IF(AI58&lt;=54,"5",IF(AI58&lt;=59,"6",IF(AI58&lt;=69,"7",IF(AI58&lt;=79,"8",IF(AI58&lt;=89,"9","10"))))))))</f>
        <v/>
      </c>
      <c r="AL58" s="18">
        <f>IF(AG58&lt;=17,"F",IF(AI58&lt;=39,"F",IF(AI58&lt;=49,"P",IF(AI58&lt;=54,"C",IF(AI58&lt;=59,"B",IF(AI58&lt;=69,"B+",IF(AI58&lt;=79,"A",IF(AI58&lt;=89,"A+","O"))))))))</f>
        <v/>
      </c>
      <c r="AM58" s="18">
        <f>AJ58*AK58</f>
        <v/>
      </c>
      <c r="AN58" s="18" t="n"/>
      <c r="AO58" s="46" t="n">
        <v>27</v>
      </c>
      <c r="AP58" s="46" t="n">
        <v>47</v>
      </c>
      <c r="AQ58" s="9" t="n"/>
      <c r="AR58" s="18">
        <f>(AO58+AP58)</f>
        <v/>
      </c>
      <c r="AS58" s="18" t="n">
        <v>3</v>
      </c>
      <c r="AT58" s="18">
        <f>IF(AP58&lt;=17,"0",IF(AR58&lt;=39,"0",IF(AR58&lt;=49,"4",IF(AR58&lt;=54,"5",IF(AR58&lt;=59,"6",IF(AR58&lt;=69,"7",IF(AR58&lt;=79,"8",IF(AR58&lt;=89,"9","10"))))))))</f>
        <v/>
      </c>
      <c r="AU58" s="18">
        <f>IF(AP58&lt;=17,"F",IF(AR58&lt;=39,"F",IF(AR58&lt;=49,"P",IF(AR58&lt;=54,"C",IF(AR58&lt;=59,"B",IF(AR58&lt;=69,"B+",IF(AR58&lt;=79,"A",IF(AR58&lt;=89,"A+","O"))))))))</f>
        <v/>
      </c>
      <c r="AV58" s="18">
        <f>AS58*AT58</f>
        <v/>
      </c>
      <c r="AW58" s="18" t="n"/>
      <c r="AX58" s="9" t="n">
        <v>38</v>
      </c>
      <c r="AY58" s="9" t="n">
        <v>42</v>
      </c>
      <c r="AZ58" s="9" t="n"/>
      <c r="BA58" s="18">
        <f>(AX58+AY58)</f>
        <v/>
      </c>
      <c r="BB58" s="18" t="n">
        <v>1</v>
      </c>
      <c r="BC58" s="18">
        <f>IF(AY58&lt;=17,"0",IF(BA58&lt;=39,"0",IF(BA58&lt;=49,"4",IF(BA58&lt;=54,"5",IF(BA58&lt;=59,"6",IF(BA58&lt;=69,"7",IF(BA58&lt;=79,"8",IF(BA58&lt;=89,"9","10"))))))))</f>
        <v/>
      </c>
      <c r="BD58" s="18">
        <f>IF(AY58&lt;=17,"F",IF(BA58&lt;=39,"F",IF(BA58&lt;=49,"P",IF(BA58&lt;=54,"C",IF(BA58&lt;=59,"B",IF(BA58&lt;=69,"B+",IF(BA58&lt;=79,"A",IF(BA58&lt;=89,"A+","O"))))))))</f>
        <v/>
      </c>
      <c r="BE58" s="18">
        <f>BB58*BC58</f>
        <v/>
      </c>
      <c r="BF58" s="43" t="inlineStr">
        <is>
          <t>Samskrutika Kannada</t>
        </is>
      </c>
      <c r="BG58" s="9" t="n">
        <v>35</v>
      </c>
      <c r="BH58" s="9" t="n">
        <v>42</v>
      </c>
      <c r="BI58" s="9" t="n"/>
      <c r="BJ58" s="18">
        <f>(BG58+BH58)</f>
        <v/>
      </c>
      <c r="BK58" s="18" t="n">
        <v>1</v>
      </c>
      <c r="BL58" s="18">
        <f>IF(BH58&lt;=17,"0",IF(BJ58&lt;=39,"0",IF(BJ58&lt;=49,"4",IF(BJ58&lt;=54,"5",IF(BJ58&lt;=59,"6",IF(BJ58&lt;=69,"7",IF(BJ58&lt;=79,"8",IF(BJ58&lt;=89,"9","10"))))))))</f>
        <v/>
      </c>
      <c r="BM58" s="18">
        <f>IF(BH58&lt;=17,"F",IF(BJ58&lt;=39,"F",IF(BJ58&lt;=49,"P",IF(BJ58&lt;=54,"C",IF(BJ58&lt;=59,"B",IF(BJ58&lt;=69,"B+",IF(BJ58&lt;=79,"A",IF(BJ58&lt;=89,"A+","O"))))))))</f>
        <v/>
      </c>
      <c r="BN58" s="18">
        <f>BK58*BL58</f>
        <v/>
      </c>
      <c r="BO58" s="18" t="n"/>
      <c r="BP58" s="9" t="n">
        <v>24</v>
      </c>
      <c r="BQ58" s="9" t="n">
        <v>592</v>
      </c>
      <c r="BR58" s="9" t="n"/>
      <c r="BS58" s="18">
        <f>(BP58+BQ58)</f>
        <v/>
      </c>
      <c r="BT58" s="18" t="n">
        <v>1</v>
      </c>
      <c r="BU58" s="18">
        <f>IF(BQ58&lt;=17,"0",IF(BS58&lt;=39,"0",IF(BS58&lt;=49,"4",IF(BS58&lt;=54,"5",IF(BS58&lt;=59,"6",IF(BS58&lt;=69,"7",IF(BS58&lt;=79,"8",IF(BS58&lt;=89,"9","10"))))))))</f>
        <v/>
      </c>
      <c r="BV58" s="18">
        <f>IF(BQ58&lt;=17,"F",IF(BS58&lt;=39,"F",IF(BS58&lt;=49,"P",IF(BS58&lt;=54,"C",IF(BS58&lt;=59,"B",IF(BS58&lt;=69,"B+",IF(BS58&lt;=79,"A",IF(BS58&lt;=89,"A+","O"))))))))</f>
        <v/>
      </c>
      <c r="BW58" s="18">
        <f>BT58*BU58</f>
        <v/>
      </c>
      <c r="BX58" s="18" t="n"/>
      <c r="BY58" s="18" t="n"/>
      <c r="BZ58" s="18">
        <f>L58+U58+AD58+AM58+AV58+BE58+BN58+BW58</f>
        <v/>
      </c>
      <c r="CA58" s="19">
        <f>BZ58/20</f>
        <v/>
      </c>
      <c r="CB58" s="28">
        <f>IF(CA58&lt;4,"F",IF(BV58="F","F",IF(BM58="F","F",IF(BD58="F","F",IF(AU58="F","F",IF(AL58="F","F",IF(AC58="F","F",IF(T58="F","F",IF(K58="F","F",IF(CA58&lt;=5,"C",IF(CA58&lt;6,"B",IF(CA58&lt;7,"B+",IF(CA58&lt;8,"A",IF(CA58&lt;=9,"A+","O"))))))))))))))</f>
        <v/>
      </c>
      <c r="CC58" s="27">
        <f>CA58*9.5</f>
        <v/>
      </c>
      <c r="CD58" s="27" t="n"/>
      <c r="CE58" s="28">
        <f>SUM(BS58,BJ58,BA58,AR58,AI58,Z58,Q58,H58)</f>
        <v/>
      </c>
      <c r="CF58" s="28">
        <f>(CE58/800)*100</f>
        <v/>
      </c>
      <c r="CG58" s="27" t="n"/>
      <c r="CH58" s="27" t="n"/>
      <c r="CI58" s="27">
        <f>IF(CA58&lt;=4,"F",IF(CA58&lt;=6,"PASS",IF(CA58&lt;=6.5,"SC",IF(CA58&lt;=7.5,"FC",IF(CA58&lt;="10","FCD")))))</f>
        <v/>
      </c>
    </row>
    <row r="59" ht="15.75" customHeight="1">
      <c r="A59" s="35">
        <f>A58+1</f>
        <v/>
      </c>
      <c r="B59" s="85" t="inlineStr">
        <is>
          <t>1bi23cd052</t>
        </is>
      </c>
      <c r="C59" s="85" t="inlineStr">
        <is>
          <t>TRIVIKRAM NARAYANAN</t>
        </is>
      </c>
      <c r="D59" s="47" t="inlineStr">
        <is>
          <t>D</t>
        </is>
      </c>
      <c r="E59" s="9" t="n">
        <v>39</v>
      </c>
      <c r="F59" s="9" t="n">
        <v>50</v>
      </c>
      <c r="G59" s="9" t="n"/>
      <c r="H59" s="18">
        <f>SUM(E59:F59)</f>
        <v/>
      </c>
      <c r="I59" s="18" t="n">
        <v>4</v>
      </c>
      <c r="J59" s="18">
        <f>IF(F59&lt;=17,"0",IF(H59&lt;=39,"0",IF(H59&lt;=49,"4",IF(H59&lt;=54,"5",IF(H59&lt;=59,"6",IF(H59&lt;=69,"7",IF(H59&lt;=79,"8",IF(H59&lt;=89,"9","10"))))))))</f>
        <v/>
      </c>
      <c r="K59" s="18">
        <f>IF(F59&lt;=17,"F",IF(H59&lt;=39,"F",IF(H59&lt;=49,"P",IF(H59&lt;=54,"C",IF(H59&lt;=59,"B",IF(H59&lt;=69,"B+",IF(H59&lt;=79,"A",IF(H59&lt;=89,"A+","O"))))))))</f>
        <v/>
      </c>
      <c r="L59" s="18">
        <f>I59*J59</f>
        <v/>
      </c>
      <c r="M59" s="18" t="n"/>
      <c r="N59" s="9" t="n">
        <v>31</v>
      </c>
      <c r="O59" s="9" t="n">
        <v>45</v>
      </c>
      <c r="P59" s="9" t="n"/>
      <c r="Q59" s="18">
        <f>SUM(N59:O59)</f>
        <v/>
      </c>
      <c r="R59" s="18" t="n">
        <v>4</v>
      </c>
      <c r="S59" s="18">
        <f>IF(O59&lt;=17,"0",IF(Q59&lt;=39,"4",IF(Q59&lt;=49,"4",IF(Q59&lt;=54,"5",IF(Q59&lt;=59,"6",IF(Q59&lt;=69,"7",IF(Q59&lt;=79,"8",IF(Q59&lt;=89,"9","10"))))))))</f>
        <v/>
      </c>
      <c r="T59" s="18">
        <f>IF(O59&lt;=17,"F",IF(Q59&lt;=39,"F",IF(Q59&lt;=49,"P",IF(Q59&lt;=54,"C",IF(Q59&lt;=59,"B",IF(Q59&lt;=69,"B+",IF(Q59&lt;=79,"A",IF(Q59&lt;=89,"A+","O"))))))))</f>
        <v/>
      </c>
      <c r="U59" s="18">
        <f>R59*S59</f>
        <v/>
      </c>
      <c r="V59" s="18" t="n"/>
      <c r="W59" s="9" t="n">
        <v>37</v>
      </c>
      <c r="X59" s="9" t="n">
        <v>44</v>
      </c>
      <c r="Y59" s="18" t="n"/>
      <c r="Z59" s="18">
        <f>SUM(W59:X59)</f>
        <v/>
      </c>
      <c r="AA59" s="18" t="n">
        <v>3</v>
      </c>
      <c r="AB59" s="18">
        <f>IF(X59&lt;=17,"0",IF(Z59&lt;=39,"0",IF(Z59&lt;=49,"4",IF(Z59&lt;=54,"5",IF(Z59&lt;=59,"6",IF(Z59&lt;=69,"7",IF(Z59&lt;=79,"8",IF(Z59&lt;=89,"9","10"))))))))</f>
        <v/>
      </c>
      <c r="AC59" s="18">
        <f>IF(X59&lt;=17,"F",IF(Z59&lt;=39,"F",IF(Z59&lt;=49,"P",IF(Z59&lt;=54,"C",IF(Z59&lt;=59,"B",IF(Z59&lt;=69,"B+",IF(Z59&lt;=79,"A",IF(Z59&lt;=89,"A+","O"))))))))</f>
        <v/>
      </c>
      <c r="AD59" s="18">
        <f>AA59*AB59</f>
        <v/>
      </c>
      <c r="AE59" s="18" t="n"/>
      <c r="AF59" s="46" t="n">
        <v>41</v>
      </c>
      <c r="AG59" s="46" t="n">
        <v>45</v>
      </c>
      <c r="AH59" s="9" t="n"/>
      <c r="AI59" s="18">
        <f>SUM(AF59:AG59)</f>
        <v/>
      </c>
      <c r="AJ59" s="18" t="n">
        <v>3</v>
      </c>
      <c r="AK59" s="18">
        <f>IF(AG59&lt;=17,"0",IF(AI59&lt;=39,"0",IF(AI59&lt;=49,"4",IF(AI59&lt;=54,"5",IF(AI59&lt;=59,"6",IF(AI59&lt;=69,"7",IF(AI59&lt;=79,"8",IF(AI59&lt;=89,"9","10"))))))))</f>
        <v/>
      </c>
      <c r="AL59" s="18">
        <f>IF(AG59&lt;=17,"F",IF(AI59&lt;=39,"F",IF(AI59&lt;=49,"P",IF(AI59&lt;=54,"C",IF(AI59&lt;=59,"B",IF(AI59&lt;=69,"B+",IF(AI59&lt;=79,"A",IF(AI59&lt;=89,"A+","O"))))))))</f>
        <v/>
      </c>
      <c r="AM59" s="18">
        <f>AJ59*AK59</f>
        <v/>
      </c>
      <c r="AN59" s="18" t="n"/>
      <c r="AO59" s="46" t="n">
        <v>26</v>
      </c>
      <c r="AP59" s="46" t="n">
        <v>47</v>
      </c>
      <c r="AQ59" s="9" t="n"/>
      <c r="AR59" s="18">
        <f>(AO59+AP59)</f>
        <v/>
      </c>
      <c r="AS59" s="18" t="n">
        <v>3</v>
      </c>
      <c r="AT59" s="18">
        <f>IF(AP59&lt;=17,"0",IF(AR59&lt;=39,"0",IF(AR59&lt;=49,"4",IF(AR59&lt;=54,"5",IF(AR59&lt;=59,"6",IF(AR59&lt;=69,"7",IF(AR59&lt;=79,"8",IF(AR59&lt;=89,"9","10"))))))))</f>
        <v/>
      </c>
      <c r="AU59" s="18">
        <f>IF(AP59&lt;=17,"F",IF(AR59&lt;=39,"F",IF(AR59&lt;=49,"P",IF(AR59&lt;=54,"C",IF(AR59&lt;=59,"B",IF(AR59&lt;=69,"B+",IF(AR59&lt;=79,"A",IF(AR59&lt;=89,"A+","O"))))))))</f>
        <v/>
      </c>
      <c r="AV59" s="18">
        <f>AS59*AT59</f>
        <v/>
      </c>
      <c r="AW59" s="18" t="n"/>
      <c r="AX59" s="9" t="n">
        <v>43</v>
      </c>
      <c r="AY59" s="9" t="n">
        <v>46</v>
      </c>
      <c r="AZ59" s="9" t="n"/>
      <c r="BA59" s="18">
        <f>(AX59+AY59)</f>
        <v/>
      </c>
      <c r="BB59" s="18" t="n">
        <v>1</v>
      </c>
      <c r="BC59" s="18">
        <f>IF(AY59&lt;=17,"0",IF(BA59&lt;=39,"0",IF(BA59&lt;=49,"4",IF(BA59&lt;=54,"5",IF(BA59&lt;=59,"6",IF(BA59&lt;=69,"7",IF(BA59&lt;=79,"8",IF(BA59&lt;=89,"9","10"))))))))</f>
        <v/>
      </c>
      <c r="BD59" s="18">
        <f>IF(AY59&lt;=17,"F",IF(BA59&lt;=39,"F",IF(BA59&lt;=49,"P",IF(BA59&lt;=54,"C",IF(BA59&lt;=59,"B",IF(BA59&lt;=69,"B+",IF(BA59&lt;=79,"A",IF(BA59&lt;=89,"A+","O"))))))))</f>
        <v/>
      </c>
      <c r="BE59" s="18">
        <f>BB59*BC59</f>
        <v/>
      </c>
      <c r="BF59" s="43" t="inlineStr">
        <is>
          <t>Samskrutika Kannada</t>
        </is>
      </c>
      <c r="BG59" s="9" t="n">
        <v>26</v>
      </c>
      <c r="BH59" s="9" t="n">
        <v>47</v>
      </c>
      <c r="BI59" s="9" t="n"/>
      <c r="BJ59" s="18">
        <f>(BG59+BH59)</f>
        <v/>
      </c>
      <c r="BK59" s="18" t="n">
        <v>1</v>
      </c>
      <c r="BL59" s="18">
        <f>IF(BH59&lt;=17,"0",IF(BJ59&lt;=39,"0",IF(BJ59&lt;=49,"4",IF(BJ59&lt;=54,"5",IF(BJ59&lt;=59,"6",IF(BJ59&lt;=69,"7",IF(BJ59&lt;=79,"8",IF(BJ59&lt;=89,"9","10"))))))))</f>
        <v/>
      </c>
      <c r="BM59" s="18">
        <f>IF(BH59&lt;=17,"F",IF(BJ59&lt;=39,"F",IF(BJ59&lt;=49,"P",IF(BJ59&lt;=54,"C",IF(BJ59&lt;=59,"B",IF(BJ59&lt;=69,"B+",IF(BJ59&lt;=79,"A",IF(BJ59&lt;=89,"A+","O"))))))))</f>
        <v/>
      </c>
      <c r="BN59" s="18">
        <f>BK59*BL59</f>
        <v/>
      </c>
      <c r="BO59" s="18" t="n"/>
      <c r="BP59" s="9" t="n">
        <v>30</v>
      </c>
      <c r="BQ59" s="9" t="n">
        <v>629</v>
      </c>
      <c r="BR59" s="9" t="n"/>
      <c r="BS59" s="18">
        <f>(BP59+BQ59)</f>
        <v/>
      </c>
      <c r="BT59" s="18" t="n">
        <v>1</v>
      </c>
      <c r="BU59" s="18">
        <f>IF(BQ59&lt;=17,"0",IF(BS59&lt;=39,"0",IF(BS59&lt;=49,"4",IF(BS59&lt;=54,"5",IF(BS59&lt;=59,"6",IF(BS59&lt;=69,"7",IF(BS59&lt;=79,"8",IF(BS59&lt;=89,"9","10"))))))))</f>
        <v/>
      </c>
      <c r="BV59" s="18">
        <f>IF(BQ59&lt;=17,"F",IF(BS59&lt;=39,"F",IF(BS59&lt;=49,"P",IF(BS59&lt;=54,"C",IF(BS59&lt;=59,"B",IF(BS59&lt;=69,"B+",IF(BS59&lt;=79,"A",IF(BS59&lt;=89,"A+","O"))))))))</f>
        <v/>
      </c>
      <c r="BW59" s="18">
        <f>BT59*BU59</f>
        <v/>
      </c>
      <c r="BX59" s="18" t="n"/>
      <c r="BY59" s="18" t="n"/>
      <c r="BZ59" s="18">
        <f>L59+U59+AD59+AM59+AV59+BE59+BN59+BW59</f>
        <v/>
      </c>
      <c r="CA59" s="19">
        <f>BZ59/20</f>
        <v/>
      </c>
      <c r="CB59" s="28">
        <f>IF(CA59&lt;4,"F",IF(BV59="F","F",IF(BM59="F","F",IF(BD59="F","F",IF(AU59="F","F",IF(AL59="F","F",IF(AC59="F","F",IF(T59="F","F",IF(K59="F","F",IF(CA59&lt;=5,"C",IF(CA59&lt;6,"B",IF(CA59&lt;7,"B+",IF(CA59&lt;8,"A",IF(CA59&lt;=9,"A+","O"))))))))))))))</f>
        <v/>
      </c>
      <c r="CC59" s="27">
        <f>CA59*9.5</f>
        <v/>
      </c>
      <c r="CD59" s="27" t="n"/>
      <c r="CE59" s="28">
        <f>SUM(BS59,BJ59,BA59,AR59,AI59,Z59,Q59,H59)</f>
        <v/>
      </c>
      <c r="CF59" s="28">
        <f>(CE59/800)*100</f>
        <v/>
      </c>
      <c r="CG59" s="27" t="n"/>
      <c r="CH59" s="27" t="n"/>
      <c r="CI59" s="27">
        <f>IF(CA59&lt;=4,"F",IF(CA59&lt;=6,"PASS",IF(CA59&lt;=6.5,"SC",IF(CA59&lt;=7.5,"FC",IF(CA59&lt;="10","FCD")))))</f>
        <v/>
      </c>
    </row>
    <row r="60" ht="15.75" customHeight="1">
      <c r="A60" s="35">
        <f>A59+1</f>
        <v/>
      </c>
      <c r="B60" s="85" t="inlineStr">
        <is>
          <t>1bi23cd053</t>
        </is>
      </c>
      <c r="C60" s="85" t="inlineStr">
        <is>
          <t>UMME SALMA</t>
        </is>
      </c>
      <c r="D60" s="47" t="inlineStr">
        <is>
          <t>D</t>
        </is>
      </c>
      <c r="E60" s="9" t="n">
        <v>49</v>
      </c>
      <c r="F60" s="9" t="n">
        <v>50</v>
      </c>
      <c r="G60" s="9" t="n"/>
      <c r="H60" s="18">
        <f>SUM(E60:F60)</f>
        <v/>
      </c>
      <c r="I60" s="18" t="n">
        <v>4</v>
      </c>
      <c r="J60" s="18">
        <f>IF(F60&lt;=17,"0",IF(H60&lt;=39,"0",IF(H60&lt;=49,"4",IF(H60&lt;=54,"5",IF(H60&lt;=59,"6",IF(H60&lt;=69,"7",IF(H60&lt;=79,"8",IF(H60&lt;=89,"9","10"))))))))</f>
        <v/>
      </c>
      <c r="K60" s="18">
        <f>IF(F60&lt;=17,"F",IF(H60&lt;=39,"F",IF(H60&lt;=49,"P",IF(H60&lt;=54,"C",IF(H60&lt;=59,"B",IF(H60&lt;=69,"B+",IF(H60&lt;=79,"A",IF(H60&lt;=89,"A+","O"))))))))</f>
        <v/>
      </c>
      <c r="L60" s="18">
        <f>I60*J60</f>
        <v/>
      </c>
      <c r="M60" s="18" t="n"/>
      <c r="N60" s="9" t="n">
        <v>36</v>
      </c>
      <c r="O60" s="9" t="n">
        <v>48</v>
      </c>
      <c r="P60" s="9" t="n"/>
      <c r="Q60" s="18">
        <f>SUM(N60:O60)</f>
        <v/>
      </c>
      <c r="R60" s="18" t="n">
        <v>4</v>
      </c>
      <c r="S60" s="18">
        <f>IF(O60&lt;=17,"0",IF(Q60&lt;=39,"4",IF(Q60&lt;=49,"4",IF(Q60&lt;=54,"5",IF(Q60&lt;=59,"6",IF(Q60&lt;=69,"7",IF(Q60&lt;=79,"8",IF(Q60&lt;=89,"9","10"))))))))</f>
        <v/>
      </c>
      <c r="T60" s="18">
        <f>IF(O60&lt;=17,"F",IF(Q60&lt;=39,"F",IF(Q60&lt;=49,"P",IF(Q60&lt;=54,"C",IF(Q60&lt;=59,"B",IF(Q60&lt;=69,"B+",IF(Q60&lt;=79,"A",IF(Q60&lt;=89,"A+","O"))))))))</f>
        <v/>
      </c>
      <c r="U60" s="18">
        <f>R60*S60</f>
        <v/>
      </c>
      <c r="V60" s="18" t="n"/>
      <c r="W60" s="9" t="n">
        <v>48</v>
      </c>
      <c r="X60" s="9" t="n">
        <v>49</v>
      </c>
      <c r="Y60" s="18" t="n"/>
      <c r="Z60" s="18">
        <f>SUM(W60:X60)</f>
        <v/>
      </c>
      <c r="AA60" s="18" t="n">
        <v>3</v>
      </c>
      <c r="AB60" s="18">
        <f>IF(X60&lt;=17,"0",IF(Z60&lt;=39,"0",IF(Z60&lt;=49,"4",IF(Z60&lt;=54,"5",IF(Z60&lt;=59,"6",IF(Z60&lt;=69,"7",IF(Z60&lt;=79,"8",IF(Z60&lt;=89,"9","10"))))))))</f>
        <v/>
      </c>
      <c r="AC60" s="18">
        <f>IF(X60&lt;=17,"F",IF(Z60&lt;=39,"F",IF(Z60&lt;=49,"P",IF(Z60&lt;=54,"C",IF(Z60&lt;=59,"B",IF(Z60&lt;=69,"B+",IF(Z60&lt;=79,"A",IF(Z60&lt;=89,"A+","O"))))))))</f>
        <v/>
      </c>
      <c r="AD60" s="18">
        <f>AA60*AB60</f>
        <v/>
      </c>
      <c r="AE60" s="18" t="n"/>
      <c r="AF60" s="46" t="n">
        <v>34</v>
      </c>
      <c r="AG60" s="46" t="n">
        <v>50</v>
      </c>
      <c r="AH60" s="9" t="n"/>
      <c r="AI60" s="18">
        <f>SUM(AF60:AG60)</f>
        <v/>
      </c>
      <c r="AJ60" s="18" t="n">
        <v>3</v>
      </c>
      <c r="AK60" s="18">
        <f>IF(AG60&lt;=17,"0",IF(AI60&lt;=39,"0",IF(AI60&lt;=49,"4",IF(AI60&lt;=54,"5",IF(AI60&lt;=59,"6",IF(AI60&lt;=69,"7",IF(AI60&lt;=79,"8",IF(AI60&lt;=89,"9","10"))))))))</f>
        <v/>
      </c>
      <c r="AL60" s="18">
        <f>IF(AG60&lt;=17,"F",IF(AI60&lt;=39,"F",IF(AI60&lt;=49,"P",IF(AI60&lt;=54,"C",IF(AI60&lt;=59,"B",IF(AI60&lt;=69,"B+",IF(AI60&lt;=79,"A",IF(AI60&lt;=89,"A+","O"))))))))</f>
        <v/>
      </c>
      <c r="AM60" s="18">
        <f>AJ60*AK60</f>
        <v/>
      </c>
      <c r="AN60" s="18" t="n"/>
      <c r="AO60" s="46" t="n">
        <v>27</v>
      </c>
      <c r="AP60" s="46" t="n">
        <v>50</v>
      </c>
      <c r="AQ60" s="9" t="n"/>
      <c r="AR60" s="18">
        <f>(AO60+AP60)</f>
        <v/>
      </c>
      <c r="AS60" s="18" t="n">
        <v>3</v>
      </c>
      <c r="AT60" s="18">
        <f>IF(AP60&lt;=17,"0",IF(AR60&lt;=39,"0",IF(AR60&lt;=49,"4",IF(AR60&lt;=54,"5",IF(AR60&lt;=59,"6",IF(AR60&lt;=69,"7",IF(AR60&lt;=79,"8",IF(AR60&lt;=89,"9","10"))))))))</f>
        <v/>
      </c>
      <c r="AU60" s="18">
        <f>IF(AP60&lt;=17,"F",IF(AR60&lt;=39,"F",IF(AR60&lt;=49,"P",IF(AR60&lt;=54,"C",IF(AR60&lt;=59,"B",IF(AR60&lt;=69,"B+",IF(AR60&lt;=79,"A",IF(AR60&lt;=89,"A+","O"))))))))</f>
        <v/>
      </c>
      <c r="AV60" s="18">
        <f>AS60*AT60</f>
        <v/>
      </c>
      <c r="AW60" s="18" t="n"/>
      <c r="AX60" s="9" t="n">
        <v>41</v>
      </c>
      <c r="AY60" s="9" t="n">
        <v>50</v>
      </c>
      <c r="AZ60" s="9" t="n"/>
      <c r="BA60" s="18">
        <f>(AX60+AY60)</f>
        <v/>
      </c>
      <c r="BB60" s="18" t="n">
        <v>1</v>
      </c>
      <c r="BC60" s="18">
        <f>IF(AY60&lt;=17,"0",IF(BA60&lt;=39,"0",IF(BA60&lt;=49,"4",IF(BA60&lt;=54,"5",IF(BA60&lt;=59,"6",IF(BA60&lt;=69,"7",IF(BA60&lt;=79,"8",IF(BA60&lt;=89,"9","10"))))))))</f>
        <v/>
      </c>
      <c r="BD60" s="18">
        <f>IF(AY60&lt;=17,"F",IF(BA60&lt;=39,"F",IF(BA60&lt;=49,"P",IF(BA60&lt;=54,"C",IF(BA60&lt;=59,"B",IF(BA60&lt;=69,"B+",IF(BA60&lt;=79,"A",IF(BA60&lt;=89,"A+","O"))))))))</f>
        <v/>
      </c>
      <c r="BE60" s="18">
        <f>BB60*BC60</f>
        <v/>
      </c>
      <c r="BF60" s="43" t="inlineStr">
        <is>
          <t>Balake Kannada</t>
        </is>
      </c>
      <c r="BG60" s="9" t="n">
        <v>42</v>
      </c>
      <c r="BH60" s="9" t="n">
        <v>50</v>
      </c>
      <c r="BI60" s="9" t="n"/>
      <c r="BJ60" s="18">
        <f>(BG60+BH60)</f>
        <v/>
      </c>
      <c r="BK60" s="18" t="n">
        <v>1</v>
      </c>
      <c r="BL60" s="18">
        <f>IF(BH60&lt;=17,"0",IF(BJ60&lt;=39,"0",IF(BJ60&lt;=49,"4",IF(BJ60&lt;=54,"5",IF(BJ60&lt;=59,"6",IF(BJ60&lt;=69,"7",IF(BJ60&lt;=79,"8",IF(BJ60&lt;=89,"9","10"))))))))</f>
        <v/>
      </c>
      <c r="BM60" s="18">
        <f>IF(BH60&lt;=17,"F",IF(BJ60&lt;=39,"F",IF(BJ60&lt;=49,"P",IF(BJ60&lt;=54,"C",IF(BJ60&lt;=59,"B",IF(BJ60&lt;=69,"B+",IF(BJ60&lt;=79,"A",IF(BJ60&lt;=89,"A+","O"))))))))</f>
        <v/>
      </c>
      <c r="BN60" s="18">
        <f>BK60*BL60</f>
        <v/>
      </c>
      <c r="BO60" s="18" t="n"/>
      <c r="BP60" s="9" t="n">
        <v>21</v>
      </c>
      <c r="BQ60" s="9" t="n">
        <v>695</v>
      </c>
      <c r="BR60" s="9" t="n"/>
      <c r="BS60" s="18">
        <f>(BP60+BQ60)</f>
        <v/>
      </c>
      <c r="BT60" s="18" t="n">
        <v>1</v>
      </c>
      <c r="BU60" s="18">
        <f>IF(BQ60&lt;=17,"0",IF(BS60&lt;=39,"0",IF(BS60&lt;=49,"4",IF(BS60&lt;=54,"5",IF(BS60&lt;=59,"6",IF(BS60&lt;=69,"7",IF(BS60&lt;=79,"8",IF(BS60&lt;=89,"9","10"))))))))</f>
        <v/>
      </c>
      <c r="BV60" s="18">
        <f>IF(BQ60&lt;=17,"F",IF(BS60&lt;=39,"F",IF(BS60&lt;=49,"P",IF(BS60&lt;=54,"C",IF(BS60&lt;=59,"B",IF(BS60&lt;=69,"B+",IF(BS60&lt;=79,"A",IF(BS60&lt;=89,"A+","O"))))))))</f>
        <v/>
      </c>
      <c r="BW60" s="18">
        <f>BT60*BU60</f>
        <v/>
      </c>
      <c r="BX60" s="18" t="n"/>
      <c r="BY60" s="18" t="n"/>
      <c r="BZ60" s="18">
        <f>L60+U60+AD60+AM60+AV60+BE60+BN60+BW60</f>
        <v/>
      </c>
      <c r="CA60" s="19">
        <f>BZ60/20</f>
        <v/>
      </c>
      <c r="CB60" s="28">
        <f>IF(CA60&lt;4,"F",IF(BV60="F","F",IF(BM60="F","F",IF(BD60="F","F",IF(AU60="F","F",IF(AL60="F","F",IF(AC60="F","F",IF(T60="F","F",IF(K60="F","F",IF(CA60&lt;=5,"C",IF(CA60&lt;6,"B",IF(CA60&lt;7,"B+",IF(CA60&lt;8,"A",IF(CA60&lt;=9,"A+","O"))))))))))))))</f>
        <v/>
      </c>
      <c r="CC60" s="27">
        <f>CA60*9.5</f>
        <v/>
      </c>
      <c r="CD60" s="27" t="n"/>
      <c r="CE60" s="28">
        <f>SUM(BS60,BJ60,BA60,AR60,AI60,Z60,Q60,H60)</f>
        <v/>
      </c>
      <c r="CF60" s="28">
        <f>(CE60/800)*100</f>
        <v/>
      </c>
      <c r="CG60" s="27" t="n"/>
      <c r="CH60" s="27" t="n"/>
      <c r="CI60" s="27">
        <f>IF(CA60&lt;=4,"F",IF(CA60&lt;=6,"PASS",IF(CA60&lt;=6.5,"SC",IF(CA60&lt;=7.5,"FC",IF(CA60&lt;="10","FCD")))))</f>
        <v/>
      </c>
    </row>
    <row r="61" ht="15.75" customHeight="1">
      <c r="A61" s="35">
        <f>A60+1</f>
        <v/>
      </c>
      <c r="B61" s="85" t="inlineStr">
        <is>
          <t>1bi23cd054</t>
        </is>
      </c>
      <c r="C61" s="85" t="inlineStr">
        <is>
          <t>VANKA SASHANK</t>
        </is>
      </c>
      <c r="D61" s="47" t="inlineStr">
        <is>
          <t>D</t>
        </is>
      </c>
      <c r="E61" s="9" t="n">
        <v>34</v>
      </c>
      <c r="F61" s="9" t="n">
        <v>49</v>
      </c>
      <c r="G61" s="9" t="n"/>
      <c r="H61" s="18">
        <f>SUM(E61:F61)</f>
        <v/>
      </c>
      <c r="I61" s="18" t="n">
        <v>4</v>
      </c>
      <c r="J61" s="18">
        <f>IF(F61&lt;=17,"0",IF(H61&lt;=39,"0",IF(H61&lt;=49,"4",IF(H61&lt;=54,"5",IF(H61&lt;=59,"6",IF(H61&lt;=69,"7",IF(H61&lt;=79,"8",IF(H61&lt;=89,"9","10"))))))))</f>
        <v/>
      </c>
      <c r="K61" s="18">
        <f>IF(F61&lt;=17,"F",IF(H61&lt;=39,"F",IF(H61&lt;=49,"P",IF(H61&lt;=54,"C",IF(H61&lt;=59,"B",IF(H61&lt;=69,"B+",IF(H61&lt;=79,"A",IF(H61&lt;=89,"A+","O"))))))))</f>
        <v/>
      </c>
      <c r="L61" s="18">
        <f>I61*J61</f>
        <v/>
      </c>
      <c r="M61" s="18" t="n"/>
      <c r="N61" s="9" t="n">
        <v>38</v>
      </c>
      <c r="O61" s="9" t="n">
        <v>48</v>
      </c>
      <c r="P61" s="9" t="n"/>
      <c r="Q61" s="18">
        <f>SUM(N61:O61)</f>
        <v/>
      </c>
      <c r="R61" s="18" t="n">
        <v>4</v>
      </c>
      <c r="S61" s="18">
        <f>IF(O61&lt;=17,"0",IF(Q61&lt;=39,"4",IF(Q61&lt;=49,"4",IF(Q61&lt;=54,"5",IF(Q61&lt;=59,"6",IF(Q61&lt;=69,"7",IF(Q61&lt;=79,"8",IF(Q61&lt;=89,"9","10"))))))))</f>
        <v/>
      </c>
      <c r="T61" s="18">
        <f>IF(O61&lt;=17,"F",IF(Q61&lt;=39,"F",IF(Q61&lt;=49,"P",IF(Q61&lt;=54,"C",IF(Q61&lt;=59,"B",IF(Q61&lt;=69,"B+",IF(Q61&lt;=79,"A",IF(Q61&lt;=89,"A+","O"))))))))</f>
        <v/>
      </c>
      <c r="U61" s="18">
        <f>R61*S61</f>
        <v/>
      </c>
      <c r="V61" s="18" t="n"/>
      <c r="W61" s="9" t="n">
        <v>49</v>
      </c>
      <c r="X61" s="9" t="n">
        <v>49</v>
      </c>
      <c r="Y61" s="18" t="n"/>
      <c r="Z61" s="18">
        <f>SUM(W61:X61)</f>
        <v/>
      </c>
      <c r="AA61" s="18" t="n">
        <v>3</v>
      </c>
      <c r="AB61" s="18">
        <f>IF(X61&lt;=17,"0",IF(Z61&lt;=39,"0",IF(Z61&lt;=49,"4",IF(Z61&lt;=54,"5",IF(Z61&lt;=59,"6",IF(Z61&lt;=69,"7",IF(Z61&lt;=79,"8",IF(Z61&lt;=89,"9","10"))))))))</f>
        <v/>
      </c>
      <c r="AC61" s="18">
        <f>IF(X61&lt;=17,"F",IF(Z61&lt;=39,"F",IF(Z61&lt;=49,"P",IF(Z61&lt;=54,"C",IF(Z61&lt;=59,"B",IF(Z61&lt;=69,"B+",IF(Z61&lt;=79,"A",IF(Z61&lt;=89,"A+","O"))))))))</f>
        <v/>
      </c>
      <c r="AD61" s="18">
        <f>AA61*AB61</f>
        <v/>
      </c>
      <c r="AE61" s="18" t="n"/>
      <c r="AF61" s="46" t="n">
        <v>39</v>
      </c>
      <c r="AG61" s="46" t="n">
        <v>50</v>
      </c>
      <c r="AH61" s="9" t="n"/>
      <c r="AI61" s="18">
        <f>SUM(AF61:AG61)</f>
        <v/>
      </c>
      <c r="AJ61" s="18" t="n">
        <v>3</v>
      </c>
      <c r="AK61" s="18">
        <f>IF(AG61&lt;=17,"0",IF(AI61&lt;=39,"0",IF(AI61&lt;=49,"4",IF(AI61&lt;=54,"5",IF(AI61&lt;=59,"6",IF(AI61&lt;=69,"7",IF(AI61&lt;=79,"8",IF(AI61&lt;=89,"9","10"))))))))</f>
        <v/>
      </c>
      <c r="AL61" s="18">
        <f>IF(AG61&lt;=17,"F",IF(AI61&lt;=39,"F",IF(AI61&lt;=49,"P",IF(AI61&lt;=54,"C",IF(AI61&lt;=59,"B",IF(AI61&lt;=69,"B+",IF(AI61&lt;=79,"A",IF(AI61&lt;=89,"A+","O"))))))))</f>
        <v/>
      </c>
      <c r="AM61" s="18">
        <f>AJ61*AK61</f>
        <v/>
      </c>
      <c r="AN61" s="18" t="n"/>
      <c r="AO61" s="46" t="n">
        <v>27</v>
      </c>
      <c r="AP61" s="46" t="n">
        <v>50</v>
      </c>
      <c r="AQ61" s="9" t="n"/>
      <c r="AR61" s="18">
        <f>(AO61+AP61)</f>
        <v/>
      </c>
      <c r="AS61" s="18" t="n">
        <v>3</v>
      </c>
      <c r="AT61" s="18">
        <f>IF(AP61&lt;=17,"0",IF(AR61&lt;=39,"0",IF(AR61&lt;=49,"4",IF(AR61&lt;=54,"5",IF(AR61&lt;=59,"6",IF(AR61&lt;=69,"7",IF(AR61&lt;=79,"8",IF(AR61&lt;=89,"9","10"))))))))</f>
        <v/>
      </c>
      <c r="AU61" s="18">
        <f>IF(AP61&lt;=17,"F",IF(AR61&lt;=39,"F",IF(AR61&lt;=49,"P",IF(AR61&lt;=54,"C",IF(AR61&lt;=59,"B",IF(AR61&lt;=69,"B+",IF(AR61&lt;=79,"A",IF(AR61&lt;=89,"A+","O"))))))))</f>
        <v/>
      </c>
      <c r="AV61" s="18">
        <f>AS61*AT61</f>
        <v/>
      </c>
      <c r="AW61" s="18" t="n"/>
      <c r="AX61" s="9" t="n">
        <v>41</v>
      </c>
      <c r="AY61" s="9" t="n">
        <v>50</v>
      </c>
      <c r="AZ61" s="9" t="n"/>
      <c r="BA61" s="18">
        <f>(AX61+AY61)</f>
        <v/>
      </c>
      <c r="BB61" s="18" t="n">
        <v>1</v>
      </c>
      <c r="BC61" s="18">
        <f>IF(AY61&lt;=17,"0",IF(BA61&lt;=39,"0",IF(BA61&lt;=49,"4",IF(BA61&lt;=54,"5",IF(BA61&lt;=59,"6",IF(BA61&lt;=69,"7",IF(BA61&lt;=79,"8",IF(BA61&lt;=89,"9","10"))))))))</f>
        <v/>
      </c>
      <c r="BD61" s="18">
        <f>IF(AY61&lt;=17,"F",IF(BA61&lt;=39,"F",IF(BA61&lt;=49,"P",IF(BA61&lt;=54,"C",IF(BA61&lt;=59,"B",IF(BA61&lt;=69,"B+",IF(BA61&lt;=79,"A",IF(BA61&lt;=89,"A+","O"))))))))</f>
        <v/>
      </c>
      <c r="BE61" s="18">
        <f>BB61*BC61</f>
        <v/>
      </c>
      <c r="BF61" s="43" t="inlineStr">
        <is>
          <t>Samskrutika Kannada</t>
        </is>
      </c>
      <c r="BG61" s="9" t="n">
        <v>37</v>
      </c>
      <c r="BH61" s="9" t="n">
        <v>49</v>
      </c>
      <c r="BI61" s="9" t="n"/>
      <c r="BJ61" s="18">
        <f>(BG61+BH61)</f>
        <v/>
      </c>
      <c r="BK61" s="18" t="n">
        <v>1</v>
      </c>
      <c r="BL61" s="18">
        <f>IF(BH61&lt;=17,"0",IF(BJ61&lt;=39,"0",IF(BJ61&lt;=49,"4",IF(BJ61&lt;=54,"5",IF(BJ61&lt;=59,"6",IF(BJ61&lt;=69,"7",IF(BJ61&lt;=79,"8",IF(BJ61&lt;=89,"9","10"))))))))</f>
        <v/>
      </c>
      <c r="BM61" s="18">
        <f>IF(BH61&lt;=17,"F",IF(BJ61&lt;=39,"F",IF(BJ61&lt;=49,"P",IF(BJ61&lt;=54,"C",IF(BJ61&lt;=59,"B",IF(BJ61&lt;=69,"B+",IF(BJ61&lt;=79,"A",IF(BJ61&lt;=89,"A+","O"))))))))</f>
        <v/>
      </c>
      <c r="BN61" s="18">
        <f>BK61*BL61</f>
        <v/>
      </c>
      <c r="BO61" s="18" t="n"/>
      <c r="BP61" s="9" t="n">
        <v>24</v>
      </c>
      <c r="BQ61" s="9" t="n">
        <v>681</v>
      </c>
      <c r="BR61" s="9" t="n"/>
      <c r="BS61" s="18">
        <f>(BP61+BQ61)</f>
        <v/>
      </c>
      <c r="BT61" s="18" t="n">
        <v>1</v>
      </c>
      <c r="BU61" s="18">
        <f>IF(BQ61&lt;=17,"0",IF(BS61&lt;=39,"0",IF(BS61&lt;=49,"4",IF(BS61&lt;=54,"5",IF(BS61&lt;=59,"6",IF(BS61&lt;=69,"7",IF(BS61&lt;=79,"8",IF(BS61&lt;=89,"9","10"))))))))</f>
        <v/>
      </c>
      <c r="BV61" s="18">
        <f>IF(BQ61&lt;=17,"F",IF(BS61&lt;=39,"F",IF(BS61&lt;=49,"P",IF(BS61&lt;=54,"C",IF(BS61&lt;=59,"B",IF(BS61&lt;=69,"B+",IF(BS61&lt;=79,"A",IF(BS61&lt;=89,"A+","O"))))))))</f>
        <v/>
      </c>
      <c r="BW61" s="18">
        <f>BT61*BU61</f>
        <v/>
      </c>
      <c r="BX61" s="18" t="n"/>
      <c r="BY61" s="18" t="n"/>
      <c r="BZ61" s="18">
        <f>L61+U61+AD61+AM61+AV61+BE61+BN61+BW61</f>
        <v/>
      </c>
      <c r="CA61" s="19">
        <f>BZ61/20</f>
        <v/>
      </c>
      <c r="CB61" s="28">
        <f>IF(CA61&lt;4,"F",IF(BV61="F","F",IF(BM61="F","F",IF(BD61="F","F",IF(AU61="F","F",IF(AL61="F","F",IF(AC61="F","F",IF(T61="F","F",IF(K61="F","F",IF(CA61&lt;=5,"C",IF(CA61&lt;6,"B",IF(CA61&lt;7,"B+",IF(CA61&lt;8,"A",IF(CA61&lt;=9,"A+","O"))))))))))))))</f>
        <v/>
      </c>
      <c r="CC61" s="27">
        <f>CA61*9.5</f>
        <v/>
      </c>
      <c r="CD61" s="27" t="n"/>
      <c r="CE61" s="28">
        <f>SUM(BS61,BJ61,BA61,AR61,AI61,Z61,Q61,H61)</f>
        <v/>
      </c>
      <c r="CF61" s="28">
        <f>(CE61/800)*100</f>
        <v/>
      </c>
      <c r="CG61" s="27" t="n"/>
      <c r="CH61" s="27" t="n"/>
      <c r="CI61" s="27">
        <f>IF(CA61&lt;=4,"F",IF(CA61&lt;=6,"PASS",IF(CA61&lt;=6.5,"SC",IF(CA61&lt;=7.5,"FC",IF(CA61&lt;="10","FCD")))))</f>
        <v/>
      </c>
    </row>
    <row r="62" ht="15.75" customHeight="1">
      <c r="A62" s="35" t="n">
        <v>55</v>
      </c>
      <c r="B62" s="85" t="inlineStr">
        <is>
          <t>1bi23cd055</t>
        </is>
      </c>
      <c r="C62" s="85" t="inlineStr">
        <is>
          <t>VISHAL S</t>
        </is>
      </c>
      <c r="D62" s="47" t="inlineStr">
        <is>
          <t>D</t>
        </is>
      </c>
      <c r="E62" s="9" t="n">
        <v>44</v>
      </c>
      <c r="F62" s="9" t="n">
        <v>50</v>
      </c>
      <c r="G62" s="9" t="n"/>
      <c r="H62" s="18">
        <f>SUM(E62:F62)</f>
        <v/>
      </c>
      <c r="I62" s="18" t="n">
        <v>4</v>
      </c>
      <c r="J62" s="18">
        <f>IF(F62&lt;=17,"0",IF(H62&lt;=39,"0",IF(H62&lt;=49,"4",IF(H62&lt;=54,"5",IF(H62&lt;=59,"6",IF(H62&lt;=69,"7",IF(H62&lt;=79,"8",IF(H62&lt;=89,"9","10"))))))))</f>
        <v/>
      </c>
      <c r="K62" s="18">
        <f>IF(F62&lt;=17,"F",IF(H62&lt;=39,"F",IF(H62&lt;=49,"P",IF(H62&lt;=54,"C",IF(H62&lt;=59,"B",IF(H62&lt;=69,"B+",IF(H62&lt;=79,"A",IF(H62&lt;=89,"A+","O"))))))))</f>
        <v/>
      </c>
      <c r="L62" s="18">
        <f>I62*J62</f>
        <v/>
      </c>
      <c r="M62" s="18" t="n"/>
      <c r="N62" s="9" t="n">
        <v>35</v>
      </c>
      <c r="O62" s="9" t="n">
        <v>48</v>
      </c>
      <c r="P62" s="9" t="n"/>
      <c r="Q62" s="18">
        <f>SUM(N62:O62)</f>
        <v/>
      </c>
      <c r="R62" s="18" t="n">
        <v>4</v>
      </c>
      <c r="S62" s="18">
        <f>IF(O62&lt;=17,"0",IF(Q62&lt;=39,"4",IF(Q62&lt;=49,"4",IF(Q62&lt;=54,"5",IF(Q62&lt;=59,"6",IF(Q62&lt;=69,"7",IF(Q62&lt;=79,"8",IF(Q62&lt;=89,"9","10"))))))))</f>
        <v/>
      </c>
      <c r="T62" s="18">
        <f>IF(O62&lt;=17,"F",IF(Q62&lt;=39,"F",IF(Q62&lt;=49,"P",IF(Q62&lt;=54,"C",IF(Q62&lt;=59,"B",IF(Q62&lt;=69,"B+",IF(Q62&lt;=79,"A",IF(Q62&lt;=89,"A+","O"))))))))</f>
        <v/>
      </c>
      <c r="U62" s="18">
        <f>R62*S62</f>
        <v/>
      </c>
      <c r="V62" s="18" t="n"/>
      <c r="W62" s="9" t="n">
        <v>49</v>
      </c>
      <c r="X62" s="9" t="n">
        <v>49</v>
      </c>
      <c r="Y62" s="18" t="n"/>
      <c r="Z62" s="18">
        <f>SUM(W62:X62)</f>
        <v/>
      </c>
      <c r="AA62" s="18" t="n">
        <v>3</v>
      </c>
      <c r="AB62" s="18">
        <f>IF(X62&lt;=17,"0",IF(Z62&lt;=39,"0",IF(Z62&lt;=49,"4",IF(Z62&lt;=54,"5",IF(Z62&lt;=59,"6",IF(Z62&lt;=69,"7",IF(Z62&lt;=79,"8",IF(Z62&lt;=89,"9","10"))))))))</f>
        <v/>
      </c>
      <c r="AC62" s="18">
        <f>IF(X62&lt;=17,"F",IF(Z62&lt;=39,"F",IF(Z62&lt;=49,"P",IF(Z62&lt;=54,"C",IF(Z62&lt;=59,"B",IF(Z62&lt;=69,"B+",IF(Z62&lt;=79,"A",IF(Z62&lt;=89,"A+","O"))))))))</f>
        <v/>
      </c>
      <c r="AD62" s="18">
        <f>AA62*AB62</f>
        <v/>
      </c>
      <c r="AE62" s="18" t="n"/>
      <c r="AF62" s="46" t="n">
        <v>43</v>
      </c>
      <c r="AG62" s="46" t="n">
        <v>50</v>
      </c>
      <c r="AH62" s="9" t="n"/>
      <c r="AI62" s="18">
        <f>SUM(AF62:AG62)</f>
        <v/>
      </c>
      <c r="AJ62" s="18" t="n">
        <v>3</v>
      </c>
      <c r="AK62" s="18">
        <f>IF(AG62&lt;=17,"0",IF(AI62&lt;=39,"0",IF(AI62&lt;=49,"4",IF(AI62&lt;=54,"5",IF(AI62&lt;=59,"6",IF(AI62&lt;=69,"7",IF(AI62&lt;=79,"8",IF(AI62&lt;=89,"9","10"))))))))</f>
        <v/>
      </c>
      <c r="AL62" s="18">
        <f>IF(AG62&lt;=17,"F",IF(AI62&lt;=39,"F",IF(AI62&lt;=49,"P",IF(AI62&lt;=54,"C",IF(AI62&lt;=59,"B",IF(AI62&lt;=69,"B+",IF(AI62&lt;=79,"A",IF(AI62&lt;=89,"A+","O"))))))))</f>
        <v/>
      </c>
      <c r="AM62" s="18">
        <f>AJ62*AK62</f>
        <v/>
      </c>
      <c r="AN62" s="18" t="n"/>
      <c r="AO62" s="46" t="n">
        <v>30</v>
      </c>
      <c r="AP62" s="46" t="n">
        <v>50</v>
      </c>
      <c r="AQ62" s="9" t="n"/>
      <c r="AR62" s="18">
        <f>(AO62+AP62)</f>
        <v/>
      </c>
      <c r="AS62" s="18" t="n">
        <v>3</v>
      </c>
      <c r="AT62" s="18">
        <f>IF(AP62&lt;=17,"0",IF(AR62&lt;=39,"0",IF(AR62&lt;=49,"4",IF(AR62&lt;=54,"5",IF(AR62&lt;=59,"6",IF(AR62&lt;=69,"7",IF(AR62&lt;=79,"8",IF(AR62&lt;=89,"9","10"))))))))</f>
        <v/>
      </c>
      <c r="AU62" s="18">
        <f>IF(AP62&lt;=17,"F",IF(AR62&lt;=39,"F",IF(AR62&lt;=49,"P",IF(AR62&lt;=54,"C",IF(AR62&lt;=59,"B",IF(AR62&lt;=69,"B+",IF(AR62&lt;=79,"A",IF(AR62&lt;=89,"A+","O"))))))))</f>
        <v/>
      </c>
      <c r="AV62" s="18">
        <f>AS62*AT62</f>
        <v/>
      </c>
      <c r="AW62" s="18" t="n"/>
      <c r="AX62" s="9" t="n">
        <v>42</v>
      </c>
      <c r="AY62" s="9" t="n">
        <v>50</v>
      </c>
      <c r="AZ62" s="9" t="n"/>
      <c r="BA62" s="18">
        <f>(AX62+AY62)</f>
        <v/>
      </c>
      <c r="BB62" s="18" t="n">
        <v>1</v>
      </c>
      <c r="BC62" s="18">
        <f>IF(AY62&lt;=17,"0",IF(BA62&lt;=39,"0",IF(BA62&lt;=49,"4",IF(BA62&lt;=54,"5",IF(BA62&lt;=59,"6",IF(BA62&lt;=69,"7",IF(BA62&lt;=79,"8",IF(BA62&lt;=89,"9","10"))))))))</f>
        <v/>
      </c>
      <c r="BD62" s="18">
        <f>IF(AY62&lt;=17,"F",IF(BA62&lt;=39,"F",IF(BA62&lt;=49,"P",IF(BA62&lt;=54,"C",IF(BA62&lt;=59,"B",IF(BA62&lt;=69,"B+",IF(BA62&lt;=79,"A",IF(BA62&lt;=89,"A+","O"))))))))</f>
        <v/>
      </c>
      <c r="BE62" s="18">
        <f>BB62*BC62</f>
        <v/>
      </c>
      <c r="BF62" s="43" t="inlineStr">
        <is>
          <t>Samskrutika Kannada</t>
        </is>
      </c>
      <c r="BG62" s="9" t="n">
        <v>36</v>
      </c>
      <c r="BH62" s="9" t="n">
        <v>50</v>
      </c>
      <c r="BI62" s="9" t="n"/>
      <c r="BJ62" s="18">
        <f>(BG62+BH62)</f>
        <v/>
      </c>
      <c r="BK62" s="18" t="n">
        <v>1</v>
      </c>
      <c r="BL62" s="18">
        <f>IF(BH62&lt;=17,"0",IF(BJ62&lt;=39,"0",IF(BJ62&lt;=49,"4",IF(BJ62&lt;=54,"5",IF(BJ62&lt;=59,"6",IF(BJ62&lt;=69,"7",IF(BJ62&lt;=79,"8",IF(BJ62&lt;=89,"9","10"))))))))</f>
        <v/>
      </c>
      <c r="BM62" s="18">
        <f>IF(BH62&lt;=17,"F",IF(BJ62&lt;=39,"F",IF(BJ62&lt;=49,"P",IF(BJ62&lt;=54,"C",IF(BJ62&lt;=59,"B",IF(BJ62&lt;=69,"B+",IF(BJ62&lt;=79,"A",IF(BJ62&lt;=89,"A+","O"))))))))</f>
        <v/>
      </c>
      <c r="BN62" s="18">
        <f>BK62*BL62</f>
        <v/>
      </c>
      <c r="BO62" s="18" t="n"/>
      <c r="BP62" s="9" t="n">
        <v>37</v>
      </c>
      <c r="BQ62" s="9" t="n">
        <v>711</v>
      </c>
      <c r="BR62" s="9" t="n"/>
      <c r="BS62" s="18">
        <f>(BP62+BQ62)</f>
        <v/>
      </c>
      <c r="BT62" s="18" t="n">
        <v>1</v>
      </c>
      <c r="BU62" s="18">
        <f>IF(BQ62&lt;=17,"0",IF(BS62&lt;=39,"0",IF(BS62&lt;=49,"4",IF(BS62&lt;=54,"5",IF(BS62&lt;=59,"6",IF(BS62&lt;=69,"7",IF(BS62&lt;=79,"8",IF(BS62&lt;=89,"9","10"))))))))</f>
        <v/>
      </c>
      <c r="BV62" s="18">
        <f>IF(BQ62&lt;=17,"F",IF(BS62&lt;=39,"F",IF(BS62&lt;=49,"P",IF(BS62&lt;=54,"C",IF(BS62&lt;=59,"B",IF(BS62&lt;=69,"B+",IF(BS62&lt;=79,"A",IF(BS62&lt;=89,"A+","O"))))))))</f>
        <v/>
      </c>
      <c r="BW62" s="18">
        <f>BT62*BU62</f>
        <v/>
      </c>
      <c r="BX62" s="18" t="n"/>
      <c r="BY62" s="18" t="n"/>
      <c r="BZ62" s="18">
        <f>L62+U62+AD62+AM62+AV62+BE62+BN62+BW62</f>
        <v/>
      </c>
      <c r="CA62" s="19">
        <f>BZ62/20</f>
        <v/>
      </c>
      <c r="CB62" s="28">
        <f>IF(CA62&lt;4,"F",IF(BV62="F","F",IF(BM62="F","F",IF(BD62="F","F",IF(AU62="F","F",IF(AL62="F","F",IF(AC62="F","F",IF(T62="F","F",IF(K62="F","F",IF(CA62&lt;=5,"C",IF(CA62&lt;6,"B",IF(CA62&lt;7,"B+",IF(CA62&lt;8,"A",IF(CA62&lt;=9,"A+","O"))))))))))))))</f>
        <v/>
      </c>
      <c r="CC62" s="27">
        <f>CA62*9.5</f>
        <v/>
      </c>
      <c r="CD62" s="27" t="n"/>
      <c r="CE62" s="28">
        <f>SUM(BS62,BJ62,BA62,AR62,AI62,Z62,Q62,H62)</f>
        <v/>
      </c>
      <c r="CF62" s="28">
        <f>(CE62/800)*100</f>
        <v/>
      </c>
      <c r="CG62" s="27" t="n"/>
      <c r="CH62" s="27" t="n"/>
      <c r="CI62" s="27">
        <f>IF(CA62&lt;=4,"F",IF(CA62&lt;=6,"PASS",IF(CA62&lt;=6.5,"SC",IF(CA62&lt;=7.5,"FC",IF(CA62&lt;="10","FCD")))))</f>
        <v/>
      </c>
    </row>
    <row r="63" ht="15.75" customHeight="1">
      <c r="A63" s="35" t="n">
        <v>56</v>
      </c>
      <c r="B63" s="85" t="inlineStr">
        <is>
          <t>1bi23cd056</t>
        </is>
      </c>
      <c r="C63" s="85" t="inlineStr">
        <is>
          <t>vishwa</t>
        </is>
      </c>
      <c r="D63" s="47" t="inlineStr">
        <is>
          <t>D</t>
        </is>
      </c>
      <c r="E63" s="9" t="n">
        <v>26</v>
      </c>
      <c r="F63" s="9" t="n">
        <v>48</v>
      </c>
      <c r="G63" s="9" t="n"/>
      <c r="H63" s="18">
        <f>SUM(E63:F63)</f>
        <v/>
      </c>
      <c r="I63" s="18" t="n">
        <v>4</v>
      </c>
      <c r="J63" s="18">
        <f>IF(F63&lt;=17,"0",IF(H63&lt;=39,"0",IF(H63&lt;=49,"4",IF(H63&lt;=54,"5",IF(H63&lt;=59,"6",IF(H63&lt;=69,"7",IF(H63&lt;=79,"8",IF(H63&lt;=89,"9","10"))))))))</f>
        <v/>
      </c>
      <c r="K63" s="18">
        <f>IF(F63&lt;=17,"F",IF(H63&lt;=39,"F",IF(H63&lt;=49,"P",IF(H63&lt;=54,"C",IF(H63&lt;=59,"B",IF(H63&lt;=69,"B+",IF(H63&lt;=79,"A",IF(H63&lt;=89,"A+","O"))))))))</f>
        <v/>
      </c>
      <c r="L63" s="18">
        <f>I63*J63</f>
        <v/>
      </c>
      <c r="M63" s="18" t="n"/>
      <c r="N63" s="9" t="n">
        <v>33</v>
      </c>
      <c r="O63" s="9" t="n">
        <v>45</v>
      </c>
      <c r="P63" s="9" t="n"/>
      <c r="Q63" s="18">
        <f>SUM(N63:O63)</f>
        <v/>
      </c>
      <c r="R63" s="18" t="n">
        <v>4</v>
      </c>
      <c r="S63" s="18">
        <f>IF(O63&lt;=17,"0",IF(Q63&lt;=39,"4",IF(Q63&lt;=49,"4",IF(Q63&lt;=54,"5",IF(Q63&lt;=59,"6",IF(Q63&lt;=69,"7",IF(Q63&lt;=79,"8",IF(Q63&lt;=89,"9","10"))))))))</f>
        <v/>
      </c>
      <c r="T63" s="18">
        <f>IF(O63&lt;=17,"F",IF(Q63&lt;=39,"F",IF(Q63&lt;=49,"P",IF(Q63&lt;=54,"C",IF(Q63&lt;=59,"B",IF(Q63&lt;=69,"B+",IF(Q63&lt;=79,"A",IF(Q63&lt;=89,"A+","O"))))))))</f>
        <v/>
      </c>
      <c r="U63" s="18">
        <f>R63*S63</f>
        <v/>
      </c>
      <c r="V63" s="18" t="n"/>
      <c r="W63" s="9" t="n">
        <v>47</v>
      </c>
      <c r="X63" s="9" t="n">
        <v>45</v>
      </c>
      <c r="Y63" s="18" t="n"/>
      <c r="Z63" s="18">
        <f>SUM(W63:X63)</f>
        <v/>
      </c>
      <c r="AA63" s="18" t="n">
        <v>3</v>
      </c>
      <c r="AB63" s="18">
        <f>IF(X63&lt;=17,"0",IF(Z63&lt;=39,"0",IF(Z63&lt;=49,"4",IF(Z63&lt;=54,"5",IF(Z63&lt;=59,"6",IF(Z63&lt;=69,"7",IF(Z63&lt;=79,"8",IF(Z63&lt;=89,"9","10"))))))))</f>
        <v/>
      </c>
      <c r="AC63" s="18">
        <f>IF(X63&lt;=17,"F",IF(Z63&lt;=39,"F",IF(Z63&lt;=49,"P",IF(Z63&lt;=54,"C",IF(Z63&lt;=59,"B",IF(Z63&lt;=69,"B+",IF(Z63&lt;=79,"A",IF(Z63&lt;=89,"A+","O"))))))))</f>
        <v/>
      </c>
      <c r="AD63" s="18">
        <f>AA63*AB63</f>
        <v/>
      </c>
      <c r="AE63" s="18" t="n"/>
      <c r="AF63" s="46" t="n">
        <v>33</v>
      </c>
      <c r="AG63" s="46" t="n">
        <v>41</v>
      </c>
      <c r="AH63" s="9" t="n"/>
      <c r="AI63" s="18">
        <f>SUM(AF63:AG63)</f>
        <v/>
      </c>
      <c r="AJ63" s="18" t="n">
        <v>3</v>
      </c>
      <c r="AK63" s="18">
        <f>IF(AG63&lt;=17,"0",IF(AI63&lt;=39,"0",IF(AI63&lt;=49,"4",IF(AI63&lt;=54,"5",IF(AI63&lt;=59,"6",IF(AI63&lt;=69,"7",IF(AI63&lt;=79,"8",IF(AI63&lt;=89,"9","10"))))))))</f>
        <v/>
      </c>
      <c r="AL63" s="18">
        <f>IF(AG63&lt;=17,"F",IF(AI63&lt;=39,"F",IF(AI63&lt;=49,"P",IF(AI63&lt;=54,"C",IF(AI63&lt;=59,"B",IF(AI63&lt;=69,"B+",IF(AI63&lt;=79,"A",IF(AI63&lt;=89,"A+","O"))))))))</f>
        <v/>
      </c>
      <c r="AM63" s="18">
        <f>AJ63*AK63</f>
        <v/>
      </c>
      <c r="AN63" s="18" t="n"/>
      <c r="AO63" s="46" t="n">
        <v>28</v>
      </c>
      <c r="AP63" s="46" t="n">
        <v>46</v>
      </c>
      <c r="AQ63" s="9" t="n"/>
      <c r="AR63" s="18">
        <f>(AO63+AP63)</f>
        <v/>
      </c>
      <c r="AS63" s="18" t="n">
        <v>3</v>
      </c>
      <c r="AT63" s="18">
        <f>IF(AP63&lt;=17,"0",IF(AR63&lt;=39,"0",IF(AR63&lt;=49,"4",IF(AR63&lt;=54,"5",IF(AR63&lt;=59,"6",IF(AR63&lt;=69,"7",IF(AR63&lt;=79,"8",IF(AR63&lt;=89,"9","10"))))))))</f>
        <v/>
      </c>
      <c r="AU63" s="18">
        <f>IF(AP63&lt;=17,"F",IF(AR63&lt;=39,"F",IF(AR63&lt;=49,"P",IF(AR63&lt;=54,"C",IF(AR63&lt;=59,"B",IF(AR63&lt;=69,"B+",IF(AR63&lt;=79,"A",IF(AR63&lt;=89,"A+","O"))))))))</f>
        <v/>
      </c>
      <c r="AV63" s="18">
        <f>AS63*AT63</f>
        <v/>
      </c>
      <c r="AW63" s="18" t="n"/>
      <c r="AX63" s="9" t="n">
        <v>35</v>
      </c>
      <c r="AY63" s="9" t="n">
        <v>45</v>
      </c>
      <c r="AZ63" s="9" t="n"/>
      <c r="BA63" s="18">
        <f>(AX63+AY63)</f>
        <v/>
      </c>
      <c r="BB63" s="18" t="n">
        <v>1</v>
      </c>
      <c r="BC63" s="18">
        <f>IF(AY63&lt;=17,"0",IF(BA63&lt;=39,"0",IF(BA63&lt;=49,"4",IF(BA63&lt;=54,"5",IF(BA63&lt;=59,"6",IF(BA63&lt;=69,"7",IF(BA63&lt;=79,"8",IF(BA63&lt;=89,"9","10"))))))))</f>
        <v/>
      </c>
      <c r="BD63" s="18">
        <f>IF(AY63&lt;=17,"F",IF(BA63&lt;=39,"F",IF(BA63&lt;=49,"P",IF(BA63&lt;=54,"C",IF(BA63&lt;=59,"B",IF(BA63&lt;=69,"B+",IF(BA63&lt;=79,"A",IF(BA63&lt;=89,"A+","O"))))))))</f>
        <v/>
      </c>
      <c r="BE63" s="18">
        <f>BB63*BC63</f>
        <v/>
      </c>
      <c r="BF63" s="43" t="inlineStr">
        <is>
          <t>Balake Kannada</t>
        </is>
      </c>
      <c r="BG63" s="9" t="n">
        <v>29</v>
      </c>
      <c r="BH63" s="9" t="n">
        <v>48</v>
      </c>
      <c r="BI63" s="9" t="n"/>
      <c r="BJ63" s="18">
        <f>(BG63+BH63)</f>
        <v/>
      </c>
      <c r="BK63" s="18" t="n">
        <v>1</v>
      </c>
      <c r="BL63" s="18">
        <f>IF(BH63&lt;=17,"0",IF(BJ63&lt;=39,"0",IF(BJ63&lt;=49,"4",IF(BJ63&lt;=54,"5",IF(BJ63&lt;=59,"6",IF(BJ63&lt;=69,"7",IF(BJ63&lt;=79,"8",IF(BJ63&lt;=89,"9","10"))))))))</f>
        <v/>
      </c>
      <c r="BM63" s="18">
        <f>IF(BH63&lt;=17,"F",IF(BJ63&lt;=39,"F",IF(BJ63&lt;=49,"P",IF(BJ63&lt;=54,"C",IF(BJ63&lt;=59,"B",IF(BJ63&lt;=69,"B+",IF(BJ63&lt;=79,"A",IF(BJ63&lt;=89,"A+","O"))))))))</f>
        <v/>
      </c>
      <c r="BN63" s="18">
        <f>BK63*BL63</f>
        <v/>
      </c>
      <c r="BO63" s="18" t="n"/>
      <c r="BP63" s="9" t="n">
        <v>26</v>
      </c>
      <c r="BQ63" s="9" t="n">
        <v>620</v>
      </c>
      <c r="BR63" s="9" t="n"/>
      <c r="BS63" s="18">
        <f>(BP63+BQ63)</f>
        <v/>
      </c>
      <c r="BT63" s="18" t="n">
        <v>1</v>
      </c>
      <c r="BU63" s="18">
        <f>IF(BQ63&lt;=17,"0",IF(BS63&lt;=39,"0",IF(BS63&lt;=49,"4",IF(BS63&lt;=54,"5",IF(BS63&lt;=59,"6",IF(BS63&lt;=69,"7",IF(BS63&lt;=79,"8",IF(BS63&lt;=89,"9","10"))))))))</f>
        <v/>
      </c>
      <c r="BV63" s="18">
        <f>IF(BQ63&lt;=17,"F",IF(BS63&lt;=39,"F",IF(BS63&lt;=49,"P",IF(BS63&lt;=54,"C",IF(BS63&lt;=59,"B",IF(BS63&lt;=69,"B+",IF(BS63&lt;=79,"A",IF(BS63&lt;=89,"A+","O"))))))))</f>
        <v/>
      </c>
      <c r="BW63" s="18">
        <f>BT63*BU63</f>
        <v/>
      </c>
      <c r="BX63" s="18" t="n"/>
      <c r="BY63" s="18" t="n"/>
      <c r="BZ63" s="18">
        <f>L63+U63+AD63+AM63+AV63+BE63+BN63+BW63</f>
        <v/>
      </c>
      <c r="CA63" s="19">
        <f>BZ63/20</f>
        <v/>
      </c>
      <c r="CB63" s="28">
        <f>IF(CA63&lt;4,"F",IF(BV63="F","F",IF(BM63="F","F",IF(BD63="F","F",IF(AU63="F","F",IF(AL63="F","F",IF(AC63="F","F",IF(T63="F","F",IF(K63="F","F",IF(CA63&lt;=5,"C",IF(CA63&lt;6,"B",IF(CA63&lt;7,"B+",IF(CA63&lt;8,"A",IF(CA63&lt;=9,"A+","O"))))))))))))))</f>
        <v/>
      </c>
      <c r="CC63" s="27">
        <f>CA63*9.5</f>
        <v/>
      </c>
      <c r="CD63" s="27" t="n"/>
      <c r="CE63" s="28">
        <f>SUM(BS63,BJ63,BA63,AR63,AI63,Z63,Q63,H63)</f>
        <v/>
      </c>
      <c r="CF63" s="28">
        <f>(CE63/800)*100</f>
        <v/>
      </c>
      <c r="CG63" s="27" t="n"/>
      <c r="CH63" s="27" t="n"/>
      <c r="CI63" s="27">
        <f>IF(CA63&lt;=4,"F",IF(CA63&lt;=6,"PASS",IF(CA63&lt;=6.5,"SC",IF(CA63&lt;=7.5,"FC",IF(CA63&lt;="10","FCD")))))</f>
        <v/>
      </c>
    </row>
    <row r="64" ht="15.75" customHeight="1">
      <c r="D64" s="1" t="n"/>
      <c r="E64" s="97" t="inlineStr">
        <is>
          <t xml:space="preserve">Mathematics for CSE Stream -II </t>
        </is>
      </c>
      <c r="F64" s="112" t="n"/>
      <c r="G64" s="112" t="n"/>
      <c r="H64" s="112" t="n"/>
      <c r="I64" s="112" t="n"/>
      <c r="J64" s="112" t="n"/>
      <c r="K64" s="112" t="n"/>
      <c r="L64" s="112" t="n"/>
      <c r="M64" s="27" t="n"/>
      <c r="N64" s="96" t="inlineStr">
        <is>
          <t>Chemistry for CSE Stream</t>
        </is>
      </c>
      <c r="O64" s="112" t="n"/>
      <c r="P64" s="112" t="n"/>
      <c r="Q64" s="112" t="n"/>
      <c r="R64" s="112" t="n"/>
      <c r="S64" s="112" t="n"/>
      <c r="T64" s="112" t="n"/>
      <c r="U64" s="112" t="n"/>
      <c r="V64" s="27" t="n"/>
      <c r="W64" s="96" t="inlineStr">
        <is>
          <t xml:space="preserve">Computer-Aided Engineering Drawing </t>
        </is>
      </c>
      <c r="X64" s="112" t="n"/>
      <c r="Y64" s="112" t="n"/>
      <c r="Z64" s="112" t="n"/>
      <c r="AA64" s="112" t="n"/>
      <c r="AB64" s="112" t="n"/>
      <c r="AC64" s="112" t="n"/>
      <c r="AD64" s="112" t="n"/>
      <c r="AE64" s="27" t="n"/>
      <c r="AF64" s="96" t="inlineStr">
        <is>
          <t xml:space="preserve">Introduction to Electronics Engineering </t>
        </is>
      </c>
      <c r="AG64" s="112" t="n"/>
      <c r="AH64" s="112" t="n"/>
      <c r="AI64" s="112" t="n"/>
      <c r="AJ64" s="112" t="n"/>
      <c r="AK64" s="112" t="n"/>
      <c r="AL64" s="112" t="n"/>
      <c r="AM64" s="112" t="n"/>
      <c r="AN64" s="27" t="n"/>
      <c r="AO64" s="96" t="inlineStr">
        <is>
          <t>Introduction to Python Programming</t>
        </is>
      </c>
      <c r="AP64" s="112" t="n"/>
      <c r="AQ64" s="112" t="n"/>
      <c r="AR64" s="112" t="n"/>
      <c r="AS64" s="112" t="n"/>
      <c r="AT64" s="112" t="n"/>
      <c r="AU64" s="112" t="n"/>
      <c r="AV64" s="112" t="n"/>
      <c r="AW64" s="27" t="n"/>
      <c r="AX64" s="96" t="inlineStr">
        <is>
          <t>Professional Writing Skills in English</t>
        </is>
      </c>
      <c r="AY64" s="112" t="n"/>
      <c r="AZ64" s="112" t="n"/>
      <c r="BA64" s="112" t="n"/>
      <c r="BB64" s="112" t="n"/>
      <c r="BC64" s="112" t="n"/>
      <c r="BD64" s="112" t="n"/>
      <c r="BE64" s="112" t="n"/>
      <c r="BF64" s="27" t="n"/>
      <c r="BG64" s="96" t="inlineStr">
        <is>
          <t xml:space="preserve">Samskrutika Kannada / Balake Kannada </t>
        </is>
      </c>
      <c r="BH64" s="112" t="n"/>
      <c r="BI64" s="112" t="n"/>
      <c r="BJ64" s="112" t="n"/>
      <c r="BK64" s="112" t="n"/>
      <c r="BL64" s="112" t="n"/>
      <c r="BM64" s="112" t="n"/>
      <c r="BN64" s="112" t="n"/>
      <c r="BO64" s="27" t="n"/>
      <c r="BP64" s="96" t="inlineStr">
        <is>
          <t xml:space="preserve">Scientific Foundations of Health </t>
        </is>
      </c>
      <c r="BQ64" s="112" t="n"/>
      <c r="BR64" s="112" t="n"/>
      <c r="BS64" s="112" t="n"/>
      <c r="BT64" s="112" t="n"/>
      <c r="BU64" s="112" t="n"/>
      <c r="BV64" s="112" t="n"/>
      <c r="BW64" s="112" t="n"/>
      <c r="BX64" s="27" t="n"/>
      <c r="BY64" s="27" t="n"/>
      <c r="BZ64" s="27" t="n"/>
      <c r="CA64" s="27" t="n"/>
      <c r="CB64" s="28" t="n"/>
      <c r="CC64" s="27" t="n"/>
      <c r="CD64" s="27" t="n"/>
      <c r="CE64" s="28" t="n"/>
      <c r="CF64" s="28" t="n"/>
      <c r="CG64" s="27" t="n"/>
      <c r="CH64" s="27" t="n"/>
      <c r="CI64" s="27" t="n"/>
    </row>
    <row r="65" ht="15.75" customHeight="1">
      <c r="C65" s="1" t="inlineStr">
        <is>
          <t>Total No. of</t>
        </is>
      </c>
      <c r="D65" s="1" t="n"/>
      <c r="E65" s="28" t="n"/>
      <c r="F65" s="28" t="n"/>
      <c r="G65" s="28" t="n"/>
      <c r="H65" s="28" t="n"/>
      <c r="I65" s="28" t="n"/>
      <c r="J65" s="27" t="inlineStr">
        <is>
          <t>O</t>
        </is>
      </c>
      <c r="K65" s="27">
        <f>COUNTIF(K8:K63,"O")</f>
        <v/>
      </c>
      <c r="L65" s="27" t="n"/>
      <c r="M65" s="27" t="n"/>
      <c r="N65" s="28" t="n"/>
      <c r="O65" s="28" t="n"/>
      <c r="P65" s="28" t="n"/>
      <c r="Q65" s="28" t="n"/>
      <c r="R65" s="28" t="n"/>
      <c r="S65" s="27" t="inlineStr">
        <is>
          <t>O</t>
        </is>
      </c>
      <c r="T65" s="27">
        <f>COUNTIF(T8:T63,"O")</f>
        <v/>
      </c>
      <c r="U65" s="27" t="n"/>
      <c r="V65" s="27" t="n"/>
      <c r="W65" s="27" t="n"/>
      <c r="X65" s="27" t="n"/>
      <c r="Y65" s="27" t="n"/>
      <c r="Z65" s="27" t="n"/>
      <c r="AA65" s="27" t="n"/>
      <c r="AB65" s="27" t="inlineStr">
        <is>
          <t>O</t>
        </is>
      </c>
      <c r="AC65" s="27">
        <f>COUNTIF(AC8:AC63,"O")</f>
        <v/>
      </c>
      <c r="AD65" s="27" t="n"/>
      <c r="AE65" s="27" t="n"/>
      <c r="AF65" s="27" t="n"/>
      <c r="AG65" s="27" t="n"/>
      <c r="AH65" s="27" t="n"/>
      <c r="AI65" s="27" t="n"/>
      <c r="AJ65" s="27" t="n"/>
      <c r="AK65" s="27" t="inlineStr">
        <is>
          <t>O</t>
        </is>
      </c>
      <c r="AL65" s="27">
        <f>COUNTIF(AL8:AL63,"O")</f>
        <v/>
      </c>
      <c r="AM65" s="27" t="n"/>
      <c r="AN65" s="27" t="n"/>
      <c r="AO65" s="27" t="n"/>
      <c r="AP65" s="27" t="n"/>
      <c r="AQ65" s="27" t="n"/>
      <c r="AR65" s="27" t="n"/>
      <c r="AS65" s="27" t="n"/>
      <c r="AT65" s="27" t="inlineStr">
        <is>
          <t>O</t>
        </is>
      </c>
      <c r="AU65" s="27">
        <f>COUNTIF(AU8:AU63,"O")</f>
        <v/>
      </c>
      <c r="AV65" s="27" t="n"/>
      <c r="AW65" s="27" t="n"/>
      <c r="AX65" s="27" t="n"/>
      <c r="AY65" s="27" t="n"/>
      <c r="AZ65" s="27" t="n"/>
      <c r="BA65" s="27" t="n"/>
      <c r="BB65" s="27" t="n"/>
      <c r="BC65" s="27" t="inlineStr">
        <is>
          <t>O</t>
        </is>
      </c>
      <c r="BD65" s="27">
        <f>COUNTIF(BD8:BD63,"O")</f>
        <v/>
      </c>
      <c r="BE65" s="27" t="n"/>
      <c r="BF65" s="27" t="n"/>
      <c r="BG65" s="27" t="n"/>
      <c r="BH65" s="27" t="n"/>
      <c r="BI65" s="27" t="n"/>
      <c r="BJ65" s="27" t="n"/>
      <c r="BK65" s="27" t="n"/>
      <c r="BL65" s="27" t="inlineStr">
        <is>
          <t>O</t>
        </is>
      </c>
      <c r="BM65" s="27">
        <f>COUNTIF(BM8:BM63,"O")</f>
        <v/>
      </c>
      <c r="BN65" s="27" t="n"/>
      <c r="BO65" s="27" t="n"/>
      <c r="BP65" s="27" t="n"/>
      <c r="BQ65" s="27" t="n"/>
      <c r="BR65" s="27" t="n"/>
      <c r="BS65" s="27" t="n"/>
      <c r="BT65" s="27" t="n"/>
      <c r="BU65" s="27" t="inlineStr">
        <is>
          <t>O</t>
        </is>
      </c>
      <c r="BV65" s="27">
        <f>COUNTIF(BV8:BV63,"O")</f>
        <v/>
      </c>
      <c r="BW65" s="27" t="n"/>
      <c r="BX65" s="27" t="n"/>
      <c r="BY65" s="27" t="n"/>
      <c r="BZ65" s="27" t="n"/>
      <c r="CA65" s="27" t="inlineStr">
        <is>
          <t>O</t>
        </is>
      </c>
      <c r="CB65" s="28">
        <f>COUNTIF(CB8:CB63,"O")</f>
        <v/>
      </c>
      <c r="CC65" s="27" t="n"/>
      <c r="CD65" s="27" t="n"/>
      <c r="CE65" s="28" t="n"/>
      <c r="CF65" s="28" t="n"/>
      <c r="CG65" s="27" t="n"/>
      <c r="CH65" s="27" t="inlineStr">
        <is>
          <t>FCD</t>
        </is>
      </c>
      <c r="CI65" s="27">
        <f>COUNTIF(CI8:CI63,"FCD")</f>
        <v/>
      </c>
    </row>
    <row r="66" ht="15.75" customHeight="1">
      <c r="C66" s="1" t="inlineStr">
        <is>
          <t>Total No. of</t>
        </is>
      </c>
      <c r="D66" s="1" t="n"/>
      <c r="E66" s="28" t="n"/>
      <c r="F66" s="28" t="n"/>
      <c r="G66" s="28" t="n"/>
      <c r="H66" s="28" t="n"/>
      <c r="I66" s="28" t="n"/>
      <c r="J66" s="27" t="inlineStr">
        <is>
          <t>A+</t>
        </is>
      </c>
      <c r="K66" s="27">
        <f>COUNTIF(K8:K63,"A+")</f>
        <v/>
      </c>
      <c r="L66" s="27" t="n"/>
      <c r="M66" s="27" t="n"/>
      <c r="N66" s="28" t="n"/>
      <c r="O66" s="28" t="n"/>
      <c r="P66" s="28" t="n"/>
      <c r="Q66" s="28" t="n"/>
      <c r="R66" s="28" t="n"/>
      <c r="S66" s="27" t="inlineStr">
        <is>
          <t>A+</t>
        </is>
      </c>
      <c r="T66" s="27">
        <f>COUNTIF(T8:T63,"A+")</f>
        <v/>
      </c>
      <c r="U66" s="27" t="n"/>
      <c r="V66" s="27" t="n"/>
      <c r="W66" s="27" t="n"/>
      <c r="X66" s="27" t="n"/>
      <c r="Y66" s="27" t="n"/>
      <c r="Z66" s="27" t="n"/>
      <c r="AA66" s="27" t="n"/>
      <c r="AB66" s="27" t="inlineStr">
        <is>
          <t>A+</t>
        </is>
      </c>
      <c r="AC66" s="27">
        <f>COUNTIF(AC8:AC63,"A+")</f>
        <v/>
      </c>
      <c r="AD66" s="27" t="n"/>
      <c r="AE66" s="27" t="n"/>
      <c r="AF66" s="27" t="n"/>
      <c r="AG66" s="27" t="n"/>
      <c r="AH66" s="27" t="n"/>
      <c r="AI66" s="27" t="n"/>
      <c r="AJ66" s="27" t="n"/>
      <c r="AK66" s="27" t="inlineStr">
        <is>
          <t>A+</t>
        </is>
      </c>
      <c r="AL66" s="27">
        <f>COUNTIF(AL8:AL63,"A+")</f>
        <v/>
      </c>
      <c r="AM66" s="27" t="n"/>
      <c r="AN66" s="27" t="n"/>
      <c r="AO66" s="27" t="n"/>
      <c r="AP66" s="27" t="n"/>
      <c r="AQ66" s="27" t="n"/>
      <c r="AR66" s="27" t="n"/>
      <c r="AS66" s="27" t="n"/>
      <c r="AT66" s="27" t="inlineStr">
        <is>
          <t>A+</t>
        </is>
      </c>
      <c r="AU66" s="27">
        <f>COUNTIF(AU8:AU63,"A+")</f>
        <v/>
      </c>
      <c r="AV66" s="27" t="n"/>
      <c r="AW66" s="27" t="n"/>
      <c r="AX66" s="27" t="n"/>
      <c r="AY66" s="27" t="n"/>
      <c r="AZ66" s="27" t="n"/>
      <c r="BA66" s="27" t="n"/>
      <c r="BB66" s="27" t="n"/>
      <c r="BC66" s="27" t="inlineStr">
        <is>
          <t>A+</t>
        </is>
      </c>
      <c r="BD66" s="27">
        <f>COUNTIF(BD8:BD63,"A+")</f>
        <v/>
      </c>
      <c r="BE66" s="27" t="n"/>
      <c r="BF66" s="27" t="n"/>
      <c r="BG66" s="27" t="n"/>
      <c r="BH66" s="27" t="n"/>
      <c r="BI66" s="27" t="n"/>
      <c r="BJ66" s="27" t="n"/>
      <c r="BK66" s="27" t="n"/>
      <c r="BL66" s="27" t="inlineStr">
        <is>
          <t>A+</t>
        </is>
      </c>
      <c r="BM66" s="27">
        <f>COUNTIF(BM8:BM63,"A+")</f>
        <v/>
      </c>
      <c r="BN66" s="27" t="n"/>
      <c r="BO66" s="27" t="n"/>
      <c r="BP66" s="27" t="n"/>
      <c r="BQ66" s="27" t="n"/>
      <c r="BR66" s="27" t="n"/>
      <c r="BS66" s="27" t="n"/>
      <c r="BT66" s="27" t="n"/>
      <c r="BU66" s="27" t="inlineStr">
        <is>
          <t>A+</t>
        </is>
      </c>
      <c r="BV66" s="27">
        <f>COUNTIF(BV8:BV63,"A+")</f>
        <v/>
      </c>
      <c r="BW66" s="27" t="n"/>
      <c r="BX66" s="27" t="n"/>
      <c r="BY66" s="27" t="n"/>
      <c r="BZ66" s="27" t="n"/>
      <c r="CA66" s="27" t="inlineStr">
        <is>
          <t>A+</t>
        </is>
      </c>
      <c r="CB66" s="28">
        <f>COUNTIF(CB8:CB63,"A+")</f>
        <v/>
      </c>
      <c r="CC66" s="27" t="n"/>
      <c r="CD66" s="27" t="n"/>
      <c r="CE66" s="28" t="n"/>
      <c r="CF66" s="28" t="n"/>
      <c r="CG66" s="27" t="n"/>
      <c r="CH66" s="27" t="inlineStr">
        <is>
          <t>FC</t>
        </is>
      </c>
      <c r="CI66" s="27">
        <f>COUNTIF(CI8:CI63,"FC")</f>
        <v/>
      </c>
    </row>
    <row r="67" ht="15.75" customHeight="1">
      <c r="C67" s="1" t="inlineStr">
        <is>
          <t>Total No. of</t>
        </is>
      </c>
      <c r="D67" s="1" t="n"/>
      <c r="E67" s="28" t="n"/>
      <c r="F67" s="28" t="n"/>
      <c r="G67" s="28" t="n"/>
      <c r="H67" s="28" t="n"/>
      <c r="I67" s="28" t="n"/>
      <c r="J67" s="27" t="inlineStr">
        <is>
          <t>A</t>
        </is>
      </c>
      <c r="K67" s="27">
        <f>COUNTIF(K8:K63,"A")</f>
        <v/>
      </c>
      <c r="L67" s="27" t="n"/>
      <c r="M67" s="27" t="n"/>
      <c r="N67" s="28" t="n"/>
      <c r="O67" s="28" t="n"/>
      <c r="P67" s="28" t="n"/>
      <c r="Q67" s="28" t="n"/>
      <c r="R67" s="28" t="n"/>
      <c r="S67" s="27" t="inlineStr">
        <is>
          <t>A</t>
        </is>
      </c>
      <c r="T67" s="27">
        <f>COUNTIF(T8:T63,"A")</f>
        <v/>
      </c>
      <c r="U67" s="27" t="n"/>
      <c r="V67" s="27" t="n"/>
      <c r="W67" s="27" t="n"/>
      <c r="X67" s="27" t="n"/>
      <c r="Y67" s="27" t="n"/>
      <c r="Z67" s="27" t="n"/>
      <c r="AA67" s="27" t="n"/>
      <c r="AB67" s="27" t="inlineStr">
        <is>
          <t>A</t>
        </is>
      </c>
      <c r="AC67" s="27">
        <f>COUNTIF(AC8:AC63,"A")</f>
        <v/>
      </c>
      <c r="AD67" s="27" t="n"/>
      <c r="AE67" s="27" t="n"/>
      <c r="AF67" s="27" t="n"/>
      <c r="AG67" s="27" t="n"/>
      <c r="AH67" s="27" t="n"/>
      <c r="AI67" s="27" t="n"/>
      <c r="AJ67" s="27" t="n"/>
      <c r="AK67" s="27" t="inlineStr">
        <is>
          <t>A</t>
        </is>
      </c>
      <c r="AL67" s="27">
        <f>COUNTIF(AL8:AL63,"A")</f>
        <v/>
      </c>
      <c r="AM67" s="27" t="n"/>
      <c r="AN67" s="27" t="n"/>
      <c r="AO67" s="27" t="n"/>
      <c r="AP67" s="27" t="n"/>
      <c r="AQ67" s="27" t="n"/>
      <c r="AR67" s="27" t="n"/>
      <c r="AS67" s="27" t="n"/>
      <c r="AT67" s="27" t="inlineStr">
        <is>
          <t>A</t>
        </is>
      </c>
      <c r="AU67" s="27">
        <f>COUNTIF(AU8:AU63,"A")</f>
        <v/>
      </c>
      <c r="AV67" s="27" t="n"/>
      <c r="AW67" s="27" t="n"/>
      <c r="AX67" s="27" t="n"/>
      <c r="AY67" s="27" t="n"/>
      <c r="AZ67" s="27" t="n"/>
      <c r="BA67" s="27" t="n"/>
      <c r="BB67" s="27" t="n"/>
      <c r="BC67" s="27" t="inlineStr">
        <is>
          <t>A</t>
        </is>
      </c>
      <c r="BD67" s="27">
        <f>COUNTIF(BD8:BD63,"A")</f>
        <v/>
      </c>
      <c r="BE67" s="27" t="n"/>
      <c r="BF67" s="27" t="n"/>
      <c r="BG67" s="27" t="n"/>
      <c r="BH67" s="27" t="n"/>
      <c r="BI67" s="27" t="n"/>
      <c r="BJ67" s="27" t="n"/>
      <c r="BK67" s="27" t="n"/>
      <c r="BL67" s="27" t="inlineStr">
        <is>
          <t>A</t>
        </is>
      </c>
      <c r="BM67" s="27">
        <f>COUNTIF(BM8:BM63,"A")</f>
        <v/>
      </c>
      <c r="BN67" s="27" t="n"/>
      <c r="BO67" s="27" t="n"/>
      <c r="BP67" s="27" t="n"/>
      <c r="BQ67" s="27" t="n"/>
      <c r="BR67" s="27" t="n"/>
      <c r="BS67" s="27" t="n"/>
      <c r="BT67" s="27" t="n"/>
      <c r="BU67" s="27" t="inlineStr">
        <is>
          <t>A</t>
        </is>
      </c>
      <c r="BV67" s="27">
        <f>COUNTIF(BV8:BV63,"A")</f>
        <v/>
      </c>
      <c r="BW67" s="27" t="n"/>
      <c r="BX67" s="27" t="n"/>
      <c r="BY67" s="27" t="n"/>
      <c r="BZ67" s="27" t="n"/>
      <c r="CA67" s="27" t="inlineStr">
        <is>
          <t>A</t>
        </is>
      </c>
      <c r="CB67" s="28">
        <f>COUNTIF(CB8:CB63,"A")</f>
        <v/>
      </c>
      <c r="CC67" s="27" t="n"/>
      <c r="CD67" s="27" t="n"/>
      <c r="CE67" s="28" t="n"/>
      <c r="CF67" s="28" t="n"/>
      <c r="CG67" s="27" t="n"/>
      <c r="CH67" s="27" t="inlineStr">
        <is>
          <t>SC</t>
        </is>
      </c>
      <c r="CI67" s="27">
        <f>COUNTIF(CI8:CI63,"SC")</f>
        <v/>
      </c>
    </row>
    <row r="68" ht="15.75" customHeight="1">
      <c r="C68" s="1" t="inlineStr">
        <is>
          <t>Total No. of</t>
        </is>
      </c>
      <c r="D68" s="1" t="n"/>
      <c r="E68" s="28" t="n"/>
      <c r="F68" s="28" t="n"/>
      <c r="G68" s="28" t="n"/>
      <c r="H68" s="28" t="n"/>
      <c r="I68" s="28" t="n"/>
      <c r="J68" s="27" t="inlineStr">
        <is>
          <t>B+</t>
        </is>
      </c>
      <c r="K68" s="27">
        <f>COUNTIF(K8:K63,"B+")</f>
        <v/>
      </c>
      <c r="L68" s="27" t="n"/>
      <c r="M68" s="27" t="n"/>
      <c r="N68" s="28" t="n"/>
      <c r="O68" s="28" t="n"/>
      <c r="P68" s="28" t="n"/>
      <c r="Q68" s="28" t="n"/>
      <c r="R68" s="28" t="n"/>
      <c r="S68" s="27" t="inlineStr">
        <is>
          <t>B+</t>
        </is>
      </c>
      <c r="T68" s="27">
        <f>COUNTIF(T8:T63,"B+")</f>
        <v/>
      </c>
      <c r="U68" s="27" t="n"/>
      <c r="V68" s="27" t="n"/>
      <c r="W68" s="27" t="n"/>
      <c r="X68" s="27" t="n"/>
      <c r="Y68" s="27" t="n"/>
      <c r="Z68" s="27" t="n"/>
      <c r="AA68" s="27" t="n"/>
      <c r="AB68" s="27" t="inlineStr">
        <is>
          <t>B+</t>
        </is>
      </c>
      <c r="AC68" s="27">
        <f>COUNTIF(AC8:AC63,"B+")</f>
        <v/>
      </c>
      <c r="AD68" s="27" t="n"/>
      <c r="AE68" s="27" t="n"/>
      <c r="AF68" s="27" t="n"/>
      <c r="AG68" s="27" t="n"/>
      <c r="AH68" s="27" t="n"/>
      <c r="AI68" s="27" t="n"/>
      <c r="AJ68" s="27" t="n"/>
      <c r="AK68" s="27" t="inlineStr">
        <is>
          <t>B+</t>
        </is>
      </c>
      <c r="AL68" s="27">
        <f>COUNTIF(AL8:AL63,"B+")</f>
        <v/>
      </c>
      <c r="AM68" s="27" t="n"/>
      <c r="AN68" s="27" t="n"/>
      <c r="AO68" s="27" t="n"/>
      <c r="AP68" s="27" t="n"/>
      <c r="AQ68" s="27" t="n"/>
      <c r="AR68" s="27" t="n"/>
      <c r="AS68" s="27" t="n"/>
      <c r="AT68" s="27" t="inlineStr">
        <is>
          <t>B+</t>
        </is>
      </c>
      <c r="AU68" s="27">
        <f>COUNTIF(AU8:AU63,"B+")</f>
        <v/>
      </c>
      <c r="AV68" s="27" t="n"/>
      <c r="AW68" s="27" t="n"/>
      <c r="AX68" s="27" t="n"/>
      <c r="AY68" s="27" t="n"/>
      <c r="AZ68" s="27" t="n"/>
      <c r="BA68" s="27" t="n"/>
      <c r="BB68" s="27" t="n"/>
      <c r="BC68" s="27" t="inlineStr">
        <is>
          <t>B+</t>
        </is>
      </c>
      <c r="BD68" s="27">
        <f>COUNTIF(BD8:BD63,"B+")</f>
        <v/>
      </c>
      <c r="BE68" s="27" t="n"/>
      <c r="BF68" s="27" t="n"/>
      <c r="BG68" s="27" t="n"/>
      <c r="BH68" s="27" t="n"/>
      <c r="BI68" s="27" t="n"/>
      <c r="BJ68" s="27" t="n"/>
      <c r="BK68" s="27" t="n"/>
      <c r="BL68" s="27" t="inlineStr">
        <is>
          <t>B+</t>
        </is>
      </c>
      <c r="BM68" s="27">
        <f>COUNTIF(BM8:BM63,"B+")</f>
        <v/>
      </c>
      <c r="BN68" s="27" t="n"/>
      <c r="BO68" s="27" t="n"/>
      <c r="BP68" s="27" t="n"/>
      <c r="BQ68" s="27" t="n"/>
      <c r="BR68" s="27" t="n"/>
      <c r="BS68" s="27" t="n"/>
      <c r="BT68" s="27" t="n"/>
      <c r="BU68" s="27" t="inlineStr">
        <is>
          <t>B+</t>
        </is>
      </c>
      <c r="BV68" s="27">
        <f>COUNTIF(BV8:BV63,"B+")</f>
        <v/>
      </c>
      <c r="BW68" s="27" t="n"/>
      <c r="BX68" s="27" t="n"/>
      <c r="BY68" s="27" t="n"/>
      <c r="BZ68" s="27" t="n"/>
      <c r="CA68" s="27" t="inlineStr">
        <is>
          <t>B+</t>
        </is>
      </c>
      <c r="CB68" s="28">
        <f>COUNTIF(CB8:CB63,"B+")</f>
        <v/>
      </c>
      <c r="CC68" s="27" t="n"/>
      <c r="CD68" s="27" t="n"/>
      <c r="CE68" s="28" t="n"/>
      <c r="CF68" s="28" t="n"/>
      <c r="CG68" s="27" t="n"/>
      <c r="CH68" s="27" t="inlineStr">
        <is>
          <t>PASS</t>
        </is>
      </c>
      <c r="CI68" s="27">
        <f>COUNTIF(CI8:CI63,"PASS")</f>
        <v/>
      </c>
    </row>
    <row r="69" ht="15.75" customHeight="1">
      <c r="C69" s="1" t="inlineStr">
        <is>
          <t>Total No. of</t>
        </is>
      </c>
      <c r="D69" s="1" t="n"/>
      <c r="E69" s="28" t="n"/>
      <c r="F69" s="28" t="n"/>
      <c r="G69" s="28" t="n"/>
      <c r="H69" s="28" t="n"/>
      <c r="I69" s="28" t="n"/>
      <c r="J69" s="27" t="inlineStr">
        <is>
          <t>B</t>
        </is>
      </c>
      <c r="K69" s="27">
        <f>COUNTIF(K8:K63,"B")</f>
        <v/>
      </c>
      <c r="L69" s="27" t="n"/>
      <c r="M69" s="27" t="n"/>
      <c r="N69" s="28" t="n"/>
      <c r="O69" s="28" t="n"/>
      <c r="P69" s="28" t="n"/>
      <c r="Q69" s="28" t="n"/>
      <c r="R69" s="28" t="n"/>
      <c r="S69" s="27" t="inlineStr">
        <is>
          <t>B</t>
        </is>
      </c>
      <c r="T69" s="27">
        <f>COUNTIF(T8:T63,"B")</f>
        <v/>
      </c>
      <c r="U69" s="27" t="n"/>
      <c r="V69" s="27" t="n"/>
      <c r="W69" s="27" t="n"/>
      <c r="X69" s="27" t="n"/>
      <c r="Y69" s="27" t="n"/>
      <c r="Z69" s="27" t="n"/>
      <c r="AA69" s="27" t="n"/>
      <c r="AB69" s="27" t="inlineStr">
        <is>
          <t>B</t>
        </is>
      </c>
      <c r="AC69" s="27">
        <f>COUNTIF(AC8:AC63,"B")</f>
        <v/>
      </c>
      <c r="AD69" s="27" t="n"/>
      <c r="AE69" s="27" t="n"/>
      <c r="AF69" s="27" t="n"/>
      <c r="AG69" s="27" t="n"/>
      <c r="AH69" s="27" t="n"/>
      <c r="AI69" s="27" t="n"/>
      <c r="AJ69" s="27" t="n"/>
      <c r="AK69" s="27" t="inlineStr">
        <is>
          <t>B</t>
        </is>
      </c>
      <c r="AL69" s="27">
        <f>COUNTIF(AL8:AL63,"B")</f>
        <v/>
      </c>
      <c r="AM69" s="27" t="n"/>
      <c r="AN69" s="27" t="n"/>
      <c r="AO69" s="27" t="n"/>
      <c r="AP69" s="27" t="n"/>
      <c r="AQ69" s="27" t="n"/>
      <c r="AR69" s="27" t="n"/>
      <c r="AS69" s="27" t="n"/>
      <c r="AT69" s="27" t="inlineStr">
        <is>
          <t>B</t>
        </is>
      </c>
      <c r="AU69" s="27">
        <f>COUNTIF(AU8:AU63,"B")</f>
        <v/>
      </c>
      <c r="AV69" s="27" t="n"/>
      <c r="AW69" s="27" t="n"/>
      <c r="AX69" s="27" t="n"/>
      <c r="AY69" s="27" t="n"/>
      <c r="AZ69" s="27" t="n"/>
      <c r="BA69" s="27" t="n"/>
      <c r="BB69" s="27" t="n"/>
      <c r="BC69" s="27" t="inlineStr">
        <is>
          <t>B</t>
        </is>
      </c>
      <c r="BD69" s="27">
        <f>COUNTIF(BD8:BD63,"B")</f>
        <v/>
      </c>
      <c r="BE69" s="27" t="n"/>
      <c r="BF69" s="27" t="n"/>
      <c r="BG69" s="27" t="n"/>
      <c r="BH69" s="27" t="n"/>
      <c r="BI69" s="27" t="n"/>
      <c r="BJ69" s="27" t="n"/>
      <c r="BK69" s="27" t="n"/>
      <c r="BL69" s="27" t="inlineStr">
        <is>
          <t>B</t>
        </is>
      </c>
      <c r="BM69" s="27">
        <f>COUNTIF(BM8:BM63,"B")</f>
        <v/>
      </c>
      <c r="BN69" s="27" t="n"/>
      <c r="BO69" s="27" t="n"/>
      <c r="BP69" s="27" t="n"/>
      <c r="BQ69" s="27" t="n"/>
      <c r="BR69" s="27" t="n"/>
      <c r="BS69" s="27" t="n"/>
      <c r="BT69" s="27" t="n"/>
      <c r="BU69" s="27" t="inlineStr">
        <is>
          <t>B</t>
        </is>
      </c>
      <c r="BV69" s="27">
        <f>COUNTIF(BV8:BV63,"B")</f>
        <v/>
      </c>
      <c r="BW69" s="27" t="n"/>
      <c r="BX69" s="27" t="n"/>
      <c r="BY69" s="27" t="n"/>
      <c r="BZ69" s="27" t="n"/>
      <c r="CA69" s="27" t="inlineStr">
        <is>
          <t>B</t>
        </is>
      </c>
      <c r="CB69" s="28">
        <f>COUNTIF(CB8:CB63,"B")</f>
        <v/>
      </c>
      <c r="CC69" s="27" t="n"/>
      <c r="CD69" s="27" t="n"/>
      <c r="CE69" s="28" t="n"/>
      <c r="CF69" s="28" t="n"/>
      <c r="CG69" s="27" t="n"/>
      <c r="CH69" s="27" t="inlineStr">
        <is>
          <t>FAIL</t>
        </is>
      </c>
      <c r="CI69" s="27">
        <f>COUNTIF(CI8:CI63,"F")</f>
        <v/>
      </c>
    </row>
    <row r="70" ht="15.75" customHeight="1">
      <c r="C70" s="1" t="inlineStr">
        <is>
          <t>Total No. of</t>
        </is>
      </c>
      <c r="D70" s="1" t="n"/>
      <c r="E70" s="28" t="n"/>
      <c r="F70" s="28" t="n"/>
      <c r="G70" s="28" t="n"/>
      <c r="H70" s="28" t="n"/>
      <c r="I70" s="28" t="n"/>
      <c r="J70" s="27" t="inlineStr">
        <is>
          <t>C</t>
        </is>
      </c>
      <c r="K70" s="27">
        <f>COUNTIF(K8:K63,"C")</f>
        <v/>
      </c>
      <c r="L70" s="27" t="n"/>
      <c r="M70" s="27" t="n"/>
      <c r="N70" s="28" t="n"/>
      <c r="O70" s="28" t="n"/>
      <c r="P70" s="28" t="n"/>
      <c r="Q70" s="28" t="n"/>
      <c r="R70" s="28" t="n"/>
      <c r="S70" s="27" t="inlineStr">
        <is>
          <t>C</t>
        </is>
      </c>
      <c r="T70" s="27">
        <f>COUNTIF(T8:T63,"C")</f>
        <v/>
      </c>
      <c r="U70" s="27" t="n"/>
      <c r="V70" s="27" t="n"/>
      <c r="W70" s="27" t="n"/>
      <c r="X70" s="27" t="n"/>
      <c r="Y70" s="27" t="n"/>
      <c r="Z70" s="27" t="n"/>
      <c r="AA70" s="27" t="n"/>
      <c r="AB70" s="27" t="inlineStr">
        <is>
          <t>C</t>
        </is>
      </c>
      <c r="AC70" s="27">
        <f>COUNTIF(AC8:AC63,"C")</f>
        <v/>
      </c>
      <c r="AD70" s="27" t="n"/>
      <c r="AE70" s="27" t="n"/>
      <c r="AF70" s="27" t="n"/>
      <c r="AG70" s="27" t="n"/>
      <c r="AH70" s="27" t="n"/>
      <c r="AI70" s="27" t="n"/>
      <c r="AJ70" s="27" t="n"/>
      <c r="AK70" s="27" t="inlineStr">
        <is>
          <t>C</t>
        </is>
      </c>
      <c r="AL70" s="27">
        <f>COUNTIF(AL8:AL63,"C")</f>
        <v/>
      </c>
      <c r="AM70" s="27" t="n"/>
      <c r="AN70" s="27" t="n"/>
      <c r="AO70" s="27" t="n"/>
      <c r="AP70" s="27" t="n"/>
      <c r="AQ70" s="27" t="n"/>
      <c r="AR70" s="27" t="n"/>
      <c r="AS70" s="27" t="n"/>
      <c r="AT70" s="27" t="inlineStr">
        <is>
          <t>C</t>
        </is>
      </c>
      <c r="AU70" s="27">
        <f>COUNTIF(AU8:AU63,"C")</f>
        <v/>
      </c>
      <c r="AV70" s="27" t="n"/>
      <c r="AW70" s="27" t="n"/>
      <c r="AX70" s="27" t="n"/>
      <c r="AY70" s="27" t="n"/>
      <c r="AZ70" s="27" t="n"/>
      <c r="BA70" s="27" t="n"/>
      <c r="BB70" s="27" t="n"/>
      <c r="BC70" s="27" t="inlineStr">
        <is>
          <t>C</t>
        </is>
      </c>
      <c r="BD70" s="27">
        <f>COUNTIF(BD8:BD63,"C")</f>
        <v/>
      </c>
      <c r="BE70" s="27" t="n"/>
      <c r="BF70" s="27" t="n"/>
      <c r="BG70" s="27" t="n"/>
      <c r="BH70" s="27" t="n"/>
      <c r="BI70" s="27" t="n"/>
      <c r="BJ70" s="27" t="n"/>
      <c r="BK70" s="27" t="n"/>
      <c r="BL70" s="27" t="inlineStr">
        <is>
          <t>C</t>
        </is>
      </c>
      <c r="BM70" s="27">
        <f>COUNTIF(BM8:BM63,"C")</f>
        <v/>
      </c>
      <c r="BN70" s="27" t="n"/>
      <c r="BO70" s="27" t="n"/>
      <c r="BP70" s="27" t="n"/>
      <c r="BQ70" s="27" t="n"/>
      <c r="BR70" s="27" t="n"/>
      <c r="BS70" s="27" t="n"/>
      <c r="BT70" s="27" t="n"/>
      <c r="BU70" s="27" t="inlineStr">
        <is>
          <t>C</t>
        </is>
      </c>
      <c r="BV70" s="27">
        <f>COUNTIF(BV8:BV63,"C")</f>
        <v/>
      </c>
      <c r="BW70" s="27" t="n"/>
      <c r="BX70" s="27" t="n"/>
      <c r="BY70" s="27" t="n"/>
      <c r="BZ70" s="27" t="n"/>
      <c r="CA70" s="27" t="inlineStr">
        <is>
          <t>C</t>
        </is>
      </c>
      <c r="CB70" s="28">
        <f>COUNTIF(CB8:CB63,"C")</f>
        <v/>
      </c>
      <c r="CC70" s="27" t="n"/>
      <c r="CD70" s="27" t="n"/>
      <c r="CE70" s="28" t="n"/>
      <c r="CF70" s="28" t="n"/>
      <c r="CG70" s="27" t="n"/>
      <c r="CH70" s="27" t="n"/>
      <c r="CI70" s="27" t="n"/>
    </row>
    <row r="71" ht="15.75" customHeight="1">
      <c r="C71" s="1" t="inlineStr">
        <is>
          <t>Total No. of</t>
        </is>
      </c>
      <c r="D71" s="1" t="n"/>
      <c r="E71" s="28" t="n"/>
      <c r="F71" s="28" t="n"/>
      <c r="G71" s="28" t="n"/>
      <c r="H71" s="28" t="n"/>
      <c r="I71" s="28" t="n"/>
      <c r="J71" s="27" t="inlineStr">
        <is>
          <t>P</t>
        </is>
      </c>
      <c r="K71" s="27">
        <f>COUNTIF(K8:K63,"P")</f>
        <v/>
      </c>
      <c r="L71" s="27" t="n"/>
      <c r="M71" s="27" t="n"/>
      <c r="N71" s="28" t="n"/>
      <c r="O71" s="28" t="n"/>
      <c r="P71" s="28" t="n"/>
      <c r="Q71" s="28" t="n"/>
      <c r="R71" s="28" t="n"/>
      <c r="S71" s="27" t="inlineStr">
        <is>
          <t>P</t>
        </is>
      </c>
      <c r="T71" s="27">
        <f>COUNTIF(T8:T63,"P")</f>
        <v/>
      </c>
      <c r="U71" s="27" t="n"/>
      <c r="V71" s="27" t="n"/>
      <c r="W71" s="27" t="n"/>
      <c r="X71" s="27" t="n"/>
      <c r="Y71" s="27" t="n"/>
      <c r="Z71" s="27" t="n"/>
      <c r="AA71" s="27" t="n"/>
      <c r="AB71" s="27" t="inlineStr">
        <is>
          <t>P</t>
        </is>
      </c>
      <c r="AC71" s="27">
        <f>COUNTIF(AC8:AC63,"P")</f>
        <v/>
      </c>
      <c r="AD71" s="27" t="n"/>
      <c r="AE71" s="27" t="n"/>
      <c r="AF71" s="27" t="n"/>
      <c r="AG71" s="27" t="n"/>
      <c r="AH71" s="27" t="n"/>
      <c r="AI71" s="27" t="n"/>
      <c r="AJ71" s="27" t="n"/>
      <c r="AK71" s="27" t="inlineStr">
        <is>
          <t>P</t>
        </is>
      </c>
      <c r="AL71" s="27">
        <f>COUNTIF(AL8:AL63,"P")</f>
        <v/>
      </c>
      <c r="AM71" s="27" t="n"/>
      <c r="AN71" s="27" t="n"/>
      <c r="AO71" s="27" t="n"/>
      <c r="AP71" s="27" t="n"/>
      <c r="AQ71" s="27" t="n"/>
      <c r="AR71" s="27" t="n"/>
      <c r="AS71" s="27" t="n"/>
      <c r="AT71" s="27" t="inlineStr">
        <is>
          <t>P</t>
        </is>
      </c>
      <c r="AU71" s="27">
        <f>COUNTIF(AU8:AU63,"P")</f>
        <v/>
      </c>
      <c r="AV71" s="27" t="n"/>
      <c r="AW71" s="27" t="n"/>
      <c r="AX71" s="27" t="n"/>
      <c r="AY71" s="27" t="n"/>
      <c r="AZ71" s="27" t="n"/>
      <c r="BA71" s="27" t="n"/>
      <c r="BB71" s="27" t="n"/>
      <c r="BC71" s="27" t="inlineStr">
        <is>
          <t>P</t>
        </is>
      </c>
      <c r="BD71" s="27">
        <f>COUNTIF(BD8:BD63,"P")</f>
        <v/>
      </c>
      <c r="BE71" s="27" t="n"/>
      <c r="BF71" s="27" t="n"/>
      <c r="BG71" s="27" t="n"/>
      <c r="BH71" s="27" t="n"/>
      <c r="BI71" s="27" t="n"/>
      <c r="BJ71" s="27" t="n"/>
      <c r="BK71" s="27" t="n"/>
      <c r="BL71" s="27" t="inlineStr">
        <is>
          <t>P</t>
        </is>
      </c>
      <c r="BM71" s="27">
        <f>COUNTIF(BM8:BM63,"P")</f>
        <v/>
      </c>
      <c r="BN71" s="27" t="n"/>
      <c r="BO71" s="27" t="n"/>
      <c r="BP71" s="27" t="n"/>
      <c r="BQ71" s="27" t="n"/>
      <c r="BR71" s="27" t="n"/>
      <c r="BS71" s="27" t="n"/>
      <c r="BT71" s="27" t="n"/>
      <c r="BU71" s="27" t="inlineStr">
        <is>
          <t>P</t>
        </is>
      </c>
      <c r="BV71" s="27">
        <f>COUNTIF(BV8:BV63,"P")</f>
        <v/>
      </c>
      <c r="BW71" s="27" t="n"/>
      <c r="BX71" s="27" t="n"/>
      <c r="BY71" s="27" t="n"/>
      <c r="BZ71" s="27" t="n"/>
      <c r="CA71" s="27" t="inlineStr">
        <is>
          <t>P</t>
        </is>
      </c>
      <c r="CB71" s="28">
        <f>COUNTIF(CB8:CB63,"P")</f>
        <v/>
      </c>
      <c r="CC71" s="27" t="n"/>
      <c r="CD71" s="27" t="n"/>
      <c r="CE71" s="28" t="n"/>
      <c r="CF71" s="28" t="n"/>
      <c r="CG71" s="27" t="n"/>
      <c r="CH71" s="27" t="n"/>
      <c r="CI71" s="27" t="n"/>
    </row>
    <row r="72" ht="15.75" customHeight="1">
      <c r="C72" s="1" t="inlineStr">
        <is>
          <t>Total No. of</t>
        </is>
      </c>
      <c r="D72" s="1" t="n"/>
      <c r="E72" s="28" t="n"/>
      <c r="F72" s="28" t="n"/>
      <c r="G72" s="28" t="n"/>
      <c r="H72" s="28" t="n"/>
      <c r="I72" s="28" t="n"/>
      <c r="J72" s="27" t="inlineStr">
        <is>
          <t>F</t>
        </is>
      </c>
      <c r="K72" s="27">
        <f>COUNTIF(K8:K63,"F")</f>
        <v/>
      </c>
      <c r="L72" s="27" t="n"/>
      <c r="M72" s="27" t="n"/>
      <c r="N72" s="28" t="n"/>
      <c r="O72" s="28" t="n"/>
      <c r="P72" s="28" t="n"/>
      <c r="Q72" s="28" t="n"/>
      <c r="R72" s="28" t="n"/>
      <c r="S72" s="27" t="inlineStr">
        <is>
          <t>F</t>
        </is>
      </c>
      <c r="T72" s="27">
        <f>COUNTIF(T8:T63,"F")</f>
        <v/>
      </c>
      <c r="U72" s="27" t="n"/>
      <c r="V72" s="27" t="n"/>
      <c r="W72" s="27" t="n"/>
      <c r="X72" s="27" t="n"/>
      <c r="Y72" s="27" t="n"/>
      <c r="Z72" s="27" t="n"/>
      <c r="AA72" s="27" t="n"/>
      <c r="AB72" s="27" t="inlineStr">
        <is>
          <t>F</t>
        </is>
      </c>
      <c r="AC72" s="27">
        <f>COUNTIF(AC8:AC63,"F")</f>
        <v/>
      </c>
      <c r="AD72" s="27" t="n"/>
      <c r="AE72" s="27" t="n"/>
      <c r="AF72" s="27" t="n"/>
      <c r="AG72" s="27" t="n"/>
      <c r="AH72" s="27" t="n"/>
      <c r="AI72" s="27" t="n"/>
      <c r="AJ72" s="27" t="n"/>
      <c r="AK72" s="27" t="inlineStr">
        <is>
          <t>F</t>
        </is>
      </c>
      <c r="AL72" s="27">
        <f>COUNTIF(AL8:AL63,"F")</f>
        <v/>
      </c>
      <c r="AM72" s="27" t="n"/>
      <c r="AN72" s="27" t="n"/>
      <c r="AO72" s="27" t="n"/>
      <c r="AP72" s="27" t="n"/>
      <c r="AQ72" s="27" t="n"/>
      <c r="AR72" s="27" t="n"/>
      <c r="AS72" s="27" t="n"/>
      <c r="AT72" s="27" t="inlineStr">
        <is>
          <t>F</t>
        </is>
      </c>
      <c r="AU72" s="27">
        <f>COUNTIF(AU8:AU63,"F")</f>
        <v/>
      </c>
      <c r="AV72" s="27" t="n"/>
      <c r="AW72" s="27" t="n"/>
      <c r="AX72" s="27" t="n"/>
      <c r="AY72" s="27" t="n"/>
      <c r="AZ72" s="27" t="n"/>
      <c r="BA72" s="27" t="n"/>
      <c r="BB72" s="27" t="n"/>
      <c r="BC72" s="27" t="inlineStr">
        <is>
          <t>F</t>
        </is>
      </c>
      <c r="BD72" s="27">
        <f>COUNTIF(BD8:BD63,"F")</f>
        <v/>
      </c>
      <c r="BE72" s="27" t="n"/>
      <c r="BF72" s="27" t="n"/>
      <c r="BG72" s="27" t="n"/>
      <c r="BH72" s="27" t="n"/>
      <c r="BI72" s="27" t="n"/>
      <c r="BJ72" s="27" t="n"/>
      <c r="BK72" s="27" t="n"/>
      <c r="BL72" s="27" t="inlineStr">
        <is>
          <t>F</t>
        </is>
      </c>
      <c r="BM72" s="27">
        <f>COUNTIF(BM8:BM63,"F")</f>
        <v/>
      </c>
      <c r="BN72" s="27" t="n"/>
      <c r="BO72" s="27" t="n"/>
      <c r="BP72" s="27" t="n"/>
      <c r="BQ72" s="27" t="n"/>
      <c r="BR72" s="27" t="n"/>
      <c r="BS72" s="27" t="n"/>
      <c r="BT72" s="27" t="n"/>
      <c r="BU72" s="27" t="inlineStr">
        <is>
          <t>F</t>
        </is>
      </c>
      <c r="BV72" s="27">
        <f>COUNTIF(BV8:BV63,"F")</f>
        <v/>
      </c>
      <c r="BW72" s="27" t="n"/>
      <c r="BX72" s="27" t="n"/>
      <c r="BY72" s="27" t="n"/>
      <c r="BZ72" s="27" t="n"/>
      <c r="CA72" s="27" t="inlineStr">
        <is>
          <t>F</t>
        </is>
      </c>
      <c r="CB72" s="28">
        <f>COUNTIF(CB8:CB63,"F")</f>
        <v/>
      </c>
      <c r="CC72" s="27" t="n"/>
      <c r="CD72" s="27" t="n"/>
      <c r="CE72" s="28" t="n"/>
      <c r="CF72" s="28" t="n"/>
      <c r="CG72" s="27" t="n"/>
      <c r="CH72" s="27" t="n"/>
      <c r="CI72" s="27" t="n"/>
    </row>
    <row r="73" ht="15.75" customHeight="1">
      <c r="C73" s="1" t="inlineStr">
        <is>
          <t>Total No. of</t>
        </is>
      </c>
      <c r="D73" s="1" t="n"/>
      <c r="E73" s="28" t="n"/>
      <c r="F73" s="28" t="n"/>
      <c r="G73" s="28" t="n"/>
      <c r="H73" s="28" t="n"/>
      <c r="I73" s="28" t="n"/>
      <c r="J73" s="27" t="inlineStr">
        <is>
          <t>AB</t>
        </is>
      </c>
      <c r="K73" s="27">
        <f>COUNTIF(K8:K63,"AB")</f>
        <v/>
      </c>
      <c r="L73" s="27" t="n"/>
      <c r="M73" s="27" t="n"/>
      <c r="N73" s="28" t="n"/>
      <c r="O73" s="28" t="n"/>
      <c r="P73" s="28" t="n"/>
      <c r="Q73" s="28" t="n"/>
      <c r="R73" s="28" t="n"/>
      <c r="S73" s="27" t="inlineStr">
        <is>
          <t>AB</t>
        </is>
      </c>
      <c r="T73" s="27">
        <f>COUNTIF(T8:T63,"AB")</f>
        <v/>
      </c>
      <c r="U73" s="27" t="n"/>
      <c r="V73" s="27" t="n"/>
      <c r="W73" s="27" t="n"/>
      <c r="X73" s="27" t="n"/>
      <c r="Y73" s="27" t="n"/>
      <c r="Z73" s="27" t="n"/>
      <c r="AA73" s="27" t="n"/>
      <c r="AB73" s="27" t="inlineStr">
        <is>
          <t>AB</t>
        </is>
      </c>
      <c r="AC73" s="27">
        <f>COUNTIF(AC8:AC63,"AB")</f>
        <v/>
      </c>
      <c r="AD73" s="27" t="n"/>
      <c r="AE73" s="27" t="n"/>
      <c r="AF73" s="27" t="n"/>
      <c r="AG73" s="27" t="n"/>
      <c r="AH73" s="27" t="n"/>
      <c r="AI73" s="27" t="n"/>
      <c r="AJ73" s="27" t="n"/>
      <c r="AK73" s="27" t="inlineStr">
        <is>
          <t>AB</t>
        </is>
      </c>
      <c r="AL73" s="27">
        <f>COUNTIF(AL8:AL63,"AB")</f>
        <v/>
      </c>
      <c r="AM73" s="27" t="n"/>
      <c r="AN73" s="27" t="n"/>
      <c r="AO73" s="27" t="n"/>
      <c r="AP73" s="27" t="n"/>
      <c r="AQ73" s="27" t="n"/>
      <c r="AR73" s="27" t="n"/>
      <c r="AS73" s="27" t="n"/>
      <c r="AT73" s="27" t="inlineStr">
        <is>
          <t>AB</t>
        </is>
      </c>
      <c r="AU73" s="27">
        <f>COUNTIF(AU8:AU63,"AB")</f>
        <v/>
      </c>
      <c r="AV73" s="27" t="n"/>
      <c r="AW73" s="27" t="n"/>
      <c r="AX73" s="27" t="n"/>
      <c r="AY73" s="27" t="n"/>
      <c r="AZ73" s="27" t="n"/>
      <c r="BA73" s="27" t="n"/>
      <c r="BB73" s="27" t="n"/>
      <c r="BC73" s="27" t="inlineStr">
        <is>
          <t>AB</t>
        </is>
      </c>
      <c r="BD73" s="27">
        <f>COUNTIF(BD8:BD63,"AB")</f>
        <v/>
      </c>
      <c r="BE73" s="27" t="n"/>
      <c r="BF73" s="27" t="n"/>
      <c r="BG73" s="27" t="n"/>
      <c r="BH73" s="27" t="n"/>
      <c r="BI73" s="27" t="n"/>
      <c r="BJ73" s="27" t="n"/>
      <c r="BK73" s="27" t="n"/>
      <c r="BL73" s="27" t="inlineStr">
        <is>
          <t>AB</t>
        </is>
      </c>
      <c r="BM73" s="27">
        <f>COUNTIF(BM8:BM63,"AB")</f>
        <v/>
      </c>
      <c r="BN73" s="27" t="n"/>
      <c r="BO73" s="27" t="n"/>
      <c r="BP73" s="27" t="n"/>
      <c r="BQ73" s="27" t="n"/>
      <c r="BR73" s="27" t="n"/>
      <c r="BS73" s="27" t="n"/>
      <c r="BT73" s="27" t="n"/>
      <c r="BU73" s="27" t="inlineStr">
        <is>
          <t>AB</t>
        </is>
      </c>
      <c r="BV73" s="27">
        <f>COUNTIF(BV8:BV63,"AB")</f>
        <v/>
      </c>
      <c r="BW73" s="27" t="n"/>
      <c r="BX73" s="27" t="n"/>
      <c r="BY73" s="27" t="n"/>
      <c r="BZ73" s="27" t="n"/>
      <c r="CA73" s="27" t="inlineStr">
        <is>
          <t>AB</t>
        </is>
      </c>
      <c r="CB73" s="28">
        <f>COUNTIF(CB8:CB63,"AB")</f>
        <v/>
      </c>
      <c r="CC73" s="27" t="n"/>
      <c r="CD73" s="27" t="n"/>
      <c r="CE73" s="28" t="n"/>
      <c r="CF73" s="28" t="n"/>
      <c r="CG73" s="27" t="n"/>
      <c r="CH73" s="27" t="n"/>
      <c r="CI73" s="27" t="n"/>
    </row>
    <row r="74" ht="15.75" customHeight="1">
      <c r="D74" s="1" t="n"/>
      <c r="E74" s="28" t="n"/>
      <c r="F74" s="28" t="n"/>
      <c r="G74" s="28" t="n"/>
      <c r="H74" s="28" t="n"/>
      <c r="I74" s="28" t="n"/>
      <c r="J74" s="27" t="n"/>
      <c r="K74" s="27" t="n"/>
      <c r="L74" s="27" t="n"/>
      <c r="M74" s="27" t="n"/>
      <c r="N74" s="28" t="n"/>
      <c r="O74" s="28" t="n"/>
      <c r="P74" s="28" t="n"/>
      <c r="Q74" s="28" t="n"/>
      <c r="R74" s="28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7" t="n"/>
      <c r="AK74" s="27" t="n"/>
      <c r="AL74" s="27" t="n"/>
      <c r="AM74" s="27" t="n"/>
      <c r="AN74" s="27" t="n"/>
      <c r="AO74" s="27" t="n"/>
      <c r="AP74" s="27" t="n"/>
      <c r="AQ74" s="27" t="n"/>
      <c r="AR74" s="27" t="n"/>
      <c r="AS74" s="27" t="n"/>
      <c r="AT74" s="27" t="n"/>
      <c r="AU74" s="27" t="n"/>
      <c r="AV74" s="27" t="n"/>
      <c r="AW74" s="27" t="n"/>
      <c r="AX74" s="27" t="n"/>
      <c r="AY74" s="27" t="n"/>
      <c r="AZ74" s="27" t="n"/>
      <c r="BA74" s="27" t="n"/>
      <c r="BB74" s="27" t="n"/>
      <c r="BC74" s="27" t="n"/>
      <c r="BD74" s="27" t="n"/>
      <c r="BE74" s="27" t="n"/>
      <c r="BF74" s="27" t="n"/>
      <c r="BG74" s="27" t="n"/>
      <c r="BH74" s="27" t="n"/>
      <c r="BI74" s="27" t="n"/>
      <c r="BJ74" s="27" t="n"/>
      <c r="BK74" s="27" t="n"/>
      <c r="BL74" s="27" t="n"/>
      <c r="BM74" s="27" t="n"/>
      <c r="BN74" s="27" t="n"/>
      <c r="BO74" s="27" t="n"/>
      <c r="BP74" s="27" t="n"/>
      <c r="BQ74" s="27" t="n"/>
      <c r="BR74" s="27" t="n"/>
      <c r="BS74" s="27" t="n"/>
      <c r="BT74" s="27" t="n"/>
      <c r="BU74" s="27" t="n"/>
      <c r="BV74" s="27" t="n"/>
      <c r="BW74" s="27" t="n"/>
      <c r="BX74" s="27" t="n"/>
      <c r="BY74" s="27" t="n"/>
      <c r="BZ74" s="27" t="n"/>
      <c r="CA74" s="27" t="n"/>
      <c r="CB74" s="28" t="n"/>
      <c r="CC74" s="27" t="n"/>
      <c r="CD74" s="27" t="n"/>
      <c r="CE74" s="28" t="n"/>
      <c r="CF74" s="28" t="n"/>
      <c r="CG74" s="27" t="n"/>
      <c r="CH74" s="27" t="n"/>
      <c r="CI74" s="27" t="n"/>
    </row>
    <row r="75" ht="15.75" customHeight="1">
      <c r="C75" s="1" t="inlineStr">
        <is>
          <t>Total No. of Students Appeared</t>
        </is>
      </c>
      <c r="D75" s="1" t="n"/>
      <c r="E75" s="28" t="n"/>
      <c r="F75" s="28" t="n"/>
      <c r="G75" s="28" t="n"/>
      <c r="H75" s="28" t="n"/>
      <c r="I75" s="28" t="n"/>
      <c r="J75" s="28" t="n"/>
      <c r="K75" s="27" t="n">
        <v>63</v>
      </c>
      <c r="L75" s="27" t="n"/>
      <c r="M75" s="27" t="n"/>
      <c r="N75" s="28" t="n"/>
      <c r="O75" s="28" t="n"/>
      <c r="P75" s="28" t="n"/>
      <c r="Q75" s="28" t="n"/>
      <c r="R75" s="28" t="n"/>
      <c r="S75" s="28" t="n"/>
      <c r="T75" s="27" t="n">
        <v>63</v>
      </c>
      <c r="U75" s="27" t="n"/>
      <c r="V75" s="27" t="n"/>
      <c r="W75" s="27" t="n"/>
      <c r="X75" s="27" t="n"/>
      <c r="Y75" s="27" t="n"/>
      <c r="Z75" s="27" t="n"/>
      <c r="AA75" s="27" t="n"/>
      <c r="AB75" s="28" t="n"/>
      <c r="AC75" s="27" t="n">
        <v>63</v>
      </c>
      <c r="AD75" s="27" t="n"/>
      <c r="AE75" s="27" t="n"/>
      <c r="AF75" s="27" t="n"/>
      <c r="AG75" s="27" t="n"/>
      <c r="AH75" s="27" t="n"/>
      <c r="AI75" s="27" t="n"/>
      <c r="AJ75" s="27" t="n"/>
      <c r="AK75" s="28" t="n"/>
      <c r="AL75" s="27" t="n">
        <v>63</v>
      </c>
      <c r="AM75" s="27" t="n"/>
      <c r="AN75" s="27" t="n"/>
      <c r="AO75" s="27" t="n"/>
      <c r="AP75" s="27" t="n"/>
      <c r="AQ75" s="27" t="n"/>
      <c r="AR75" s="27" t="n"/>
      <c r="AS75" s="27" t="n"/>
      <c r="AT75" s="28" t="n"/>
      <c r="AU75" s="27" t="n">
        <v>63</v>
      </c>
      <c r="AV75" s="27" t="n"/>
      <c r="AW75" s="27" t="n"/>
      <c r="AX75" s="27" t="n"/>
      <c r="AY75" s="27" t="n"/>
      <c r="AZ75" s="27" t="n"/>
      <c r="BA75" s="27" t="n"/>
      <c r="BB75" s="27" t="n"/>
      <c r="BC75" s="28" t="n"/>
      <c r="BD75" s="27" t="n">
        <v>63</v>
      </c>
      <c r="BE75" s="27" t="n"/>
      <c r="BF75" s="27" t="n"/>
      <c r="BG75" s="27" t="n"/>
      <c r="BH75" s="27" t="n"/>
      <c r="BI75" s="27" t="n"/>
      <c r="BJ75" s="27" t="n"/>
      <c r="BK75" s="27" t="n"/>
      <c r="BL75" s="28" t="n"/>
      <c r="BM75" s="27" t="n">
        <v>63</v>
      </c>
      <c r="BN75" s="27" t="n"/>
      <c r="BO75" s="27" t="n"/>
      <c r="BP75" s="27" t="n"/>
      <c r="BQ75" s="27" t="n"/>
      <c r="BR75" s="27" t="n"/>
      <c r="BS75" s="27" t="n"/>
      <c r="BT75" s="27" t="n"/>
      <c r="BU75" s="28" t="n"/>
      <c r="BV75" s="27" t="n">
        <v>63</v>
      </c>
      <c r="BW75" s="27" t="n"/>
      <c r="BX75" s="27" t="n"/>
      <c r="BY75" s="27" t="n"/>
      <c r="BZ75" s="27" t="n"/>
      <c r="CA75" s="27" t="n"/>
      <c r="CB75" s="28" t="n">
        <v>63</v>
      </c>
      <c r="CC75" s="27" t="n"/>
      <c r="CD75" s="27" t="n"/>
      <c r="CE75" s="28" t="n"/>
      <c r="CF75" s="28" t="n"/>
      <c r="CG75" s="27" t="n"/>
      <c r="CH75" s="27" t="n"/>
      <c r="CI75" s="27" t="n"/>
    </row>
    <row r="76" ht="15.75" customHeight="1">
      <c r="C76" s="1" t="inlineStr">
        <is>
          <t>Total No. of Students Passed</t>
        </is>
      </c>
      <c r="D76" s="1" t="n"/>
      <c r="E76" s="28" t="n"/>
      <c r="F76" s="28" t="n"/>
      <c r="G76" s="28" t="n"/>
      <c r="H76" s="28" t="n"/>
      <c r="I76" s="28" t="n"/>
      <c r="J76" s="28" t="n"/>
      <c r="K76" s="27">
        <f>K75-K72</f>
        <v/>
      </c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>
        <f>T75-T72</f>
        <v/>
      </c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>
        <f>AC75-AC72</f>
        <v/>
      </c>
      <c r="AD76" s="27" t="n"/>
      <c r="AE76" s="27" t="n"/>
      <c r="AF76" s="27" t="n"/>
      <c r="AG76" s="27" t="n"/>
      <c r="AH76" s="27" t="n"/>
      <c r="AI76" s="27" t="n"/>
      <c r="AJ76" s="27" t="n"/>
      <c r="AK76" s="27" t="n"/>
      <c r="AL76" s="27">
        <f>AL75-AL72</f>
        <v/>
      </c>
      <c r="AM76" s="27" t="n"/>
      <c r="AN76" s="27" t="n"/>
      <c r="AO76" s="27" t="n"/>
      <c r="AP76" s="27" t="n"/>
      <c r="AQ76" s="27" t="n"/>
      <c r="AR76" s="27" t="n"/>
      <c r="AS76" s="27" t="n"/>
      <c r="AT76" s="27" t="n"/>
      <c r="AU76" s="27">
        <f>AU75-AU72</f>
        <v/>
      </c>
      <c r="AV76" s="27" t="n"/>
      <c r="AW76" s="27" t="n"/>
      <c r="AX76" s="27" t="n"/>
      <c r="AY76" s="27" t="n"/>
      <c r="AZ76" s="27" t="n"/>
      <c r="BA76" s="27" t="n"/>
      <c r="BB76" s="27" t="n"/>
      <c r="BC76" s="27" t="n"/>
      <c r="BD76" s="27">
        <f>BD75-BD72</f>
        <v/>
      </c>
      <c r="BE76" s="27" t="n"/>
      <c r="BF76" s="27" t="n"/>
      <c r="BG76" s="27" t="n"/>
      <c r="BH76" s="27" t="n"/>
      <c r="BI76" s="27" t="n"/>
      <c r="BJ76" s="27" t="n"/>
      <c r="BK76" s="27" t="n"/>
      <c r="BL76" s="27" t="n"/>
      <c r="BM76" s="27">
        <f>BM75-BM72</f>
        <v/>
      </c>
      <c r="BN76" s="27" t="n"/>
      <c r="BO76" s="27" t="n"/>
      <c r="BP76" s="27" t="n"/>
      <c r="BQ76" s="27" t="n"/>
      <c r="BR76" s="27" t="n"/>
      <c r="BS76" s="27" t="n"/>
      <c r="BT76" s="27" t="n"/>
      <c r="BU76" s="27" t="n"/>
      <c r="BV76" s="27">
        <f>BV75-BV72</f>
        <v/>
      </c>
      <c r="BW76" s="27" t="n"/>
      <c r="BX76" s="27" t="n"/>
      <c r="BY76" s="27" t="n"/>
      <c r="BZ76" s="27" t="n"/>
      <c r="CA76" s="27" t="n"/>
      <c r="CB76" s="28">
        <f>CB75-CB72</f>
        <v/>
      </c>
      <c r="CC76" s="27" t="n"/>
      <c r="CD76" s="27" t="n"/>
      <c r="CE76" s="28" t="n"/>
      <c r="CF76" s="28" t="n"/>
      <c r="CG76" s="27" t="n"/>
      <c r="CH76" s="27" t="n"/>
      <c r="CI76" s="27" t="n"/>
    </row>
    <row r="77" ht="15.75" customHeight="1">
      <c r="D77" s="1" t="n"/>
      <c r="E77" s="28" t="n"/>
      <c r="F77" s="28" t="n"/>
      <c r="G77" s="28" t="n"/>
      <c r="H77" s="28" t="n"/>
      <c r="I77" s="28" t="n"/>
      <c r="J77" s="28" t="n"/>
      <c r="K77" s="27" t="n"/>
      <c r="L77" s="27" t="n"/>
      <c r="M77" s="27" t="n"/>
      <c r="N77" s="28" t="n"/>
      <c r="O77" s="28" t="n"/>
      <c r="P77" s="28" t="n"/>
      <c r="Q77" s="28" t="n"/>
      <c r="R77" s="28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7" t="n"/>
      <c r="AK77" s="27" t="n"/>
      <c r="AL77" s="27" t="n"/>
      <c r="AM77" s="27" t="n"/>
      <c r="AN77" s="27" t="n"/>
      <c r="AO77" s="27" t="n"/>
      <c r="AP77" s="27" t="n"/>
      <c r="AQ77" s="27" t="n"/>
      <c r="AR77" s="27" t="n"/>
      <c r="AS77" s="27" t="n"/>
      <c r="AT77" s="27" t="n"/>
      <c r="AU77" s="27" t="n"/>
      <c r="AV77" s="27" t="n"/>
      <c r="AW77" s="27" t="n"/>
      <c r="AX77" s="27" t="n"/>
      <c r="AY77" s="27" t="n"/>
      <c r="AZ77" s="27" t="n"/>
      <c r="BA77" s="27" t="n"/>
      <c r="BB77" s="27" t="n"/>
      <c r="BC77" s="27" t="n"/>
      <c r="BD77" s="27" t="n"/>
      <c r="BE77" s="27" t="n"/>
      <c r="BF77" s="27" t="n"/>
      <c r="BG77" s="27" t="n"/>
      <c r="BH77" s="27" t="n"/>
      <c r="BI77" s="27" t="n"/>
      <c r="BJ77" s="27" t="n"/>
      <c r="BK77" s="27" t="n"/>
      <c r="BL77" s="27" t="n"/>
      <c r="BM77" s="27" t="n"/>
      <c r="BN77" s="27" t="n"/>
      <c r="BO77" s="27" t="n"/>
      <c r="BP77" s="27" t="n"/>
      <c r="BQ77" s="27" t="n"/>
      <c r="BR77" s="27" t="n"/>
      <c r="BS77" s="27" t="n"/>
      <c r="BT77" s="27" t="n"/>
      <c r="BU77" s="27" t="n"/>
      <c r="BV77" s="27" t="n"/>
      <c r="BW77" s="27" t="n"/>
      <c r="BX77" s="27" t="n"/>
      <c r="BY77" s="27" t="n"/>
      <c r="BZ77" s="27" t="n"/>
      <c r="CA77" s="27" t="n"/>
      <c r="CB77" s="28" t="n"/>
      <c r="CC77" s="27" t="n"/>
      <c r="CD77" s="27" t="n"/>
      <c r="CE77" s="28" t="n"/>
      <c r="CF77" s="28" t="n"/>
      <c r="CG77" s="27" t="n"/>
      <c r="CH77" s="27" t="n"/>
      <c r="CI77" s="27" t="n"/>
    </row>
    <row r="78" ht="15.75" customHeight="1">
      <c r="D78" s="1" t="n"/>
      <c r="E78" s="28" t="n"/>
      <c r="F78" s="28" t="n"/>
      <c r="G78" s="28" t="n"/>
      <c r="H78" s="28" t="n"/>
      <c r="I78" s="28" t="n"/>
      <c r="J78" s="28" t="n"/>
      <c r="K78" s="27" t="n"/>
      <c r="L78" s="27" t="n"/>
      <c r="M78" s="27" t="n"/>
      <c r="N78" s="28" t="n"/>
      <c r="O78" s="28" t="n"/>
      <c r="P78" s="28" t="n"/>
      <c r="Q78" s="28" t="n"/>
      <c r="R78" s="28" t="n"/>
      <c r="S78" s="27" t="n"/>
      <c r="T78" s="27" t="n"/>
      <c r="U78" s="27" t="n"/>
      <c r="V78" s="27" t="n"/>
      <c r="W78" s="27" t="n"/>
      <c r="X78" s="27" t="n"/>
      <c r="Y78" s="27" t="n"/>
      <c r="Z78" s="27" t="n"/>
      <c r="AA78" s="27" t="n"/>
      <c r="AB78" s="27" t="n"/>
      <c r="AC78" s="27" t="n"/>
      <c r="AD78" s="27" t="n"/>
      <c r="AE78" s="27" t="n"/>
      <c r="AF78" s="27" t="n"/>
      <c r="AG78" s="27" t="n"/>
      <c r="AH78" s="27" t="n"/>
      <c r="AI78" s="27" t="n"/>
      <c r="AJ78" s="27" t="n"/>
      <c r="AK78" s="27" t="n"/>
      <c r="AL78" s="27" t="n"/>
      <c r="AM78" s="21" t="n"/>
      <c r="AN78" s="27" t="n"/>
      <c r="AO78" s="27" t="n"/>
      <c r="AP78" s="27" t="n"/>
      <c r="AQ78" s="27" t="n"/>
      <c r="AR78" s="27" t="n"/>
      <c r="AS78" s="27" t="n"/>
      <c r="AT78" s="27" t="n"/>
      <c r="AU78" s="27" t="n"/>
      <c r="AV78" s="27" t="n"/>
      <c r="AW78" s="27" t="n"/>
      <c r="AX78" s="27" t="n"/>
      <c r="AY78" s="27" t="n"/>
      <c r="AZ78" s="27" t="n"/>
      <c r="BA78" s="27" t="n"/>
      <c r="BB78" s="27" t="n"/>
      <c r="BC78" s="27" t="n"/>
      <c r="BD78" s="27" t="n"/>
      <c r="BE78" s="27" t="n"/>
      <c r="BF78" s="27" t="n"/>
      <c r="BG78" s="27" t="n"/>
      <c r="BH78" s="27" t="n"/>
      <c r="BI78" s="27" t="n"/>
      <c r="BJ78" s="27" t="n"/>
      <c r="BK78" s="27" t="n"/>
      <c r="BL78" s="27" t="n"/>
      <c r="BM78" s="27" t="n"/>
      <c r="BN78" s="27" t="n"/>
      <c r="BO78" s="27" t="n"/>
      <c r="BP78" s="27" t="n"/>
      <c r="BQ78" s="27" t="n"/>
      <c r="BR78" s="27" t="n"/>
      <c r="BS78" s="27" t="n"/>
      <c r="BT78" s="27" t="n"/>
      <c r="BU78" s="27" t="n"/>
      <c r="BV78" s="27" t="n"/>
      <c r="BW78" s="27" t="n"/>
      <c r="BX78" s="27" t="n"/>
      <c r="BY78" s="27" t="n"/>
      <c r="BZ78" s="27" t="n"/>
      <c r="CA78" s="27" t="n"/>
      <c r="CB78" s="28" t="n"/>
      <c r="CC78" s="27" t="n"/>
      <c r="CD78" s="27" t="n"/>
      <c r="CE78" s="28" t="n"/>
      <c r="CF78" s="28" t="n"/>
      <c r="CG78" s="27" t="n"/>
      <c r="CH78" s="27" t="n"/>
      <c r="CI78" s="27" t="n"/>
    </row>
    <row r="79" ht="15.75" customHeight="1">
      <c r="D79" s="1" t="n"/>
      <c r="E79" s="28" t="n"/>
      <c r="F79" s="28" t="n"/>
      <c r="G79" s="28" t="n"/>
      <c r="H79" s="28" t="n"/>
      <c r="I79" s="28" t="n"/>
      <c r="J79" s="28" t="n"/>
      <c r="K79" s="27" t="n"/>
      <c r="L79" s="27" t="n"/>
      <c r="M79" s="27" t="n"/>
      <c r="N79" s="28" t="n"/>
      <c r="O79" s="28" t="n"/>
      <c r="P79" s="28" t="n"/>
      <c r="Q79" s="28" t="n"/>
      <c r="R79" s="28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7" t="n"/>
      <c r="AK79" s="27" t="n"/>
      <c r="AL79" s="27" t="n"/>
      <c r="AM79" s="21" t="n"/>
      <c r="AN79" s="27" t="n"/>
      <c r="AO79" s="27" t="n"/>
      <c r="AP79" s="27" t="n"/>
      <c r="AQ79" s="27" t="n"/>
      <c r="AR79" s="27" t="n"/>
      <c r="AS79" s="27" t="n"/>
      <c r="AT79" s="27" t="n"/>
      <c r="AU79" s="27" t="n"/>
      <c r="AV79" s="27" t="n"/>
      <c r="AW79" s="27" t="n"/>
      <c r="AX79" s="27" t="n"/>
      <c r="AY79" s="27" t="n"/>
      <c r="AZ79" s="27" t="n"/>
      <c r="BA79" s="27" t="n"/>
      <c r="BB79" s="27" t="n"/>
      <c r="BC79" s="27" t="n"/>
      <c r="BD79" s="27" t="n"/>
      <c r="BE79" s="27" t="n"/>
      <c r="BF79" s="27" t="n"/>
      <c r="BG79" s="27" t="n"/>
      <c r="BH79" s="27" t="n"/>
      <c r="BI79" s="27" t="n"/>
      <c r="BJ79" s="27" t="n"/>
      <c r="BK79" s="27" t="n"/>
      <c r="BL79" s="27" t="n"/>
      <c r="BM79" s="27" t="n"/>
      <c r="BN79" s="27" t="n"/>
      <c r="BO79" s="27" t="n"/>
      <c r="BP79" s="27" t="n"/>
      <c r="BQ79" s="27" t="n"/>
      <c r="BR79" s="27" t="n"/>
      <c r="BS79" s="27" t="n"/>
      <c r="BT79" s="27" t="n"/>
      <c r="BU79" s="27" t="n"/>
      <c r="BV79" s="27" t="n"/>
      <c r="BW79" s="27" t="n"/>
      <c r="BX79" s="27" t="n"/>
      <c r="BY79" s="27" t="n"/>
      <c r="BZ79" s="27" t="n"/>
      <c r="CA79" s="27" t="n"/>
      <c r="CB79" s="28" t="n"/>
      <c r="CC79" s="27" t="n"/>
      <c r="CD79" s="27" t="n"/>
      <c r="CE79" s="28" t="n"/>
      <c r="CF79" s="28" t="n"/>
      <c r="CG79" s="27" t="n"/>
      <c r="CH79" s="27" t="n"/>
      <c r="CI79" s="27" t="n"/>
    </row>
    <row r="80" ht="15.75" customHeight="1">
      <c r="D80" s="1" t="n"/>
      <c r="AM80" s="21" t="n"/>
    </row>
    <row r="81" ht="15.75" customHeight="1">
      <c r="D81" s="1" t="n"/>
      <c r="AM81" s="21" t="n"/>
    </row>
    <row r="82" ht="15.75" customHeight="1">
      <c r="D82" s="1" t="n"/>
      <c r="AM82" s="21" t="n"/>
    </row>
    <row r="83" ht="15.75" customHeight="1">
      <c r="D83" s="1" t="n"/>
      <c r="AM83" s="21" t="n"/>
    </row>
    <row r="84">
      <c r="D84" s="1" t="n"/>
    </row>
    <row r="85">
      <c r="D85" s="1" t="n"/>
      <c r="E85" s="1" t="n"/>
      <c r="F85" s="1" t="n"/>
      <c r="G85" s="1" t="n"/>
      <c r="H85" s="1" t="n"/>
      <c r="I85" s="1" t="n"/>
      <c r="J85" s="1" t="n"/>
      <c r="N85" s="1" t="n"/>
      <c r="O85" s="1" t="n"/>
      <c r="P85" s="1" t="n"/>
      <c r="Q85" s="1" t="n"/>
      <c r="R85" s="1" t="n"/>
    </row>
    <row r="86">
      <c r="D86" s="1" t="n"/>
      <c r="E86" s="1" t="n"/>
      <c r="F86" s="1" t="n"/>
      <c r="G86" s="1" t="n"/>
      <c r="H86" s="1" t="n"/>
      <c r="I86" s="1" t="n"/>
      <c r="J86" s="1" t="n"/>
      <c r="N86" s="1" t="n"/>
      <c r="O86" s="1" t="n"/>
      <c r="P86" s="1" t="n"/>
      <c r="Q86" s="1" t="n"/>
      <c r="R86" s="1" t="n"/>
    </row>
    <row r="87">
      <c r="D87" s="1" t="n"/>
      <c r="E87" s="1" t="n"/>
      <c r="F87" s="1" t="n"/>
      <c r="G87" s="1" t="n"/>
      <c r="H87" s="1" t="n"/>
      <c r="I87" s="1" t="n"/>
      <c r="J87" s="1" t="n"/>
      <c r="N87" s="1" t="n"/>
      <c r="O87" s="1" t="n"/>
      <c r="P87" s="1" t="n"/>
      <c r="Q87" s="1" t="n"/>
      <c r="R87" s="1" t="n"/>
    </row>
    <row r="88">
      <c r="D88" s="1" t="n"/>
      <c r="E88" s="1" t="n"/>
      <c r="F88" s="1" t="n"/>
      <c r="G88" s="1" t="n"/>
      <c r="H88" s="1" t="n"/>
      <c r="I88" s="1" t="n"/>
      <c r="J88" s="1" t="n"/>
      <c r="N88" s="1" t="n"/>
      <c r="O88" s="1" t="n"/>
      <c r="P88" s="1" t="n"/>
      <c r="Q88" s="1" t="n"/>
      <c r="R88" s="1" t="n"/>
    </row>
    <row r="89">
      <c r="D89" s="1" t="n"/>
      <c r="E89" s="1" t="n"/>
      <c r="F89" s="1" t="n"/>
      <c r="G89" s="1" t="n"/>
      <c r="H89" s="1" t="n"/>
      <c r="I89" s="1" t="n"/>
      <c r="J89" s="1" t="n"/>
      <c r="N89" s="1" t="n"/>
      <c r="O89" s="1" t="n"/>
      <c r="P89" s="1" t="n"/>
      <c r="Q89" s="1" t="n"/>
      <c r="R89" s="1" t="n"/>
    </row>
    <row r="90">
      <c r="D90" s="1" t="n"/>
      <c r="E90" s="1" t="n"/>
      <c r="F90" s="1" t="n"/>
      <c r="G90" s="1" t="n"/>
      <c r="H90" s="1" t="n"/>
      <c r="I90" s="1" t="n"/>
      <c r="J90" s="1" t="n"/>
      <c r="N90" s="1" t="n"/>
      <c r="O90" s="1" t="n"/>
      <c r="P90" s="1" t="n"/>
      <c r="Q90" s="1" t="n"/>
      <c r="R90" s="1" t="n"/>
      <c r="CB90" s="1" t="n"/>
      <c r="CE90" s="1" t="n"/>
      <c r="CF90" s="1" t="n"/>
    </row>
    <row r="91">
      <c r="D91" s="1" t="n"/>
      <c r="E91" s="1" t="n"/>
      <c r="F91" s="1" t="n"/>
      <c r="G91" s="1" t="n"/>
      <c r="H91" s="1" t="n"/>
      <c r="I91" s="1" t="n"/>
      <c r="J91" s="1" t="n"/>
      <c r="N91" s="1" t="n"/>
      <c r="O91" s="1" t="n"/>
      <c r="P91" s="1" t="n"/>
      <c r="Q91" s="1" t="n"/>
      <c r="R91" s="1" t="n"/>
      <c r="CB91" s="1" t="n"/>
      <c r="CE91" s="1" t="n"/>
      <c r="CF91" s="1" t="n"/>
    </row>
    <row r="92">
      <c r="D92" s="1" t="n"/>
      <c r="E92" s="1" t="n"/>
      <c r="F92" s="1" t="n"/>
      <c r="G92" s="1" t="n"/>
      <c r="H92" s="1" t="n"/>
      <c r="I92" s="1" t="n"/>
      <c r="J92" s="1" t="n"/>
      <c r="N92" s="1" t="n"/>
      <c r="O92" s="1" t="n"/>
      <c r="P92" s="1" t="n"/>
      <c r="Q92" s="1" t="n"/>
      <c r="R92" s="1" t="n"/>
      <c r="CB92" s="1" t="n"/>
      <c r="CE92" s="1" t="n"/>
      <c r="CF92" s="1" t="n"/>
    </row>
    <row r="93">
      <c r="D93" s="1" t="n"/>
      <c r="E93" s="1" t="n"/>
      <c r="F93" s="1" t="n"/>
      <c r="G93" s="1" t="n"/>
      <c r="H93" s="1" t="n"/>
      <c r="I93" s="1" t="n"/>
      <c r="J93" s="1" t="n"/>
      <c r="N93" s="1" t="n"/>
      <c r="O93" s="1" t="n"/>
      <c r="P93" s="1" t="n"/>
      <c r="Q93" s="1" t="n"/>
      <c r="R93" s="1" t="n"/>
      <c r="CB93" s="1" t="n"/>
      <c r="CE93" s="1" t="n"/>
      <c r="CF93" s="1" t="n"/>
    </row>
    <row r="94">
      <c r="D94" s="22" t="n"/>
      <c r="E94" s="1" t="n"/>
      <c r="F94" s="1" t="n"/>
      <c r="G94" s="1" t="n"/>
      <c r="H94" s="1" t="n"/>
      <c r="I94" s="1" t="n"/>
      <c r="J94" s="1" t="n"/>
      <c r="N94" s="1" t="n"/>
      <c r="O94" s="1" t="n"/>
      <c r="P94" s="1" t="n"/>
      <c r="Q94" s="1" t="n"/>
      <c r="R94" s="1" t="n"/>
      <c r="CB94" s="1" t="n"/>
      <c r="CE94" s="1" t="n"/>
      <c r="CF94" s="1" t="n"/>
    </row>
    <row r="95">
      <c r="E95" s="1" t="n"/>
      <c r="F95" s="1" t="n"/>
      <c r="G95" s="1" t="n"/>
      <c r="H95" s="1" t="n"/>
      <c r="I95" s="1" t="n"/>
      <c r="J95" s="1" t="n"/>
      <c r="N95" s="1" t="n"/>
      <c r="O95" s="1" t="n"/>
      <c r="P95" s="1" t="n"/>
      <c r="Q95" s="1" t="n"/>
      <c r="R95" s="1" t="n"/>
      <c r="CB95" s="1" t="n"/>
      <c r="CE95" s="1" t="n"/>
      <c r="CF95" s="1" t="n"/>
    </row>
    <row r="96">
      <c r="E96" s="1" t="n"/>
      <c r="F96" s="1" t="n"/>
      <c r="G96" s="1" t="n"/>
      <c r="H96" s="1" t="n"/>
      <c r="I96" s="1" t="n"/>
      <c r="J96" s="1" t="n"/>
      <c r="N96" s="1" t="n"/>
      <c r="O96" s="1" t="n"/>
      <c r="P96" s="1" t="n"/>
      <c r="Q96" s="1" t="n"/>
      <c r="R96" s="1" t="n"/>
      <c r="CB96" s="1" t="n"/>
      <c r="CE96" s="1" t="n"/>
      <c r="CF96" s="1" t="n"/>
    </row>
    <row r="97">
      <c r="E97" s="1" t="n"/>
      <c r="F97" s="1" t="n"/>
      <c r="G97" s="1" t="n"/>
      <c r="H97" s="1" t="n"/>
      <c r="I97" s="1" t="n"/>
      <c r="J97" s="1" t="n"/>
      <c r="N97" s="1" t="n"/>
      <c r="O97" s="1" t="n"/>
      <c r="P97" s="1" t="n"/>
      <c r="Q97" s="1" t="n"/>
      <c r="R97" s="1" t="n"/>
      <c r="CB97" s="1" t="n"/>
      <c r="CE97" s="1" t="n"/>
      <c r="CF97" s="1" t="n"/>
    </row>
    <row r="98">
      <c r="E98" s="1" t="n"/>
      <c r="F98" s="1" t="n"/>
      <c r="G98" s="1" t="n"/>
      <c r="H98" s="1" t="n"/>
      <c r="I98" s="1" t="n"/>
      <c r="J98" s="1" t="n"/>
      <c r="N98" s="1" t="n"/>
      <c r="O98" s="1" t="n"/>
      <c r="P98" s="1" t="n"/>
      <c r="Q98" s="1" t="n"/>
      <c r="R98" s="1" t="n"/>
      <c r="CB98" s="1" t="n"/>
      <c r="CE98" s="1" t="n"/>
      <c r="CF98" s="1" t="n"/>
    </row>
    <row r="99">
      <c r="E99" s="1" t="n"/>
      <c r="F99" s="1" t="n"/>
      <c r="G99" s="1" t="n"/>
      <c r="H99" s="1" t="n"/>
      <c r="I99" s="1" t="n"/>
      <c r="J99" s="1" t="n"/>
      <c r="N99" s="1" t="n"/>
      <c r="O99" s="1" t="n"/>
      <c r="P99" s="1" t="n"/>
      <c r="Q99" s="1" t="n"/>
      <c r="R99" s="1" t="n"/>
      <c r="CB99" s="1" t="n"/>
      <c r="CE99" s="1" t="n"/>
      <c r="CF99" s="1" t="n"/>
    </row>
    <row r="100">
      <c r="E100" s="1" t="n"/>
      <c r="F100" s="1" t="n"/>
      <c r="G100" s="1" t="n"/>
      <c r="H100" s="1" t="n"/>
      <c r="I100" s="1" t="n"/>
      <c r="J100" s="1" t="n"/>
      <c r="N100" s="1" t="n"/>
      <c r="O100" s="1" t="n"/>
      <c r="P100" s="1" t="n"/>
      <c r="Q100" s="1" t="n"/>
      <c r="R100" s="1" t="n"/>
      <c r="CB100" s="1" t="n"/>
      <c r="CE100" s="1" t="n"/>
      <c r="CF100" s="1" t="n"/>
    </row>
    <row r="101">
      <c r="D101" s="1" t="n"/>
      <c r="E101" s="1" t="n"/>
      <c r="F101" s="1" t="n"/>
      <c r="G101" s="1" t="n"/>
      <c r="H101" s="1" t="n"/>
      <c r="I101" s="1" t="n"/>
      <c r="J101" s="1" t="n"/>
      <c r="N101" s="1" t="n"/>
      <c r="O101" s="1" t="n"/>
      <c r="P101" s="1" t="n"/>
      <c r="Q101" s="1" t="n"/>
      <c r="R101" s="1" t="n"/>
      <c r="CB101" s="1" t="n"/>
      <c r="CE101" s="1" t="n"/>
      <c r="CF101" s="1" t="n"/>
    </row>
    <row r="102">
      <c r="D102" s="1" t="n"/>
      <c r="E102" s="1" t="n"/>
      <c r="F102" s="1" t="n"/>
      <c r="G102" s="1" t="n"/>
      <c r="H102" s="1" t="n"/>
      <c r="I102" s="1" t="n"/>
      <c r="J102" s="1" t="n"/>
      <c r="N102" s="1" t="n"/>
      <c r="O102" s="1" t="n"/>
      <c r="P102" s="1" t="n"/>
      <c r="Q102" s="1" t="n"/>
      <c r="R102" s="1" t="n"/>
      <c r="CB102" s="1" t="n"/>
      <c r="CE102" s="1" t="n"/>
      <c r="CF102" s="1" t="n"/>
    </row>
    <row r="103">
      <c r="D103" s="1" t="n"/>
      <c r="E103" s="1" t="n"/>
      <c r="F103" s="1" t="n"/>
      <c r="G103" s="1" t="n"/>
      <c r="H103" s="1" t="n"/>
      <c r="I103" s="1" t="n"/>
      <c r="J103" s="1" t="n"/>
      <c r="N103" s="1" t="n"/>
      <c r="O103" s="1" t="n"/>
      <c r="P103" s="1" t="n"/>
      <c r="Q103" s="1" t="n"/>
      <c r="R103" s="1" t="n"/>
      <c r="CB103" s="1" t="n"/>
      <c r="CE103" s="1" t="n"/>
      <c r="CF103" s="1" t="n"/>
    </row>
    <row r="104">
      <c r="D104" s="1" t="n"/>
      <c r="E104" s="1" t="n"/>
      <c r="F104" s="1" t="n"/>
      <c r="G104" s="1" t="n"/>
      <c r="H104" s="1" t="n"/>
      <c r="I104" s="1" t="n"/>
      <c r="J104" s="1" t="n"/>
      <c r="N104" s="1" t="n"/>
      <c r="O104" s="1" t="n"/>
      <c r="P104" s="1" t="n"/>
      <c r="Q104" s="1" t="n"/>
      <c r="R104" s="1" t="n"/>
      <c r="CB104" s="1" t="n"/>
      <c r="CE104" s="1" t="n"/>
      <c r="CF104" s="1" t="n"/>
    </row>
    <row r="105">
      <c r="D105" s="1" t="n"/>
      <c r="E105" s="1" t="n"/>
      <c r="F105" s="1" t="n"/>
      <c r="G105" s="1" t="n"/>
      <c r="H105" s="1" t="n"/>
      <c r="I105" s="1" t="n"/>
      <c r="J105" s="1" t="n"/>
      <c r="N105" s="1" t="n"/>
      <c r="O105" s="1" t="n"/>
      <c r="P105" s="1" t="n"/>
      <c r="Q105" s="1" t="n"/>
      <c r="R105" s="1" t="n"/>
      <c r="CB105" s="1" t="n"/>
      <c r="CE105" s="1" t="n"/>
      <c r="CF105" s="1" t="n"/>
    </row>
    <row r="106">
      <c r="D106" s="1" t="n"/>
      <c r="E106" s="1" t="n"/>
      <c r="F106" s="1" t="n"/>
      <c r="G106" s="1" t="n"/>
      <c r="H106" s="1" t="n"/>
      <c r="I106" s="1" t="n"/>
      <c r="J106" s="1" t="n"/>
      <c r="N106" s="1" t="n"/>
      <c r="O106" s="1" t="n"/>
      <c r="P106" s="1" t="n"/>
      <c r="Q106" s="1" t="n"/>
      <c r="R106" s="1" t="n"/>
      <c r="CB106" s="1" t="n"/>
      <c r="CE106" s="1" t="n"/>
      <c r="CF106" s="1" t="n"/>
    </row>
    <row r="107">
      <c r="D107" s="1" t="n"/>
      <c r="E107" s="1" t="n"/>
      <c r="F107" s="1" t="n"/>
      <c r="G107" s="1" t="n"/>
      <c r="H107" s="1" t="n"/>
      <c r="I107" s="1" t="n"/>
      <c r="J107" s="1" t="n"/>
      <c r="N107" s="1" t="n"/>
      <c r="O107" s="1" t="n"/>
      <c r="P107" s="1" t="n"/>
      <c r="Q107" s="1" t="n"/>
      <c r="R107" s="1" t="n"/>
      <c r="CB107" s="1" t="n"/>
      <c r="CE107" s="1" t="n"/>
      <c r="CF107" s="1" t="n"/>
    </row>
    <row r="108">
      <c r="D108" s="1" t="n"/>
      <c r="E108" s="1" t="n"/>
      <c r="F108" s="1" t="n"/>
      <c r="G108" s="1" t="n"/>
      <c r="H108" s="1" t="n"/>
      <c r="I108" s="1" t="n"/>
      <c r="J108" s="1" t="n"/>
      <c r="N108" s="1" t="n"/>
      <c r="O108" s="1" t="n"/>
      <c r="P108" s="1" t="n"/>
      <c r="Q108" s="1" t="n"/>
      <c r="R108" s="1" t="n"/>
      <c r="CB108" s="1" t="n"/>
      <c r="CE108" s="1" t="n"/>
      <c r="CF108" s="1" t="n"/>
    </row>
    <row r="109">
      <c r="D109" s="1" t="n"/>
      <c r="E109" s="1" t="n"/>
      <c r="F109" s="1" t="n"/>
      <c r="G109" s="1" t="n"/>
      <c r="H109" s="1" t="n"/>
      <c r="I109" s="1" t="n"/>
      <c r="J109" s="1" t="n"/>
      <c r="N109" s="1" t="n"/>
      <c r="O109" s="1" t="n"/>
      <c r="P109" s="1" t="n"/>
      <c r="Q109" s="1" t="n"/>
      <c r="R109" s="1" t="n"/>
      <c r="CB109" s="1" t="n"/>
      <c r="CE109" s="1" t="n"/>
      <c r="CF109" s="1" t="n"/>
    </row>
    <row r="110">
      <c r="D110" s="1" t="n"/>
      <c r="E110" s="1" t="n"/>
      <c r="F110" s="1" t="n"/>
      <c r="G110" s="1" t="n"/>
      <c r="H110" s="1" t="n"/>
      <c r="I110" s="1" t="n"/>
      <c r="J110" s="1" t="n"/>
      <c r="N110" s="1" t="n"/>
      <c r="O110" s="1" t="n"/>
      <c r="P110" s="1" t="n"/>
      <c r="Q110" s="1" t="n"/>
      <c r="R110" s="1" t="n"/>
      <c r="CB110" s="1" t="n"/>
      <c r="CE110" s="1" t="n"/>
      <c r="CF110" s="1" t="n"/>
    </row>
    <row r="111">
      <c r="D111" s="1" t="n"/>
      <c r="E111" s="1" t="n"/>
      <c r="F111" s="1" t="n"/>
      <c r="G111" s="1" t="n"/>
      <c r="H111" s="1" t="n"/>
      <c r="I111" s="1" t="n"/>
      <c r="J111" s="1" t="n"/>
      <c r="N111" s="1" t="n"/>
      <c r="O111" s="1" t="n"/>
      <c r="P111" s="1" t="n"/>
      <c r="Q111" s="1" t="n"/>
      <c r="R111" s="1" t="n"/>
      <c r="CB111" s="1" t="n"/>
      <c r="CE111" s="1" t="n"/>
      <c r="CF111" s="1" t="n"/>
    </row>
    <row r="112">
      <c r="D112" s="1" t="n"/>
      <c r="E112" s="1" t="n"/>
      <c r="F112" s="1" t="n"/>
      <c r="G112" s="1" t="n"/>
      <c r="H112" s="1" t="n"/>
      <c r="I112" s="1" t="n"/>
      <c r="J112" s="1" t="n"/>
      <c r="N112" s="1" t="n"/>
      <c r="O112" s="1" t="n"/>
      <c r="P112" s="1" t="n"/>
      <c r="Q112" s="1" t="n"/>
      <c r="R112" s="1" t="n"/>
      <c r="CB112" s="1" t="n"/>
      <c r="CE112" s="1" t="n"/>
      <c r="CF112" s="1" t="n"/>
    </row>
    <row r="113" customFormat="1" s="1"/>
    <row r="114" customFormat="1" s="1"/>
    <row r="115" customFormat="1" s="1"/>
    <row r="116" customFormat="1" s="1"/>
    <row r="117" customFormat="1" s="1"/>
    <row r="118" customFormat="1" s="1"/>
    <row r="119" customFormat="1" s="1"/>
    <row r="120" customFormat="1" s="1"/>
    <row r="121" customFormat="1" s="1"/>
    <row r="122" customFormat="1" s="1"/>
    <row r="123" customFormat="1" s="1"/>
    <row r="124" customFormat="1" s="1"/>
    <row r="125" customFormat="1" s="1"/>
    <row r="126" customFormat="1" s="1"/>
    <row r="127" customFormat="1" s="1"/>
    <row r="128" customFormat="1" s="1"/>
    <row r="129" customFormat="1" s="1"/>
    <row r="130" customFormat="1" s="1"/>
    <row r="131" customFormat="1" s="1"/>
    <row r="132" customFormat="1" s="1"/>
    <row r="133" customFormat="1" s="1"/>
    <row r="134" customFormat="1" s="1"/>
    <row r="135" customFormat="1" s="1"/>
    <row r="136" customFormat="1" s="1"/>
    <row r="137" customFormat="1" s="1"/>
    <row r="138" customFormat="1" s="1"/>
    <row r="139" customFormat="1" s="1"/>
    <row r="140" customFormat="1" s="1"/>
    <row r="141" customFormat="1" s="1"/>
    <row r="142" customFormat="1" s="1"/>
    <row r="143" customFormat="1" s="1"/>
    <row r="144" customFormat="1" s="1"/>
    <row r="145" customFormat="1" s="1"/>
    <row r="146" customFormat="1" s="1"/>
    <row r="147" customFormat="1" s="1"/>
    <row r="148" customFormat="1" s="1"/>
    <row r="149" customFormat="1" s="1"/>
    <row r="150" customFormat="1" s="1"/>
    <row r="151" customFormat="1" s="1"/>
    <row r="152" customFormat="1" s="1"/>
    <row r="153" customFormat="1" s="1"/>
    <row r="154" customFormat="1" s="1"/>
    <row r="155" customFormat="1" s="1"/>
    <row r="156" customFormat="1" s="1"/>
    <row r="157" customFormat="1" s="1"/>
    <row r="158" customFormat="1" s="1"/>
    <row r="159" customFormat="1" s="1"/>
    <row r="160" customFormat="1" s="1"/>
    <row r="161" customFormat="1" s="1"/>
    <row r="162" customFormat="1" s="1"/>
    <row r="163" customFormat="1" s="1"/>
    <row r="164" customFormat="1" s="1"/>
    <row r="165" customFormat="1" s="1"/>
    <row r="166" customFormat="1" s="1"/>
    <row r="167" customFormat="1" s="1"/>
    <row r="168" customFormat="1" s="1"/>
    <row r="169" customFormat="1" s="1"/>
    <row r="170" customFormat="1" s="1"/>
    <row r="171" customFormat="1" s="1"/>
    <row r="172" customFormat="1" s="1"/>
    <row r="173" customFormat="1" s="1"/>
    <row r="174" customFormat="1" s="1"/>
    <row r="175" customFormat="1" s="1"/>
    <row r="176" customFormat="1" s="1"/>
    <row r="177" customFormat="1" s="1"/>
    <row r="178" customFormat="1" s="1"/>
    <row r="179" customFormat="1" s="1"/>
    <row r="180" customFormat="1" s="1"/>
    <row r="181" customFormat="1" s="1"/>
    <row r="182" customFormat="1" s="1"/>
    <row r="183" customFormat="1" s="1"/>
    <row r="184" customFormat="1" s="1"/>
    <row r="185" customFormat="1" s="1"/>
    <row r="186" customFormat="1" s="1"/>
    <row r="187" customFormat="1" s="1"/>
    <row r="188" customFormat="1" s="1"/>
    <row r="189" customFormat="1" s="1"/>
    <row r="190" customFormat="1" s="1"/>
    <row r="191" customFormat="1" s="1"/>
    <row r="192" customFormat="1" s="1"/>
    <row r="193" customFormat="1" s="1"/>
    <row r="194" customFormat="1" s="1"/>
    <row r="195" customFormat="1" s="1"/>
    <row r="196" customFormat="1" s="1"/>
    <row r="197" customFormat="1" s="1"/>
    <row r="198" customFormat="1" s="1"/>
    <row r="199" customFormat="1" s="1"/>
    <row r="200" customFormat="1" s="1"/>
    <row r="201" customFormat="1" s="1"/>
    <row r="202" customFormat="1" s="1"/>
    <row r="203" customFormat="1" s="1"/>
    <row r="204" customFormat="1" s="1"/>
    <row r="205" customFormat="1" s="1"/>
    <row r="206" customFormat="1" s="1"/>
    <row r="207" customFormat="1" s="1"/>
    <row r="208" customFormat="1" s="1"/>
    <row r="209" customFormat="1" s="1"/>
    <row r="210" customFormat="1" s="1"/>
    <row r="211" customFormat="1" s="1"/>
    <row r="212" customFormat="1" s="1"/>
    <row r="213" customFormat="1" s="1"/>
    <row r="214" customFormat="1" s="1"/>
    <row r="215" customFormat="1" s="1"/>
    <row r="216" customFormat="1" s="1"/>
    <row r="217" customFormat="1" s="1"/>
    <row r="218" customFormat="1" s="1"/>
    <row r="219" customFormat="1" s="1"/>
    <row r="220" customFormat="1" s="1"/>
    <row r="221" customFormat="1" s="1"/>
    <row r="222" customFormat="1" s="1"/>
    <row r="223" customFormat="1" s="1"/>
    <row r="224" customFormat="1" s="1"/>
    <row r="225" customFormat="1" s="1"/>
    <row r="226" customFormat="1" s="1"/>
    <row r="227" customFormat="1" s="1"/>
    <row r="228" customFormat="1" s="1"/>
    <row r="229" customFormat="1" s="1"/>
    <row r="230" customFormat="1" s="1"/>
    <row r="231" customFormat="1" s="1"/>
    <row r="232" customFormat="1" s="1"/>
    <row r="233" customFormat="1" s="1"/>
    <row r="234" customFormat="1" s="1"/>
    <row r="235" customFormat="1" s="1"/>
    <row r="236" customFormat="1" s="1"/>
    <row r="237" customFormat="1" s="1"/>
    <row r="238" customFormat="1" s="1"/>
    <row r="239" customFormat="1" s="1"/>
    <row r="240" customFormat="1" s="1"/>
    <row r="241" customFormat="1" s="1"/>
    <row r="242" customFormat="1" s="1"/>
    <row r="243" customFormat="1" s="1"/>
    <row r="244" customFormat="1" s="1"/>
    <row r="245" customFormat="1" s="1"/>
    <row r="246" customFormat="1" s="1"/>
    <row r="247" customFormat="1" s="1"/>
    <row r="248" customFormat="1" s="1"/>
    <row r="249" customFormat="1" s="1"/>
    <row r="250" customFormat="1" s="1"/>
    <row r="251" customFormat="1" s="1"/>
    <row r="252" customFormat="1" s="1"/>
    <row r="253" customFormat="1" s="1"/>
    <row r="254" customFormat="1" s="1"/>
    <row r="255" customFormat="1" s="1"/>
    <row r="256" customFormat="1" s="1"/>
    <row r="257" customFormat="1" s="1"/>
    <row r="258" customFormat="1" s="1"/>
    <row r="259" customFormat="1" s="1"/>
    <row r="260" customFormat="1" s="1"/>
    <row r="261" customFormat="1" s="1"/>
    <row r="262" customFormat="1" s="1"/>
    <row r="263" customFormat="1" s="1"/>
    <row r="264" customFormat="1" s="1"/>
    <row r="265" customFormat="1" s="1"/>
    <row r="266" customFormat="1" s="1"/>
    <row r="267" customFormat="1" s="1"/>
    <row r="268" customFormat="1" s="1"/>
    <row r="269" customFormat="1" s="1"/>
    <row r="270" customFormat="1" s="1"/>
    <row r="271" customFormat="1" s="1"/>
    <row r="272" customFormat="1" s="1"/>
    <row r="273" customFormat="1" s="1"/>
    <row r="274" customFormat="1" s="1"/>
    <row r="275" customFormat="1" s="1"/>
    <row r="276" customFormat="1" s="1"/>
    <row r="277" customFormat="1" s="1"/>
    <row r="278" customFormat="1" s="1"/>
    <row r="279" customFormat="1" s="1"/>
    <row r="280" customFormat="1" s="1"/>
    <row r="281" customFormat="1" s="1"/>
    <row r="282" customFormat="1" s="1"/>
    <row r="283" customFormat="1" s="1"/>
    <row r="284" customFormat="1" s="1"/>
    <row r="285" customFormat="1" s="1"/>
    <row r="286" customFormat="1" s="1"/>
    <row r="287" customFormat="1" s="1"/>
    <row r="288" customFormat="1" s="1"/>
    <row r="289" customFormat="1" s="1"/>
    <row r="290" customFormat="1" s="1"/>
    <row r="291" customFormat="1" s="1"/>
    <row r="292" customFormat="1" s="1"/>
    <row r="293" customFormat="1" s="1"/>
    <row r="294" customFormat="1" s="1"/>
    <row r="295" customFormat="1" s="1"/>
    <row r="296" customFormat="1" s="1"/>
    <row r="297" customFormat="1" s="1"/>
    <row r="298" customFormat="1" s="1"/>
    <row r="299" customFormat="1" s="1"/>
    <row r="300" customFormat="1" s="1"/>
    <row r="301" customFormat="1" s="1"/>
    <row r="302" customFormat="1" s="1"/>
    <row r="303" customFormat="1" s="1"/>
    <row r="304" customFormat="1" s="1"/>
    <row r="305" customFormat="1" s="1"/>
    <row r="306" customFormat="1" s="1"/>
    <row r="307" customFormat="1" s="1"/>
    <row r="308" customFormat="1" s="1"/>
    <row r="309" customFormat="1" s="1"/>
    <row r="310" customFormat="1" s="1"/>
    <row r="311" customFormat="1" s="1"/>
    <row r="312" customFormat="1" s="1"/>
    <row r="313" customFormat="1" s="1"/>
    <row r="314" customFormat="1" s="1"/>
    <row r="315" customFormat="1" s="1"/>
    <row r="316" customFormat="1" s="1"/>
    <row r="317" customFormat="1" s="1"/>
    <row r="318" customFormat="1" s="1"/>
    <row r="319" customFormat="1" s="1"/>
    <row r="320" customFormat="1" s="1"/>
    <row r="321" customFormat="1" s="1"/>
    <row r="322" customFormat="1" s="1"/>
    <row r="323" customFormat="1" s="1"/>
    <row r="324" customFormat="1" s="1"/>
    <row r="325" customFormat="1" s="1"/>
    <row r="326" customFormat="1" s="1"/>
    <row r="327" customFormat="1" s="1"/>
    <row r="328" customFormat="1" s="1"/>
    <row r="329" customFormat="1" s="1"/>
    <row r="330" customFormat="1" s="1"/>
    <row r="331" customFormat="1" s="1"/>
    <row r="332" customFormat="1" s="1"/>
    <row r="333" customFormat="1" s="1"/>
    <row r="334" customFormat="1" s="1"/>
    <row r="335" customFormat="1" s="1"/>
    <row r="336" customFormat="1" s="1"/>
    <row r="337" customFormat="1" s="1"/>
    <row r="338" customFormat="1" s="1"/>
    <row r="339" customFormat="1" s="1"/>
    <row r="340" customFormat="1" s="1"/>
    <row r="341" customFormat="1" s="1"/>
    <row r="342" customFormat="1" s="1"/>
    <row r="343" customFormat="1" s="1"/>
    <row r="344" customFormat="1" s="1"/>
    <row r="345" customFormat="1" s="1"/>
    <row r="346" customFormat="1" s="1"/>
    <row r="347" customFormat="1" s="1"/>
    <row r="348" customFormat="1" s="1"/>
    <row r="349" customFormat="1" s="1"/>
    <row r="350" customFormat="1" s="1"/>
    <row r="351" customFormat="1" s="1"/>
    <row r="352" customFormat="1" s="1"/>
    <row r="353" customFormat="1" s="1"/>
    <row r="354" customFormat="1" s="1"/>
    <row r="355" customFormat="1" s="1"/>
    <row r="356" customFormat="1" s="1"/>
    <row r="357" customFormat="1" s="1"/>
    <row r="358" customFormat="1" s="1"/>
    <row r="359" customFormat="1" s="1"/>
    <row r="360" customFormat="1" s="1"/>
    <row r="361" customFormat="1" s="1"/>
    <row r="362" customFormat="1" s="1"/>
    <row r="363" customFormat="1" s="1"/>
    <row r="364" customFormat="1" s="1"/>
    <row r="365" customFormat="1" s="1"/>
    <row r="366" customFormat="1" s="1"/>
    <row r="367" customFormat="1" s="1"/>
    <row r="368" customFormat="1" s="1"/>
    <row r="369" customFormat="1" s="1"/>
    <row r="370" customFormat="1" s="1"/>
    <row r="371" customFormat="1" s="1"/>
    <row r="372" customFormat="1" s="1"/>
    <row r="373" customFormat="1" s="1"/>
    <row r="374" customFormat="1" s="1"/>
    <row r="375" customFormat="1" s="1"/>
    <row r="376" customFormat="1" s="1"/>
    <row r="377" customFormat="1" s="1"/>
    <row r="378" customFormat="1" s="1"/>
    <row r="379" customFormat="1" s="1"/>
    <row r="380" customFormat="1" s="1"/>
    <row r="381" customFormat="1" s="1"/>
    <row r="382" customFormat="1" s="1"/>
    <row r="383" customFormat="1" s="1"/>
    <row r="384" customFormat="1" s="1"/>
    <row r="385" customFormat="1" s="1"/>
    <row r="386" customFormat="1" s="1"/>
    <row r="387" customFormat="1" s="1"/>
    <row r="388" customFormat="1" s="1"/>
    <row r="389" customFormat="1" s="1"/>
    <row r="390" customFormat="1" s="1"/>
    <row r="391" customFormat="1" s="1"/>
    <row r="392" customFormat="1" s="1"/>
    <row r="393" customFormat="1" s="1"/>
    <row r="394" customFormat="1" s="1"/>
    <row r="395" customFormat="1" s="1"/>
    <row r="396" customFormat="1" s="1"/>
    <row r="397" customFormat="1" s="1"/>
    <row r="398" customFormat="1" s="1"/>
    <row r="399" customFormat="1" s="1"/>
    <row r="400" customFormat="1" s="1"/>
    <row r="401" customFormat="1" s="1"/>
    <row r="402" customFormat="1" s="1"/>
    <row r="403" customFormat="1" s="1"/>
    <row r="404" customFormat="1" s="1"/>
    <row r="405" customFormat="1" s="1"/>
    <row r="406" customFormat="1" s="1"/>
    <row r="407" customFormat="1" s="1"/>
    <row r="408" customFormat="1" s="1"/>
    <row r="409" customFormat="1" s="1"/>
    <row r="410" customFormat="1" s="1"/>
    <row r="411" customFormat="1" s="1"/>
    <row r="412" customFormat="1" s="1"/>
    <row r="413" customFormat="1" s="1"/>
    <row r="414" customFormat="1" s="1"/>
    <row r="415" customFormat="1" s="1"/>
    <row r="416" customFormat="1" s="1"/>
    <row r="417" customFormat="1" s="1"/>
    <row r="418" customFormat="1" s="1"/>
    <row r="419" customFormat="1" s="1"/>
    <row r="420" customFormat="1" s="1"/>
    <row r="421" customFormat="1" s="1"/>
    <row r="422" customFormat="1" s="1"/>
    <row r="423" customFormat="1" s="1"/>
    <row r="424" customFormat="1" s="1"/>
    <row r="425" customFormat="1" s="1"/>
    <row r="426" customFormat="1" s="1"/>
    <row r="427" customFormat="1" s="1"/>
    <row r="428" customFormat="1" s="1"/>
    <row r="429" customFormat="1" s="1"/>
    <row r="430" customFormat="1" s="1"/>
    <row r="431" customFormat="1" s="1"/>
    <row r="432" customFormat="1" s="1"/>
    <row r="433" customFormat="1" s="1"/>
    <row r="434" customFormat="1" s="1"/>
    <row r="435" customFormat="1" s="1"/>
    <row r="436" customFormat="1" s="1"/>
    <row r="437" customFormat="1" s="1"/>
    <row r="438" customFormat="1" s="1"/>
    <row r="439" customFormat="1" s="1"/>
    <row r="440" customFormat="1" s="1"/>
    <row r="441" customFormat="1" s="1"/>
    <row r="442" customFormat="1" s="1"/>
    <row r="443" customFormat="1" s="1"/>
    <row r="444" customFormat="1" s="1"/>
    <row r="445" customFormat="1" s="1"/>
    <row r="446" customFormat="1" s="1"/>
    <row r="447" customFormat="1" s="1"/>
    <row r="448" customFormat="1" s="1"/>
    <row r="449" customFormat="1" s="1"/>
    <row r="450" customFormat="1" s="1"/>
    <row r="451" customFormat="1" s="1"/>
    <row r="452" customFormat="1" s="1"/>
    <row r="453" customFormat="1" s="1"/>
    <row r="454" customFormat="1" s="1"/>
    <row r="455" customFormat="1" s="1"/>
    <row r="456" customFormat="1" s="1"/>
    <row r="457" customFormat="1" s="1"/>
    <row r="458" customFormat="1" s="1"/>
    <row r="459" customFormat="1" s="1"/>
    <row r="460" customFormat="1" s="1"/>
    <row r="461" customFormat="1" s="1"/>
    <row r="462" customFormat="1" s="1"/>
    <row r="463" customFormat="1" s="1"/>
    <row r="464" customFormat="1" s="1"/>
    <row r="465" customFormat="1" s="1"/>
    <row r="466" customFormat="1" s="1"/>
    <row r="467" customFormat="1" s="1"/>
    <row r="468" customFormat="1" s="1"/>
    <row r="469" customFormat="1" s="1"/>
    <row r="470" customFormat="1" s="1"/>
    <row r="471" customFormat="1" s="1"/>
    <row r="472" customFormat="1" s="1"/>
    <row r="473" customFormat="1" s="1"/>
    <row r="474" customFormat="1" s="1"/>
    <row r="475" customFormat="1" s="1"/>
    <row r="476" customFormat="1" s="1"/>
    <row r="477" customFormat="1" s="1"/>
    <row r="478" customFormat="1" s="1"/>
    <row r="479" customFormat="1" s="1"/>
    <row r="480" customFormat="1" s="1"/>
    <row r="481" customFormat="1" s="1"/>
    <row r="482" customFormat="1" s="1"/>
    <row r="483" customFormat="1" s="1"/>
    <row r="484" customFormat="1" s="1"/>
    <row r="485" customFormat="1" s="1"/>
    <row r="486" customFormat="1" s="1"/>
    <row r="487" customFormat="1" s="1"/>
    <row r="488" customFormat="1" s="1"/>
    <row r="489" customFormat="1" s="1"/>
    <row r="490" customFormat="1" s="1"/>
    <row r="491" customFormat="1" s="1"/>
    <row r="492" customFormat="1" s="1"/>
    <row r="493" customFormat="1" s="1"/>
    <row r="494" customFormat="1" s="1"/>
    <row r="495" customFormat="1" s="1"/>
    <row r="496" customFormat="1" s="1"/>
    <row r="497" customFormat="1" s="1"/>
    <row r="498" customFormat="1" s="1"/>
    <row r="499" customFormat="1" s="1"/>
    <row r="500" customFormat="1" s="1"/>
    <row r="501" customFormat="1" s="1"/>
    <row r="502" customFormat="1" s="1"/>
    <row r="503" customFormat="1" s="1"/>
    <row r="504" customFormat="1" s="1"/>
    <row r="505" customFormat="1" s="1"/>
    <row r="506" customFormat="1" s="1"/>
    <row r="507" customFormat="1" s="1"/>
    <row r="508" customFormat="1" s="1"/>
    <row r="509" customFormat="1" s="1"/>
    <row r="510" customFormat="1" s="1"/>
    <row r="511" customFormat="1" s="1"/>
    <row r="512" customFormat="1" s="1"/>
    <row r="513" customFormat="1" s="1"/>
    <row r="514" customFormat="1" s="1"/>
    <row r="515" customFormat="1" s="1"/>
    <row r="516" customFormat="1" s="1"/>
    <row r="517" customFormat="1" s="1"/>
    <row r="518" customFormat="1" s="1"/>
    <row r="519" customFormat="1" s="1"/>
    <row r="520" customFormat="1" s="1"/>
    <row r="521" customFormat="1" s="1"/>
    <row r="522" customFormat="1" s="1"/>
    <row r="523" customFormat="1" s="1"/>
    <row r="524" customFormat="1" s="1"/>
    <row r="525" customFormat="1" s="1"/>
    <row r="526" customFormat="1" s="1"/>
    <row r="527" customFormat="1" s="1"/>
    <row r="528" customFormat="1" s="1"/>
    <row r="529" customFormat="1" s="1"/>
    <row r="530" customFormat="1" s="1"/>
    <row r="531" customFormat="1" s="1"/>
    <row r="532" customFormat="1" s="1"/>
    <row r="533" customFormat="1" s="1"/>
    <row r="534" customFormat="1" s="1"/>
    <row r="535" customFormat="1" s="1"/>
    <row r="536" customFormat="1" s="1"/>
    <row r="537" customFormat="1" s="1"/>
    <row r="538" customFormat="1" s="1"/>
    <row r="539" customFormat="1" s="1"/>
    <row r="540" customFormat="1" s="1"/>
    <row r="541" customFormat="1" s="1"/>
    <row r="542" customFormat="1" s="1"/>
    <row r="543" customFormat="1" s="1"/>
    <row r="544" customFormat="1" s="1"/>
    <row r="545" customFormat="1" s="1"/>
    <row r="546" customFormat="1" s="1"/>
    <row r="547" customFormat="1" s="1"/>
    <row r="548" customFormat="1" s="1"/>
    <row r="549" customFormat="1" s="1"/>
    <row r="550" customFormat="1" s="1"/>
    <row r="551" customFormat="1" s="1"/>
    <row r="552" customFormat="1" s="1"/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  <row r="566" customFormat="1" s="1"/>
    <row r="567" customFormat="1" s="1"/>
    <row r="568" customFormat="1" s="1"/>
    <row r="569" customFormat="1" s="1"/>
    <row r="570" customFormat="1" s="1"/>
    <row r="571" customFormat="1" s="1"/>
    <row r="572" customFormat="1" s="1"/>
    <row r="573" customFormat="1" s="1"/>
    <row r="574" customFormat="1" s="1"/>
    <row r="575" customFormat="1" s="1"/>
    <row r="576" customFormat="1" s="1"/>
    <row r="577" customFormat="1" s="1"/>
    <row r="578" customFormat="1" s="1"/>
    <row r="579" customFormat="1" s="1"/>
    <row r="580" customFormat="1" s="1"/>
    <row r="581" customFormat="1" s="1"/>
    <row r="582" customFormat="1" s="1"/>
    <row r="583" customFormat="1" s="1"/>
    <row r="584" customFormat="1" s="1"/>
    <row r="585" customFormat="1" s="1"/>
    <row r="586" customFormat="1" s="1"/>
    <row r="587" customFormat="1" s="1"/>
    <row r="588" customFormat="1" s="1"/>
    <row r="589" customFormat="1" s="1"/>
    <row r="590" customFormat="1" s="1"/>
    <row r="591" customFormat="1" s="1"/>
    <row r="592" customFormat="1" s="1"/>
    <row r="593" customFormat="1" s="1"/>
    <row r="594" customFormat="1" s="1"/>
    <row r="595" customFormat="1" s="1"/>
    <row r="596" customFormat="1" s="1"/>
    <row r="597" customFormat="1" s="1"/>
    <row r="598" customFormat="1" s="1"/>
    <row r="599" customFormat="1" s="1"/>
    <row r="600" customFormat="1" s="1"/>
    <row r="601" customFormat="1" s="1"/>
    <row r="602" customFormat="1" s="1"/>
    <row r="603" customFormat="1" s="1"/>
    <row r="604" customFormat="1" s="1"/>
    <row r="605" customFormat="1" s="1"/>
    <row r="606" customFormat="1" s="1"/>
    <row r="607" customFormat="1" s="1"/>
    <row r="608" customFormat="1" s="1"/>
    <row r="609" customFormat="1" s="1"/>
    <row r="610" customFormat="1" s="1"/>
    <row r="611" customFormat="1" s="1"/>
    <row r="612" customFormat="1" s="1"/>
    <row r="613" customFormat="1" s="1"/>
    <row r="614" customFormat="1" s="1"/>
    <row r="615" customFormat="1" s="1"/>
    <row r="616" customFormat="1" s="1"/>
    <row r="617" customFormat="1" s="1"/>
    <row r="618" customFormat="1" s="1"/>
    <row r="619" customFormat="1" s="1"/>
    <row r="620" customFormat="1" s="1"/>
    <row r="621" customFormat="1" s="1"/>
    <row r="622" customFormat="1" s="1"/>
    <row r="623" customFormat="1" s="1"/>
    <row r="624" customFormat="1" s="1"/>
    <row r="625" customFormat="1" s="1"/>
    <row r="626" customFormat="1" s="1"/>
    <row r="627" customFormat="1" s="1"/>
    <row r="628" customFormat="1" s="1"/>
    <row r="629" customFormat="1" s="1"/>
    <row r="630" customFormat="1" s="1"/>
    <row r="631" customFormat="1" s="1"/>
    <row r="632" customFormat="1" s="1"/>
    <row r="633" customFormat="1" s="1"/>
    <row r="634" customFormat="1" s="1"/>
    <row r="635" customFormat="1" s="1"/>
    <row r="636" customFormat="1" s="1"/>
    <row r="637" customFormat="1" s="1"/>
    <row r="638" customFormat="1" s="1"/>
    <row r="639" customFormat="1" s="1"/>
    <row r="640" customFormat="1" s="1"/>
    <row r="641" customFormat="1" s="1"/>
    <row r="642" customFormat="1" s="1"/>
    <row r="643" customFormat="1" s="1"/>
    <row r="644" customFormat="1" s="1"/>
    <row r="645" customFormat="1" s="1"/>
    <row r="646" customFormat="1" s="1"/>
    <row r="647" customFormat="1" s="1"/>
    <row r="648" customFormat="1" s="1"/>
    <row r="649" customFormat="1" s="1"/>
    <row r="650" customFormat="1" s="1"/>
    <row r="651" customFormat="1" s="1"/>
    <row r="652" customFormat="1" s="1"/>
    <row r="653" customFormat="1" s="1"/>
    <row r="654" customFormat="1" s="1"/>
    <row r="655" customFormat="1" s="1"/>
    <row r="656" customFormat="1" s="1"/>
    <row r="657" customFormat="1" s="1"/>
    <row r="658" customFormat="1" s="1"/>
    <row r="659" customFormat="1" s="1"/>
    <row r="660" customFormat="1" s="1"/>
    <row r="661" customFormat="1" s="1"/>
    <row r="662" customFormat="1" s="1"/>
    <row r="663" customFormat="1" s="1"/>
    <row r="664" customFormat="1" s="1"/>
    <row r="665" customFormat="1" s="1"/>
    <row r="666" customFormat="1" s="1"/>
    <row r="667" customFormat="1" s="1"/>
    <row r="668" customFormat="1" s="1"/>
    <row r="669" customFormat="1" s="1"/>
    <row r="670" customFormat="1" s="1"/>
    <row r="671" customFormat="1" s="1"/>
    <row r="672" customFormat="1" s="1"/>
    <row r="673" customFormat="1" s="1"/>
    <row r="674" customFormat="1" s="1"/>
    <row r="675" customFormat="1" s="1"/>
    <row r="676" customFormat="1" s="1"/>
    <row r="677" customFormat="1" s="1"/>
    <row r="678" customFormat="1" s="1"/>
    <row r="679" customFormat="1" s="1"/>
    <row r="680" customFormat="1" s="1"/>
    <row r="681" customFormat="1" s="1"/>
    <row r="682" customFormat="1" s="1"/>
    <row r="683" customFormat="1" s="1"/>
    <row r="684" customFormat="1" s="1"/>
    <row r="685" customFormat="1" s="1"/>
    <row r="686" customFormat="1" s="1"/>
    <row r="687" customFormat="1" s="1"/>
    <row r="688" customFormat="1" s="1"/>
    <row r="689" customFormat="1" s="1"/>
    <row r="690" customFormat="1" s="1"/>
    <row r="691" customFormat="1" s="1"/>
    <row r="692" customFormat="1" s="1"/>
    <row r="693" customFormat="1" s="1"/>
    <row r="694" customFormat="1" s="1"/>
    <row r="695" customFormat="1" s="1"/>
    <row r="696" customFormat="1" s="1"/>
    <row r="697" customFormat="1" s="1"/>
    <row r="698" customFormat="1" s="1"/>
    <row r="699" customFormat="1" s="1"/>
    <row r="700" customFormat="1" s="1"/>
    <row r="701" customFormat="1" s="1"/>
    <row r="702" customFormat="1" s="1"/>
    <row r="703" customFormat="1" s="1"/>
    <row r="704" customFormat="1" s="1"/>
    <row r="705" customFormat="1" s="1"/>
    <row r="706" customFormat="1" s="1"/>
    <row r="707" customFormat="1" s="1"/>
    <row r="708" customFormat="1" s="1"/>
    <row r="709" customFormat="1" s="1"/>
    <row r="710" customFormat="1" s="1"/>
    <row r="711" customFormat="1" s="1"/>
    <row r="712" customFormat="1" s="1"/>
    <row r="713" customFormat="1" s="1"/>
    <row r="714" customFormat="1" s="1"/>
    <row r="715" customFormat="1" s="1"/>
    <row r="716" customFormat="1" s="1"/>
    <row r="717" customFormat="1" s="1"/>
    <row r="718" customFormat="1" s="1"/>
    <row r="719" customFormat="1" s="1"/>
    <row r="720" customFormat="1" s="1"/>
    <row r="721" customFormat="1" s="1"/>
    <row r="722" customFormat="1" s="1"/>
    <row r="723" customFormat="1" s="1"/>
    <row r="724" customFormat="1" s="1"/>
    <row r="725" customFormat="1" s="1"/>
    <row r="726" customFormat="1" s="1"/>
    <row r="727" customFormat="1" s="1"/>
    <row r="728" customFormat="1" s="1"/>
    <row r="729" customFormat="1" s="1"/>
    <row r="730" customFormat="1" s="1"/>
    <row r="731" customFormat="1" s="1"/>
    <row r="732" customFormat="1" s="1"/>
    <row r="733" customFormat="1" s="1"/>
    <row r="734" customFormat="1" s="1"/>
    <row r="735" customFormat="1" s="1"/>
    <row r="736" customFormat="1" s="1"/>
    <row r="737" customFormat="1" s="1"/>
    <row r="738" customFormat="1" s="1"/>
    <row r="739" customFormat="1" s="1"/>
    <row r="740" customFormat="1" s="1"/>
    <row r="741" customFormat="1" s="1"/>
    <row r="742" customFormat="1" s="1"/>
    <row r="743" customFormat="1" s="1"/>
    <row r="744" customFormat="1" s="1"/>
    <row r="745" customFormat="1" s="1"/>
    <row r="746" customFormat="1" s="1"/>
    <row r="747" customFormat="1" s="1"/>
    <row r="748" customFormat="1" s="1"/>
    <row r="749" customFormat="1" s="1"/>
    <row r="750" customFormat="1" s="1"/>
    <row r="751" customFormat="1" s="1"/>
    <row r="752" customFormat="1" s="1"/>
    <row r="753" customFormat="1" s="1"/>
    <row r="754" customFormat="1" s="1"/>
    <row r="755" customFormat="1" s="1"/>
    <row r="756" customFormat="1" s="1"/>
    <row r="757" customFormat="1" s="1"/>
    <row r="758" customFormat="1" s="1"/>
    <row r="759" customFormat="1" s="1"/>
    <row r="760" customFormat="1" s="1"/>
    <row r="761" customFormat="1" s="1"/>
    <row r="762" customFormat="1" s="1"/>
    <row r="763" customFormat="1" s="1"/>
    <row r="764" customFormat="1" s="1"/>
    <row r="765" customFormat="1" s="1"/>
    <row r="766" customFormat="1" s="1"/>
    <row r="767" customFormat="1" s="1"/>
    <row r="768" customFormat="1" s="1"/>
    <row r="769" customFormat="1" s="1"/>
    <row r="770" customFormat="1" s="1"/>
    <row r="771" customFormat="1" s="1"/>
    <row r="772" customFormat="1" s="1"/>
    <row r="773" customFormat="1" s="1"/>
    <row r="774" customFormat="1" s="1"/>
    <row r="775" customFormat="1" s="1"/>
    <row r="776" customFormat="1" s="1"/>
    <row r="777" customFormat="1" s="1"/>
    <row r="778" customFormat="1" s="1"/>
    <row r="779" customFormat="1" s="1"/>
    <row r="780" customFormat="1" s="1"/>
    <row r="781" customFormat="1" s="1"/>
    <row r="782" customFormat="1" s="1"/>
    <row r="783" customFormat="1" s="1"/>
    <row r="784" customFormat="1" s="1"/>
    <row r="785" customFormat="1" s="1"/>
    <row r="786" customFormat="1" s="1"/>
    <row r="787" customFormat="1" s="1"/>
    <row r="788" customFormat="1" s="1"/>
    <row r="789" customFormat="1" s="1"/>
    <row r="790" customFormat="1" s="1"/>
    <row r="791" customFormat="1" s="1"/>
    <row r="792" customFormat="1" s="1"/>
    <row r="793" customFormat="1" s="1"/>
    <row r="794" customFormat="1" s="1"/>
    <row r="795" customFormat="1" s="1"/>
    <row r="796" customFormat="1" s="1"/>
    <row r="797" customFormat="1" s="1"/>
    <row r="798" customFormat="1" s="1"/>
    <row r="799" customFormat="1" s="1"/>
    <row r="800" customFormat="1" s="1"/>
    <row r="801" customFormat="1" s="1"/>
    <row r="802" customFormat="1" s="1"/>
    <row r="803" customFormat="1" s="1"/>
    <row r="804" customFormat="1" s="1"/>
    <row r="805" customFormat="1" s="1"/>
    <row r="806" customFormat="1" s="1"/>
    <row r="807" customFormat="1" s="1"/>
    <row r="808" customFormat="1" s="1"/>
    <row r="809" customFormat="1" s="1"/>
    <row r="810" customFormat="1" s="1"/>
    <row r="811" customFormat="1" s="1"/>
    <row r="812" customFormat="1" s="1"/>
    <row r="813" customFormat="1" s="1"/>
    <row r="814" customFormat="1" s="1"/>
    <row r="815" customFormat="1" s="1"/>
    <row r="816" customFormat="1" s="1"/>
    <row r="817" customFormat="1" s="1"/>
    <row r="818" customFormat="1" s="1"/>
    <row r="819" customFormat="1" s="1"/>
    <row r="820" customFormat="1" s="1"/>
    <row r="821" customFormat="1" s="1"/>
    <row r="822" customFormat="1" s="1"/>
    <row r="823" customFormat="1" s="1"/>
    <row r="824" customFormat="1" s="1"/>
    <row r="825" customFormat="1" s="1"/>
    <row r="826" customFormat="1" s="1"/>
    <row r="827" customFormat="1" s="1"/>
    <row r="828" customFormat="1" s="1"/>
    <row r="829" customFormat="1" s="1"/>
    <row r="830" customFormat="1" s="1"/>
    <row r="831" customFormat="1" s="1"/>
    <row r="832" customFormat="1" s="1"/>
    <row r="833" customFormat="1" s="1"/>
    <row r="834" customFormat="1" s="1"/>
    <row r="835" customFormat="1" s="1"/>
    <row r="836" customFormat="1" s="1"/>
    <row r="837" customFormat="1" s="1"/>
    <row r="838" customFormat="1" s="1"/>
    <row r="839" customFormat="1" s="1"/>
    <row r="840" customFormat="1" s="1"/>
    <row r="841" customFormat="1" s="1"/>
    <row r="842" customFormat="1" s="1"/>
    <row r="843" customFormat="1" s="1"/>
    <row r="844" customFormat="1" s="1"/>
    <row r="845" customFormat="1" s="1"/>
    <row r="846" customFormat="1" s="1"/>
    <row r="847" customFormat="1" s="1"/>
    <row r="848" customFormat="1" s="1"/>
    <row r="849" customFormat="1" s="1"/>
    <row r="850" customFormat="1" s="1"/>
    <row r="851" customFormat="1" s="1"/>
    <row r="852" customFormat="1" s="1"/>
    <row r="853" customFormat="1" s="1"/>
    <row r="854" customFormat="1" s="1"/>
    <row r="855" customFormat="1" s="1"/>
    <row r="856" customFormat="1" s="1"/>
    <row r="857" customFormat="1" s="1"/>
    <row r="858" customFormat="1" s="1"/>
    <row r="859" customFormat="1" s="1"/>
    <row r="860" customFormat="1" s="1"/>
    <row r="861" customFormat="1" s="1"/>
    <row r="862" customFormat="1" s="1"/>
    <row r="863" customFormat="1" s="1"/>
    <row r="864" customFormat="1" s="1"/>
    <row r="865" customFormat="1" s="1"/>
    <row r="866" customFormat="1" s="1"/>
    <row r="867" customFormat="1" s="1"/>
    <row r="868" customFormat="1" s="1"/>
    <row r="869" customFormat="1" s="1"/>
    <row r="870" customFormat="1" s="1"/>
    <row r="871" customFormat="1" s="1"/>
    <row r="872" customFormat="1" s="1"/>
    <row r="873" customFormat="1" s="1"/>
    <row r="874" customFormat="1" s="1"/>
    <row r="875" customFormat="1" s="1"/>
    <row r="876" customFormat="1" s="1"/>
    <row r="877" customFormat="1" s="1"/>
    <row r="878" customFormat="1" s="1"/>
    <row r="879" customFormat="1" s="1"/>
    <row r="880" customFormat="1" s="1"/>
    <row r="881" customFormat="1" s="1"/>
    <row r="882" customFormat="1" s="1"/>
    <row r="883" customFormat="1" s="1"/>
    <row r="884" customFormat="1" s="1"/>
    <row r="885" customFormat="1" s="1"/>
    <row r="886" customFormat="1" s="1"/>
    <row r="887" customFormat="1" s="1"/>
    <row r="888" customFormat="1" s="1"/>
    <row r="889" customFormat="1" s="1"/>
    <row r="890" customFormat="1" s="1"/>
    <row r="891" customFormat="1" s="1"/>
    <row r="892" customFormat="1" s="1"/>
    <row r="893" customFormat="1" s="1"/>
    <row r="894" customFormat="1" s="1"/>
    <row r="895" customFormat="1" s="1"/>
    <row r="896" customFormat="1" s="1"/>
    <row r="897" customFormat="1" s="1"/>
    <row r="898" customFormat="1" s="1"/>
    <row r="899" customFormat="1" s="1"/>
    <row r="900" customFormat="1" s="1"/>
    <row r="901" customFormat="1" s="1"/>
    <row r="902" customFormat="1" s="1"/>
    <row r="903" customFormat="1" s="1"/>
    <row r="904" customFormat="1" s="1"/>
    <row r="905" customFormat="1" s="1"/>
    <row r="906" customFormat="1" s="1"/>
    <row r="907" customFormat="1" s="1"/>
  </sheetData>
  <mergeCells count="20">
    <mergeCell ref="W6:AD6"/>
    <mergeCell ref="AX6:BE6"/>
    <mergeCell ref="A3:CA3"/>
    <mergeCell ref="E64:L64"/>
    <mergeCell ref="W64:AD64"/>
    <mergeCell ref="A2:CA2"/>
    <mergeCell ref="BG64:BN64"/>
    <mergeCell ref="AF6:AM6"/>
    <mergeCell ref="A4:CA4"/>
    <mergeCell ref="N64:U64"/>
    <mergeCell ref="AF64:AM64"/>
    <mergeCell ref="BP64:BW64"/>
    <mergeCell ref="BG6:BN6"/>
    <mergeCell ref="N6:U6"/>
    <mergeCell ref="BP6:BW6"/>
    <mergeCell ref="AO6:AV6"/>
    <mergeCell ref="A1:CA1"/>
    <mergeCell ref="AX64:BE64"/>
    <mergeCell ref="AO64:AV64"/>
    <mergeCell ref="D6:L6"/>
  </mergeCells>
  <conditionalFormatting sqref="E8:F63">
    <cfRule type="cellIs" priority="1" operator="equal" dxfId="0">
      <formula>"AB"</formula>
    </cfRule>
    <cfRule type="cellIs" priority="2" operator="equal" dxfId="1">
      <formula>95</formula>
    </cfRule>
    <cfRule type="cellIs" priority="3" operator="equal" dxfId="0">
      <formula>"f"</formula>
    </cfRule>
  </conditionalFormatting>
  <conditionalFormatting sqref="G8:BX8 G9:AM9 G10:BX63 J9:K10 AO9:BX9">
    <cfRule type="cellIs" priority="28" operator="equal" dxfId="0">
      <formula>"AB"</formula>
    </cfRule>
  </conditionalFormatting>
  <conditionalFormatting sqref="G8:BX8 G9:AM9 G10:BJ29 G30:BI31 G32:BJ63 I9:K63 R9:T63 AB9:AC63 AK9:AL63 AO9:BJ9 AT9:AU63 BB9:BD63 BK9:BM63 BL9:BT34 BL35:BP44 BL45:BT63 BR35:BT44 BT9:BX63 BY8:CB63">
    <cfRule type="cellIs" priority="30" operator="equal" dxfId="0">
      <formula>"f"</formula>
    </cfRule>
    <cfRule type="cellIs" priority="29" operator="equal" dxfId="1">
      <formula>95</formula>
    </cfRule>
  </conditionalFormatting>
  <conditionalFormatting sqref="AF9">
    <cfRule type="expression" priority="35" dxfId="7">
      <formula>NOT(ISERROR(SEARCH("A",BF64)))</formula>
    </cfRule>
  </conditionalFormatting>
  <conditionalFormatting sqref="AF10:AF13">
    <cfRule type="expression" priority="37" dxfId="7">
      <formula>NOT(ISERROR(SEARCH("A",#REF!)))</formula>
    </cfRule>
  </conditionalFormatting>
  <conditionalFormatting sqref="AF14:AF17">
    <cfRule type="expression" priority="117" dxfId="7">
      <formula>NOT(ISERROR(SEARCH("A",BF74)))</formula>
    </cfRule>
  </conditionalFormatting>
  <conditionalFormatting sqref="AF18:AF21">
    <cfRule type="expression" priority="43" dxfId="7">
      <formula>NOT(ISERROR(SEARCH("A",#REF!)))</formula>
    </cfRule>
  </conditionalFormatting>
  <conditionalFormatting sqref="AF22:AF29 AF57">
    <cfRule type="expression" priority="108" dxfId="7">
      <formula>NOT(ISERROR(SEARCH("A",BF78)))</formula>
    </cfRule>
  </conditionalFormatting>
  <conditionalFormatting sqref="AF30:AF56">
    <cfRule type="expression" priority="113" dxfId="7">
      <formula>NOT(ISERROR(SEARCH("A",BF87)))</formula>
    </cfRule>
  </conditionalFormatting>
  <conditionalFormatting sqref="AF58">
    <cfRule type="expression" priority="103" dxfId="7">
      <formula>NOT(ISERROR(SEARCH("A",BF113)))</formula>
    </cfRule>
  </conditionalFormatting>
  <conditionalFormatting sqref="AF59">
    <cfRule type="expression" priority="97" dxfId="7">
      <formula>NOT(ISERROR(SEARCH("A",BF113)))</formula>
    </cfRule>
  </conditionalFormatting>
  <conditionalFormatting sqref="AF60:AF62">
    <cfRule type="expression" priority="135" dxfId="7">
      <formula>NOT(ISERROR(SEARCH("A",BF112)))</formula>
    </cfRule>
  </conditionalFormatting>
  <conditionalFormatting sqref="AF63">
    <cfRule type="expression" priority="130" dxfId="7">
      <formula>NOT(ISERROR(SEARCH("A",BF114)))</formula>
    </cfRule>
  </conditionalFormatting>
  <conditionalFormatting sqref="H8:M63 Q8:V63 Y8:AE63 AI8:AN8 AI9:AM9 AI10:AN63 AO9 AR8:AW63 BA8:BF63 BJ8:BO8 BJ9:BJ29 BJ32:BJ63 BK9:BO63 BS8:BX63">
    <cfRule type="containsText" priority="38" operator="containsText" dxfId="9" text="N">
      <formula>NOT(ISERROR(SEARCH("N",H8)))</formula>
    </cfRule>
    <cfRule type="containsText" priority="39" operator="containsText" dxfId="12" text="F">
      <formula>NOT(ISERROR(SEARCH("F",H8)))</formula>
    </cfRule>
    <cfRule type="containsText" priority="40" operator="containsText" dxfId="13" text="N">
      <formula>NOT(ISERROR(SEARCH("N",H8)))</formula>
    </cfRule>
  </conditionalFormatting>
  <conditionalFormatting sqref="AO10:AO13">
    <cfRule type="expression" priority="34" dxfId="7">
      <formula>NOT(ISERROR(SEARCH("A",#REF!)))</formula>
    </cfRule>
  </conditionalFormatting>
  <conditionalFormatting sqref="AO14:AO17">
    <cfRule type="expression" priority="119" dxfId="7">
      <formula>NOT(ISERROR(SEARCH("A",BP74)))</formula>
    </cfRule>
  </conditionalFormatting>
  <conditionalFormatting sqref="AO18:AO21">
    <cfRule type="expression" priority="46" dxfId="7">
      <formula>NOT(ISERROR(SEARCH("A",#REF!)))</formula>
    </cfRule>
  </conditionalFormatting>
  <conditionalFormatting sqref="AO22:AO29 AO57">
    <cfRule type="expression" priority="110" dxfId="7">
      <formula>NOT(ISERROR(SEARCH("A",BP78)))</formula>
    </cfRule>
  </conditionalFormatting>
  <conditionalFormatting sqref="AO30:AO56">
    <cfRule type="expression" priority="115" dxfId="7">
      <formula>NOT(ISERROR(SEARCH("A",BP87)))</formula>
    </cfRule>
  </conditionalFormatting>
  <conditionalFormatting sqref="AO58">
    <cfRule type="expression" priority="105" dxfId="7">
      <formula>NOT(ISERROR(SEARCH("A",BP113)))</formula>
    </cfRule>
  </conditionalFormatting>
  <conditionalFormatting sqref="AO59">
    <cfRule type="expression" priority="99" dxfId="7">
      <formula>NOT(ISERROR(SEARCH("A",BP113)))</formula>
    </cfRule>
  </conditionalFormatting>
  <conditionalFormatting sqref="AO60:AO62">
    <cfRule type="expression" priority="137" dxfId="7">
      <formula>NOT(ISERROR(SEARCH("A",BP112)))</formula>
    </cfRule>
  </conditionalFormatting>
  <conditionalFormatting sqref="AO63">
    <cfRule type="expression" priority="132" dxfId="7">
      <formula>NOT(ISERROR(SEARCH("A",BP114)))</formula>
    </cfRule>
  </conditionalFormatting>
  <conditionalFormatting sqref="BQ9:BR34 BQ45:BR63 BR35:BR44">
    <cfRule type="cellIs" priority="31" operator="lessThan" dxfId="7">
      <formula>20</formula>
    </cfRule>
  </conditionalFormatting>
  <conditionalFormatting sqref="CA8:CA63">
    <cfRule type="cellIs" priority="27" operator="greaterThan" dxfId="2">
      <formula>9.5</formula>
    </cfRule>
    <cfRule type="cellIs" priority="26" operator="greaterThan" dxfId="2">
      <formula>9</formula>
    </cfRule>
  </conditionalFormatting>
  <pageMargins left="0.25" right="0.25" top="0.75" bottom="0.75" header="0.3" footer="0.3"/>
  <pageSetup orientation="landscape" fitToWidth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B41"/>
  <sheetViews>
    <sheetView topLeftCell="C7" zoomScaleNormal="100" workbookViewId="0">
      <selection activeCell="L9" sqref="L9"/>
    </sheetView>
  </sheetViews>
  <sheetFormatPr baseColWidth="8" defaultRowHeight="14.25"/>
  <cols>
    <col width="5.5" customWidth="1" min="1" max="1"/>
    <col width="12" customWidth="1" min="2" max="2"/>
    <col width="36.25" customWidth="1" min="3" max="3"/>
    <col width="12" customWidth="1" min="16" max="16"/>
  </cols>
  <sheetData>
    <row r="1" ht="19.5" customHeight="1">
      <c r="A1" s="105" t="inlineStr">
        <is>
          <t>BANGALORE INSTITUTE OF TECHNOLOGY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</row>
    <row r="2" ht="26.25" customHeight="1">
      <c r="A2" s="106" t="inlineStr">
        <is>
          <t xml:space="preserve">(Affiliated to Visvesvaraya Technological University, Belagavi, Recognised by AICTE, New Delhi)
K.R. Road, V.V. Pura, Bengaluru – 560 004. Phone: 26613237/26615865   Fax: 22426796
</t>
        </is>
      </c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</row>
    <row r="3" ht="18" customHeight="1">
      <c r="A3" s="107" t="inlineStr">
        <is>
          <t>Department of CSE-Data Science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</row>
    <row r="4" ht="15.75" customHeight="1"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</row>
    <row r="5" ht="15.75" customHeight="1">
      <c r="A5" s="101" t="inlineStr">
        <is>
          <t xml:space="preserve"> Subject Wise Result Analysis of Second Semester 2022 Batch Examination for the Academic year 2022-23 (Sep/Oct 2023)</t>
        </is>
      </c>
      <c r="P5" s="3" t="n"/>
      <c r="Q5" s="3" t="n"/>
    </row>
    <row r="7" ht="31.5" customHeight="1">
      <c r="A7" s="31" t="inlineStr">
        <is>
          <t>Sl. No.</t>
        </is>
      </c>
      <c r="B7" s="31" t="inlineStr">
        <is>
          <t>Course Code</t>
        </is>
      </c>
      <c r="C7" s="10" t="inlineStr">
        <is>
          <t>Course Name</t>
        </is>
      </c>
      <c r="D7" s="7" t="inlineStr">
        <is>
          <t>TOTAL</t>
        </is>
      </c>
      <c r="E7" s="8" t="inlineStr">
        <is>
          <t>APP</t>
        </is>
      </c>
      <c r="F7" s="8" t="inlineStr">
        <is>
          <t>O%</t>
        </is>
      </c>
      <c r="G7" s="8" t="inlineStr">
        <is>
          <t>A+%</t>
        </is>
      </c>
      <c r="H7" s="8" t="inlineStr">
        <is>
          <t>A%</t>
        </is>
      </c>
      <c r="I7" s="8" t="inlineStr">
        <is>
          <t>B+%</t>
        </is>
      </c>
      <c r="J7" s="8" t="inlineStr">
        <is>
          <t>B%</t>
        </is>
      </c>
      <c r="K7" s="8" t="inlineStr">
        <is>
          <t>C%</t>
        </is>
      </c>
      <c r="L7" s="8" t="inlineStr">
        <is>
          <t>P%</t>
        </is>
      </c>
      <c r="M7" s="8" t="inlineStr">
        <is>
          <t>F%</t>
        </is>
      </c>
      <c r="N7" s="8" t="inlineStr">
        <is>
          <t>Absent</t>
        </is>
      </c>
      <c r="O7" s="8" t="inlineStr">
        <is>
          <t>TOTAL PASS</t>
        </is>
      </c>
      <c r="P7" s="38" t="inlineStr">
        <is>
          <t>TOTAL PERCENTAGE</t>
        </is>
      </c>
    </row>
    <row r="8" ht="15.75" customHeight="1">
      <c r="A8" s="26" t="n">
        <v>1</v>
      </c>
      <c r="B8" s="40" t="inlineStr">
        <is>
          <t>BMATS201</t>
        </is>
      </c>
      <c r="C8" s="29" t="inlineStr">
        <is>
          <t>Mathematics for CSE Stream-II</t>
        </is>
      </c>
      <c r="D8" s="26" t="n">
        <v>63</v>
      </c>
      <c r="E8" s="26" t="n">
        <v>63</v>
      </c>
      <c r="F8" s="26">
        <f>OverallResult!K65</f>
        <v/>
      </c>
      <c r="G8" s="26">
        <f>OverallResult!K66</f>
        <v/>
      </c>
      <c r="H8" s="26">
        <f>OverallResult!K67</f>
        <v/>
      </c>
      <c r="I8" s="26">
        <f>OverallResult!K68</f>
        <v/>
      </c>
      <c r="J8" s="26">
        <f>OverallResult!K69</f>
        <v/>
      </c>
      <c r="K8" s="26">
        <f>OverallResult!K70</f>
        <v/>
      </c>
      <c r="L8" s="26">
        <f>OverallResult!K71</f>
        <v/>
      </c>
      <c r="M8" s="26">
        <f>OverallResult!K72</f>
        <v/>
      </c>
      <c r="N8" s="26">
        <f>OverallResult!K73</f>
        <v/>
      </c>
      <c r="O8" s="26">
        <f>OverallResult!K76</f>
        <v/>
      </c>
      <c r="P8" s="39">
        <f>(O8/63)*100</f>
        <v/>
      </c>
    </row>
    <row r="9" ht="15.75" customHeight="1">
      <c r="A9" s="26" t="n">
        <v>2</v>
      </c>
      <c r="B9" s="40" t="inlineStr">
        <is>
          <t>BCHES202</t>
        </is>
      </c>
      <c r="C9" s="30" t="inlineStr">
        <is>
          <t>Chemistry for CSE Stream</t>
        </is>
      </c>
      <c r="D9" s="26" t="n">
        <v>63</v>
      </c>
      <c r="E9" s="26" t="n">
        <v>63</v>
      </c>
      <c r="F9" s="26">
        <f>OverallResult!T65</f>
        <v/>
      </c>
      <c r="G9" s="26">
        <f>OverallResult!T66</f>
        <v/>
      </c>
      <c r="H9" s="26">
        <f>OverallResult!T67</f>
        <v/>
      </c>
      <c r="I9" s="26">
        <f>OverallResult!T68</f>
        <v/>
      </c>
      <c r="J9" s="26">
        <f>OverallResult!T69</f>
        <v/>
      </c>
      <c r="K9" s="26">
        <f>OverallResult!T70</f>
        <v/>
      </c>
      <c r="L9" s="26">
        <f>OverallResult!T71</f>
        <v/>
      </c>
      <c r="M9" s="26">
        <f>OverallResult!T72</f>
        <v/>
      </c>
      <c r="N9" s="26">
        <f>OverallResult!T73</f>
        <v/>
      </c>
      <c r="O9" s="26">
        <f>OverallResult!T76</f>
        <v/>
      </c>
      <c r="P9" s="39">
        <f>(O9/63)*100</f>
        <v/>
      </c>
    </row>
    <row r="10" ht="15.75" customHeight="1">
      <c r="A10" s="26" t="n">
        <v>3</v>
      </c>
      <c r="B10" s="40" t="inlineStr">
        <is>
          <t>BCEDK203</t>
        </is>
      </c>
      <c r="C10" s="42" t="inlineStr">
        <is>
          <t xml:space="preserve">Computer-Aided Engineering Drawing </t>
        </is>
      </c>
      <c r="D10" s="26" t="n">
        <v>63</v>
      </c>
      <c r="E10" s="26" t="n">
        <v>63</v>
      </c>
      <c r="F10" s="26">
        <f>OverallResult!AC65</f>
        <v/>
      </c>
      <c r="G10" s="26">
        <f>OverallResult!AC66</f>
        <v/>
      </c>
      <c r="H10" s="26">
        <f>OverallResult!AC67</f>
        <v/>
      </c>
      <c r="I10" s="26">
        <f>OverallResult!AC68</f>
        <v/>
      </c>
      <c r="J10" s="26">
        <f>OverallResult!AC69</f>
        <v/>
      </c>
      <c r="K10" s="26">
        <f>OverallResult!AC70</f>
        <v/>
      </c>
      <c r="L10" s="26">
        <f>OverallResult!AC71</f>
        <v/>
      </c>
      <c r="M10" s="26">
        <f>OverallResult!AC72</f>
        <v/>
      </c>
      <c r="N10" s="26">
        <f>OverallResult!AC73</f>
        <v/>
      </c>
      <c r="O10" s="26">
        <f>OverallResult!AC76</f>
        <v/>
      </c>
      <c r="P10" s="39">
        <f>(O10/63)*100</f>
        <v/>
      </c>
    </row>
    <row r="11" ht="15.75" customHeight="1">
      <c r="A11" s="26" t="n">
        <v>4</v>
      </c>
      <c r="B11" s="40" t="inlineStr">
        <is>
          <t>BESCK204C</t>
        </is>
      </c>
      <c r="C11" s="42" t="inlineStr">
        <is>
          <t xml:space="preserve">Introduction to Electronics Engineering </t>
        </is>
      </c>
      <c r="D11" s="26" t="n">
        <v>63</v>
      </c>
      <c r="E11" s="26" t="n">
        <v>63</v>
      </c>
      <c r="F11" s="26">
        <f>OverallResult!AL65</f>
        <v/>
      </c>
      <c r="G11" s="26">
        <f>OverallResult!AL66</f>
        <v/>
      </c>
      <c r="H11" s="26">
        <f>OverallResult!AL67</f>
        <v/>
      </c>
      <c r="I11" s="26">
        <f>OverallResult!AL68</f>
        <v/>
      </c>
      <c r="J11" s="26">
        <f>OverallResult!AL69</f>
        <v/>
      </c>
      <c r="K11" s="26">
        <f>OverallResult!AL70</f>
        <v/>
      </c>
      <c r="L11" s="26">
        <f>OverallResult!AL71</f>
        <v/>
      </c>
      <c r="M11" s="26">
        <f>OverallResult!AL72</f>
        <v/>
      </c>
      <c r="N11" s="26">
        <f>OverallResult!AL73</f>
        <v/>
      </c>
      <c r="O11" s="26">
        <f>OverallResult!AL76</f>
        <v/>
      </c>
      <c r="P11" s="39">
        <f>(O11/63)*100</f>
        <v/>
      </c>
    </row>
    <row r="12" ht="15.75" customHeight="1">
      <c r="A12" s="26" t="n">
        <v>5</v>
      </c>
      <c r="B12" s="40" t="inlineStr">
        <is>
          <t>BPLCK205B</t>
        </is>
      </c>
      <c r="C12" s="42" t="inlineStr">
        <is>
          <t>Introduction to Python Programming</t>
        </is>
      </c>
      <c r="D12" s="26" t="n">
        <v>63</v>
      </c>
      <c r="E12" s="26" t="n">
        <v>63</v>
      </c>
      <c r="F12" s="26">
        <f>OverallResult!AU65</f>
        <v/>
      </c>
      <c r="G12" s="26">
        <f>OverallResult!AU66</f>
        <v/>
      </c>
      <c r="H12" s="26">
        <f>OverallResult!AU67</f>
        <v/>
      </c>
      <c r="I12" s="26">
        <f>OverallResult!AU68</f>
        <v/>
      </c>
      <c r="J12" s="26">
        <f>OverallResult!AU69</f>
        <v/>
      </c>
      <c r="K12" s="26">
        <f>OverallResult!AU70</f>
        <v/>
      </c>
      <c r="L12" s="26">
        <f>OverallResult!AU71</f>
        <v/>
      </c>
      <c r="M12" s="26">
        <f>OverallResult!AU72</f>
        <v/>
      </c>
      <c r="N12" s="26">
        <f>OverallResult!AU73</f>
        <v/>
      </c>
      <c r="O12" s="26">
        <f>OverallResult!AU76</f>
        <v/>
      </c>
      <c r="P12" s="39">
        <f>(O12/63)*100</f>
        <v/>
      </c>
    </row>
    <row r="13" ht="15.75" customHeight="1">
      <c r="A13" s="26" t="n">
        <v>6</v>
      </c>
      <c r="B13" s="40" t="inlineStr">
        <is>
          <t>BPWSK206</t>
        </is>
      </c>
      <c r="C13" s="42" t="inlineStr">
        <is>
          <t xml:space="preserve">Professional Writing Skills in English </t>
        </is>
      </c>
      <c r="D13" s="26" t="n">
        <v>63</v>
      </c>
      <c r="E13" s="26" t="n">
        <v>63</v>
      </c>
      <c r="F13" s="26">
        <f>OverallResult!BD65</f>
        <v/>
      </c>
      <c r="G13" s="26">
        <f>OverallResult!BD66</f>
        <v/>
      </c>
      <c r="H13" s="26">
        <f>OverallResult!BD67</f>
        <v/>
      </c>
      <c r="I13" s="26">
        <f>OverallResult!BD68</f>
        <v/>
      </c>
      <c r="J13" s="26">
        <f>OverallResult!BD69</f>
        <v/>
      </c>
      <c r="K13" s="26">
        <f>OverallResult!BD70</f>
        <v/>
      </c>
      <c r="L13" s="26">
        <f>OverallResult!BD71</f>
        <v/>
      </c>
      <c r="M13" s="26">
        <f>OverallResult!BD72</f>
        <v/>
      </c>
      <c r="N13" s="26">
        <f>OverallResult!BD73</f>
        <v/>
      </c>
      <c r="O13" s="26">
        <f>OverallResult!BD76</f>
        <v/>
      </c>
      <c r="P13" s="39">
        <f>(O13/63)*100</f>
        <v/>
      </c>
    </row>
    <row r="14" ht="15.75" customHeight="1">
      <c r="A14" s="26" t="n">
        <v>7</v>
      </c>
      <c r="B14" s="40" t="inlineStr">
        <is>
          <t>BKSKK207</t>
        </is>
      </c>
      <c r="C14" s="42" t="inlineStr">
        <is>
          <t>Samskrutika Kannada</t>
        </is>
      </c>
      <c r="D14" s="26" t="n">
        <v>39</v>
      </c>
      <c r="E14" s="26" t="n">
        <v>39</v>
      </c>
      <c r="F14" s="26" t="n">
        <v>2</v>
      </c>
      <c r="G14" s="26" t="n">
        <v>17</v>
      </c>
      <c r="H14" s="26" t="n">
        <v>16</v>
      </c>
      <c r="I14" s="26" t="n">
        <v>4</v>
      </c>
      <c r="J14" s="26" t="n">
        <v>0</v>
      </c>
      <c r="K14" s="26" t="n">
        <v>0</v>
      </c>
      <c r="L14" s="26" t="n">
        <v>0</v>
      </c>
      <c r="M14" s="26" t="n">
        <v>0</v>
      </c>
      <c r="N14" s="26" t="n">
        <v>0</v>
      </c>
      <c r="O14" s="26" t="n">
        <v>39</v>
      </c>
      <c r="P14" s="39">
        <f>(O14/39)*100</f>
        <v/>
      </c>
    </row>
    <row r="15" ht="15.75" customHeight="1">
      <c r="A15" s="113" t="n"/>
      <c r="B15" s="41" t="inlineStr">
        <is>
          <t>BKBKK207</t>
        </is>
      </c>
      <c r="C15" s="42" t="inlineStr">
        <is>
          <t xml:space="preserve">Balake Kannada </t>
        </is>
      </c>
      <c r="D15" s="26" t="n">
        <v>24</v>
      </c>
      <c r="E15" s="26" t="n">
        <v>24</v>
      </c>
      <c r="F15" s="26" t="n">
        <v>19</v>
      </c>
      <c r="G15" s="26" t="n">
        <v>4</v>
      </c>
      <c r="H15" s="26" t="n">
        <v>1</v>
      </c>
      <c r="I15" s="26" t="n">
        <v>0</v>
      </c>
      <c r="J15" s="26">
        <f>OverallResult!BM69</f>
        <v/>
      </c>
      <c r="K15" s="26">
        <f>OverallResult!BM70</f>
        <v/>
      </c>
      <c r="L15" s="26">
        <f>OverallResult!BM71</f>
        <v/>
      </c>
      <c r="M15" s="26">
        <f>OverallResult!BM72</f>
        <v/>
      </c>
      <c r="N15" s="26">
        <f>OverallResult!BM73</f>
        <v/>
      </c>
      <c r="O15" s="26" t="n">
        <v>24</v>
      </c>
      <c r="P15" s="39">
        <f>(O15/24)*100</f>
        <v/>
      </c>
    </row>
    <row r="16" ht="15.75" customHeight="1">
      <c r="A16" s="26" t="n">
        <v>8</v>
      </c>
      <c r="B16" s="40" t="inlineStr">
        <is>
          <t>BSFHK258</t>
        </is>
      </c>
      <c r="C16" s="42" t="inlineStr">
        <is>
          <t xml:space="preserve">Scientific Foundations of Health </t>
        </is>
      </c>
      <c r="D16" s="26" t="n">
        <v>63</v>
      </c>
      <c r="E16" s="26" t="n">
        <v>63</v>
      </c>
      <c r="F16" s="26">
        <f>OverallResult!BV65</f>
        <v/>
      </c>
      <c r="G16" s="26">
        <f>OverallResult!BV66</f>
        <v/>
      </c>
      <c r="H16" s="26">
        <f>OverallResult!BV67</f>
        <v/>
      </c>
      <c r="I16" s="26">
        <f>OverallResult!BV68</f>
        <v/>
      </c>
      <c r="J16" s="26">
        <f>OverallResult!BV69</f>
        <v/>
      </c>
      <c r="K16" s="26">
        <f>OverallResult!BV70</f>
        <v/>
      </c>
      <c r="L16" s="26">
        <f>OverallResult!BV71</f>
        <v/>
      </c>
      <c r="M16" s="26">
        <f>OverallResult!BV72</f>
        <v/>
      </c>
      <c r="N16" s="26">
        <f>OverallResult!BV73</f>
        <v/>
      </c>
      <c r="O16" s="26">
        <f>OverallResult!BV76</f>
        <v/>
      </c>
      <c r="P16" s="39">
        <f>(O16/63)*100</f>
        <v/>
      </c>
    </row>
    <row r="39" ht="41.45" customHeight="1"/>
    <row r="41" ht="15.75" customHeight="1">
      <c r="N41" s="2" t="inlineStr">
        <is>
          <t>HOD, CSE-DATA SCIENCE</t>
        </is>
      </c>
    </row>
  </sheetData>
  <mergeCells count="5">
    <mergeCell ref="A3:O3"/>
    <mergeCell ref="A2:O2"/>
    <mergeCell ref="A1:O1"/>
    <mergeCell ref="A5:O5"/>
    <mergeCell ref="A14:A15"/>
  </mergeCells>
  <pageMargins left="0.7" right="0.7" top="0.75" bottom="0.75" header="0.3" footer="0.3"/>
  <pageSetup orientation="landscape" scale="6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P36"/>
  <sheetViews>
    <sheetView zoomScaleNormal="100" workbookViewId="0">
      <selection activeCell="M39" sqref="M39"/>
    </sheetView>
  </sheetViews>
  <sheetFormatPr baseColWidth="8" defaultRowHeight="14.25"/>
  <cols>
    <col width="1.5" customWidth="1" min="1" max="1"/>
    <col width="2" customWidth="1" min="2" max="2"/>
    <col width="11.875" customWidth="1" min="3" max="3"/>
    <col width="17.75" customWidth="1" min="4" max="4"/>
    <col width="12.375" customWidth="1" min="12" max="12"/>
    <col width="10.875" customWidth="1" min="13" max="13"/>
  </cols>
  <sheetData>
    <row r="1" ht="19.5" customHeight="1">
      <c r="B1" s="105" t="inlineStr">
        <is>
          <t>BANGALORE INSTITUTE OF TECHNOLOGY</t>
        </is>
      </c>
      <c r="N1" s="2" t="n"/>
      <c r="O1" s="2" t="n"/>
      <c r="P1" s="2" t="n"/>
    </row>
    <row r="2" ht="30.75" customHeight="1">
      <c r="B2" s="106" t="inlineStr">
        <is>
          <t xml:space="preserve">(Affiliated to Visvesvaraya Technological University, Belagavi, Recognised by AICTE, New Delhi)
K.R. Road, V.V. Pura, Bengaluru – 560 004. Phone: 26613237/26615865   Fax: 22426796
</t>
        </is>
      </c>
      <c r="N2" s="5" t="n"/>
      <c r="O2" s="5" t="n"/>
      <c r="P2" s="5" t="n"/>
    </row>
    <row r="3" ht="18" customHeight="1">
      <c r="B3" s="107" t="inlineStr">
        <is>
          <t>Department of CSE-Data Science</t>
        </is>
      </c>
      <c r="N3" s="3" t="n"/>
      <c r="O3" s="3" t="n"/>
      <c r="P3" s="3" t="n"/>
    </row>
    <row r="4" ht="15.75" customHeight="1">
      <c r="N4" s="2" t="n"/>
      <c r="O4" s="2" t="n"/>
      <c r="P4" s="2" t="n"/>
    </row>
    <row r="5" ht="15.75" customHeight="1">
      <c r="B5" s="101" t="inlineStr">
        <is>
          <t xml:space="preserve"> Overall Result Analysis of Second Semester 2022 Batch Examination for the Academic year 2022-23 (Sep/Oct 2023)</t>
        </is>
      </c>
      <c r="N5" s="2" t="n"/>
      <c r="O5" s="2" t="n"/>
      <c r="P5" s="2" t="n"/>
    </row>
    <row r="6" ht="15" customHeight="1">
      <c r="B6" s="60" t="n"/>
      <c r="C6" s="60" t="n"/>
      <c r="D6" s="60" t="n"/>
      <c r="E6" s="60" t="n"/>
      <c r="F6" s="60" t="n"/>
      <c r="G6" s="60" t="n"/>
      <c r="H6" s="60" t="n"/>
      <c r="I6" s="60" t="n"/>
      <c r="J6" s="60" t="n"/>
      <c r="K6" s="60" t="n"/>
      <c r="L6" s="60" t="n"/>
      <c r="M6" s="60" t="n"/>
    </row>
    <row r="7" ht="63" customHeight="1">
      <c r="B7" s="60" t="n"/>
      <c r="C7" s="67" t="inlineStr">
        <is>
          <t>TOTAL STUDENTS</t>
        </is>
      </c>
      <c r="D7" s="67" t="inlineStr">
        <is>
          <t>TOTAL NO OF STUDENTS APPEARED IN ALL SUBJECTS</t>
        </is>
      </c>
      <c r="E7" s="67" t="inlineStr">
        <is>
          <t>TOTAL O</t>
        </is>
      </c>
      <c r="F7" s="67" t="inlineStr">
        <is>
          <t>TOTAL A+</t>
        </is>
      </c>
      <c r="G7" s="67" t="inlineStr">
        <is>
          <t>TOTAL A</t>
        </is>
      </c>
      <c r="H7" s="67" t="inlineStr">
        <is>
          <t>TOTAL B+</t>
        </is>
      </c>
      <c r="I7" s="67" t="inlineStr">
        <is>
          <t>TOTAL B</t>
        </is>
      </c>
      <c r="J7" s="67" t="inlineStr">
        <is>
          <t>TOTAL C</t>
        </is>
      </c>
      <c r="K7" s="67" t="inlineStr">
        <is>
          <t>TOTAL P</t>
        </is>
      </c>
      <c r="L7" s="67" t="inlineStr">
        <is>
          <t>TOTAL FAIL</t>
        </is>
      </c>
      <c r="M7" s="67" t="inlineStr">
        <is>
          <t>TOTAL PASS</t>
        </is>
      </c>
    </row>
    <row r="8" ht="15.75" customHeight="1">
      <c r="B8" s="60" t="n"/>
      <c r="C8" s="61">
        <f>OverallResult!CB75</f>
        <v/>
      </c>
      <c r="D8" s="62" t="n">
        <v>63</v>
      </c>
      <c r="E8" s="63">
        <f>OverallResult!CB65</f>
        <v/>
      </c>
      <c r="F8" s="62">
        <f>OverallResult!CB66</f>
        <v/>
      </c>
      <c r="G8" s="62">
        <f>OverallResult!CB67</f>
        <v/>
      </c>
      <c r="H8" s="62">
        <f>OverallResult!CB68</f>
        <v/>
      </c>
      <c r="I8" s="62">
        <f>OverallResult!CB69</f>
        <v/>
      </c>
      <c r="J8" s="62">
        <f>OverallResult!CB70</f>
        <v/>
      </c>
      <c r="K8" s="62">
        <f>OverallResult!CB71</f>
        <v/>
      </c>
      <c r="L8" s="62">
        <f>OverallResult!CB72</f>
        <v/>
      </c>
      <c r="M8" s="63">
        <f>OverallResult!CB76</f>
        <v/>
      </c>
    </row>
    <row r="9" ht="11.25" customHeight="1">
      <c r="B9" s="60" t="n"/>
      <c r="C9" s="64" t="n"/>
      <c r="D9" s="64" t="n"/>
      <c r="E9" s="65" t="n"/>
      <c r="F9" s="65" t="n"/>
      <c r="G9" s="68" t="n"/>
      <c r="H9" s="68" t="n"/>
      <c r="I9" s="68" t="n"/>
      <c r="J9" s="68" t="n"/>
      <c r="K9" s="68" t="n"/>
      <c r="L9" s="68" t="n"/>
      <c r="M9" s="68" t="n"/>
    </row>
    <row r="10" ht="63" customHeight="1">
      <c r="B10" s="60" t="n"/>
      <c r="C10" s="67" t="inlineStr">
        <is>
          <t>TOTAL STUDENTS</t>
        </is>
      </c>
      <c r="D10" s="67" t="inlineStr">
        <is>
          <t>TOTAL NO OF STUDENTS APPEARED IN ALL SUBJECTS</t>
        </is>
      </c>
      <c r="E10" s="67" t="inlineStr">
        <is>
          <t xml:space="preserve">TOTAL O% </t>
        </is>
      </c>
      <c r="F10" s="67" t="inlineStr">
        <is>
          <t>TOTAL A+%</t>
        </is>
      </c>
      <c r="G10" s="67" t="inlineStr">
        <is>
          <t>TOTAL A%</t>
        </is>
      </c>
      <c r="H10" s="67" t="inlineStr">
        <is>
          <t>TOTAL B%</t>
        </is>
      </c>
      <c r="I10" s="67" t="inlineStr">
        <is>
          <t>TOTAL B+%</t>
        </is>
      </c>
      <c r="J10" s="67" t="inlineStr">
        <is>
          <t>TOTAL C%</t>
        </is>
      </c>
      <c r="K10" s="67" t="inlineStr">
        <is>
          <t>TOTAL P%</t>
        </is>
      </c>
      <c r="L10" s="67" t="inlineStr">
        <is>
          <t>TOTAL FAIL%</t>
        </is>
      </c>
      <c r="M10" s="67" t="inlineStr">
        <is>
          <t>TOTAL PASS%</t>
        </is>
      </c>
    </row>
    <row r="11" ht="15.75" customHeight="1">
      <c r="B11" s="60" t="n"/>
      <c r="C11" s="61">
        <f>C8</f>
        <v/>
      </c>
      <c r="D11" s="62" t="n">
        <v>63</v>
      </c>
      <c r="E11" s="66">
        <f>E8/C8</f>
        <v/>
      </c>
      <c r="F11" s="66">
        <f>F8/C8</f>
        <v/>
      </c>
      <c r="G11" s="66">
        <f>G8/C8</f>
        <v/>
      </c>
      <c r="H11" s="66">
        <f>H8/C8</f>
        <v/>
      </c>
      <c r="I11" s="63">
        <f>I8/D8*100</f>
        <v/>
      </c>
      <c r="J11" s="63">
        <f>J8/D8*100</f>
        <v/>
      </c>
      <c r="K11" s="63">
        <f>K8/D11</f>
        <v/>
      </c>
      <c r="L11" s="66">
        <f>L8/C8</f>
        <v/>
      </c>
      <c r="M11" s="66">
        <f>M8/C8</f>
        <v/>
      </c>
    </row>
    <row r="12" ht="8.25" customHeight="1"/>
    <row r="35" ht="15.75" customHeight="1">
      <c r="L35" s="2" t="inlineStr">
        <is>
          <t>HOD, CSE-DATA SCIENCE</t>
        </is>
      </c>
    </row>
    <row r="36" ht="15.75" customHeight="1">
      <c r="M36" s="2" t="n"/>
    </row>
  </sheetData>
  <mergeCells count="4">
    <mergeCell ref="B3:M3"/>
    <mergeCell ref="B5:M5"/>
    <mergeCell ref="B2:M2"/>
    <mergeCell ref="B1:M1"/>
  </mergeCells>
  <printOptions horizontalCentered="1"/>
  <pageMargins left="1" right="1" top="0.5" bottom="0.25" header="0.3" footer="0.3"/>
  <pageSetup orientation="landscape" paperSize="9" scale="8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13"/>
  <sheetViews>
    <sheetView workbookViewId="0">
      <selection activeCell="H17" sqref="H17"/>
    </sheetView>
  </sheetViews>
  <sheetFormatPr baseColWidth="8" defaultRowHeight="14.25"/>
  <sheetData>
    <row r="1" ht="19.5" customHeight="1">
      <c r="A1" s="105" t="inlineStr">
        <is>
          <t>BANGALORE INSTITUTE OF TECHNOLOGY</t>
        </is>
      </c>
      <c r="M1" s="34" t="n"/>
      <c r="N1" s="34" t="n"/>
      <c r="O1" s="34" t="n"/>
      <c r="P1" s="34" t="n"/>
      <c r="Q1" s="34" t="n"/>
      <c r="R1" s="34" t="n"/>
      <c r="S1" s="34" t="n"/>
    </row>
    <row r="2" ht="28.15" customHeight="1">
      <c r="A2" s="106" t="inlineStr">
        <is>
          <t xml:space="preserve">(Affiliated to Visvesvaraya Technological University, Belagavi, Recognised by AICTE, New Delhi)
K.R. Road, V.V. Pura, Bengaluru – 560 004. Phone: 26613237/26615865   Fax: 22426796
</t>
        </is>
      </c>
      <c r="M2" s="32" t="n"/>
      <c r="N2" s="32" t="n"/>
      <c r="O2" s="32" t="n"/>
      <c r="P2" s="32" t="n"/>
      <c r="Q2" s="32" t="n"/>
      <c r="R2" s="32" t="n"/>
      <c r="S2" s="32" t="n"/>
    </row>
    <row r="3" ht="18" customHeight="1">
      <c r="A3" s="107" t="inlineStr">
        <is>
          <t>Department of CSE-Data Science</t>
        </is>
      </c>
      <c r="M3" s="33" t="n"/>
      <c r="N3" s="33" t="n"/>
      <c r="O3" s="33" t="n"/>
      <c r="P3" s="33" t="n"/>
      <c r="Q3" s="33" t="n"/>
      <c r="R3" s="33" t="n"/>
      <c r="S3" s="33" t="n"/>
    </row>
    <row r="6" ht="15.75" customHeight="1">
      <c r="A6" s="101" t="inlineStr">
        <is>
          <t xml:space="preserve"> Absentees List of Second Semester 2022 Batch Examination for the Academic year 2022-23 (Sep/Oct 2023)</t>
        </is>
      </c>
      <c r="M6" s="3" t="n"/>
      <c r="N6" s="3" t="n"/>
      <c r="O6" s="3" t="n"/>
      <c r="P6" s="3" t="n"/>
      <c r="Q6" s="3" t="n"/>
      <c r="R6" s="3" t="n"/>
      <c r="S6" s="3" t="n"/>
    </row>
    <row r="9" ht="20.25" customHeight="1">
      <c r="A9" s="110" t="inlineStr">
        <is>
          <t>NIL</t>
        </is>
      </c>
    </row>
    <row r="13" ht="15.75" customHeight="1">
      <c r="J13" s="2" t="inlineStr">
        <is>
          <t>HoD, CSE-DS</t>
        </is>
      </c>
    </row>
  </sheetData>
  <mergeCells count="5">
    <mergeCell ref="A2:L2"/>
    <mergeCell ref="A1:L1"/>
    <mergeCell ref="A6:L6"/>
    <mergeCell ref="A9:L9"/>
    <mergeCell ref="A3:L3"/>
  </mergeCells>
  <pageMargins left="0.7" right="0.7" top="0.75" bottom="0.75" header="0.3" footer="0.3"/>
  <pageSetup orientation="landscape" paperSize="9" fitToHeight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K112"/>
  <sheetViews>
    <sheetView workbookViewId="0">
      <selection activeCell="CS25" sqref="CS25"/>
    </sheetView>
  </sheetViews>
  <sheetFormatPr baseColWidth="8" defaultColWidth="12.625" defaultRowHeight="15" customHeight="1"/>
  <cols>
    <col width="8.875" bestFit="1" customWidth="1" style="1" min="1" max="1"/>
    <col width="12.25" customWidth="1" style="1" min="2" max="2"/>
    <col width="32.375" customWidth="1" style="1" min="3" max="3"/>
    <col hidden="1" width="3.875" customWidth="1" style="17" min="4" max="4"/>
    <col hidden="1" width="4" customWidth="1" style="20" min="5" max="5"/>
    <col hidden="1" width="4.125" customWidth="1" style="20" min="6" max="10"/>
    <col hidden="1" width="4.125" customWidth="1" style="1" min="11" max="13"/>
    <col hidden="1" width="4.125" customWidth="1" style="20" min="14" max="18"/>
    <col hidden="1" width="4.125" customWidth="1" style="1" min="19" max="20"/>
    <col hidden="1" width="4.875" customWidth="1" style="1" min="21" max="21"/>
    <col hidden="1" width="4.125" customWidth="1" style="1" min="22" max="23"/>
    <col hidden="1" width="4.375" customWidth="1" style="1" min="24" max="24"/>
    <col hidden="1" width="4.125" customWidth="1" style="1" min="25" max="33"/>
    <col hidden="1" width="3.625" customWidth="1" style="1" min="34" max="34"/>
    <col hidden="1" width="4.125" customWidth="1" style="1" min="35" max="38"/>
    <col hidden="1" width="4.75" customWidth="1" style="1" min="39" max="39"/>
    <col hidden="1" width="4.125" customWidth="1" style="1" min="40" max="78"/>
    <col width="6.75" customWidth="1" style="1" min="79" max="79"/>
    <col width="5.625" customWidth="1" style="20" min="80" max="80"/>
    <col width="5.625" customWidth="1" style="1" min="81" max="82"/>
    <col width="5.625" customWidth="1" style="20" min="83" max="84"/>
    <col width="5.625" customWidth="1" style="1" min="85" max="86"/>
    <col width="10.25" customWidth="1" style="1" min="87" max="87"/>
    <col width="5.625" customWidth="1" style="1" min="88" max="109"/>
    <col width="12.625" customWidth="1" style="1" min="110" max="16384"/>
  </cols>
  <sheetData>
    <row r="1" ht="15.75" customHeight="1">
      <c r="A1" s="98" t="inlineStr">
        <is>
          <t>BANGALORE INSTITUTE OF TECHNOLOGY</t>
        </is>
      </c>
    </row>
    <row r="2">
      <c r="A2" s="99" t="inlineStr">
        <is>
          <t xml:space="preserve">(Affiliated to Visvesvaraya Technological University, Belagavi, Recognised by AICTE, New Delhi)
K.R. Road, V.V. Pura, Bengaluru – 560 004. Phone: 26613237/26615865   Fax: 22426796
</t>
        </is>
      </c>
    </row>
    <row r="3" ht="15.75" customHeight="1">
      <c r="A3" s="101" t="inlineStr">
        <is>
          <t>Provisional Results of Second Semester 2022 Batch Examination for the Academic year 2022-23 (Sep/Oct 2023)</t>
        </is>
      </c>
    </row>
    <row r="4" ht="15.75" customHeight="1">
      <c r="A4" s="98" t="inlineStr">
        <is>
          <t>Department of CSE-Data Science</t>
        </is>
      </c>
    </row>
    <row r="5" ht="15.75" customHeight="1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  <c r="Q5" s="98" t="n"/>
      <c r="R5" s="98" t="n"/>
      <c r="S5" s="98" t="n"/>
      <c r="T5" s="98" t="n"/>
      <c r="U5" s="98" t="n"/>
      <c r="V5" s="98" t="n"/>
      <c r="W5" s="98" t="n"/>
      <c r="X5" s="98" t="n"/>
      <c r="Y5" s="98" t="n"/>
      <c r="Z5" s="98" t="n"/>
      <c r="AA5" s="98" t="n"/>
      <c r="AB5" s="98" t="n"/>
      <c r="AC5" s="98" t="n"/>
      <c r="AD5" s="98" t="n"/>
      <c r="AE5" s="98" t="n"/>
      <c r="AF5" s="98" t="n"/>
      <c r="AG5" s="98" t="n"/>
      <c r="AH5" s="98" t="n"/>
      <c r="AI5" s="98" t="n"/>
      <c r="AJ5" s="98" t="n"/>
      <c r="AK5" s="98" t="n"/>
      <c r="AL5" s="98" t="n"/>
      <c r="AM5" s="98" t="n"/>
      <c r="AN5" s="98" t="n"/>
      <c r="AO5" s="98" t="n"/>
      <c r="AP5" s="98" t="n"/>
      <c r="AQ5" s="98" t="n"/>
      <c r="AR5" s="98" t="n"/>
      <c r="AS5" s="98" t="n"/>
      <c r="AT5" s="98" t="n"/>
      <c r="AU5" s="98" t="n"/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n"/>
      <c r="BR5" s="98" t="n"/>
      <c r="BS5" s="98" t="n"/>
      <c r="BT5" s="98" t="n"/>
      <c r="BU5" s="98" t="n"/>
      <c r="BV5" s="98" t="n"/>
      <c r="BW5" s="98" t="n"/>
      <c r="BX5" s="98" t="n"/>
      <c r="BY5" s="98" t="n"/>
      <c r="BZ5" s="98" t="n"/>
      <c r="CA5" s="98" t="n"/>
    </row>
    <row r="6" ht="15.75" customHeight="1">
      <c r="A6" s="12" t="n"/>
      <c r="B6" s="12" t="n"/>
      <c r="C6" s="13" t="n"/>
      <c r="D6" s="104" t="inlineStr">
        <is>
          <t>Mathematics for CSE Stream -II           (BMATS201)</t>
        </is>
      </c>
      <c r="E6" s="112" t="n"/>
      <c r="F6" s="112" t="n"/>
      <c r="G6" s="112" t="n"/>
      <c r="H6" s="112" t="n"/>
      <c r="I6" s="112" t="n"/>
      <c r="J6" s="112" t="n"/>
      <c r="K6" s="112" t="n"/>
      <c r="L6" s="112" t="n"/>
      <c r="M6" s="14" t="n"/>
      <c r="N6" s="102" t="inlineStr">
        <is>
          <t>Chemistry for CSE Stream                (BCHES202)</t>
        </is>
      </c>
      <c r="O6" s="112" t="n"/>
      <c r="P6" s="112" t="n"/>
      <c r="Q6" s="112" t="n"/>
      <c r="R6" s="112" t="n"/>
      <c r="S6" s="112" t="n"/>
      <c r="T6" s="112" t="n"/>
      <c r="U6" s="112" t="n"/>
      <c r="W6" s="103" t="inlineStr">
        <is>
          <t>Computer-Aided Engineering Drawing (BCEDK203)</t>
        </is>
      </c>
      <c r="X6" s="112" t="n"/>
      <c r="Y6" s="112" t="n"/>
      <c r="Z6" s="112" t="n"/>
      <c r="AA6" s="112" t="n"/>
      <c r="AB6" s="112" t="n"/>
      <c r="AC6" s="112" t="n"/>
      <c r="AD6" s="112" t="n"/>
      <c r="AF6" s="102" t="inlineStr">
        <is>
          <t>Introduction to Electronics Communication               (BESCK204C)</t>
        </is>
      </c>
      <c r="AG6" s="112" t="n"/>
      <c r="AH6" s="112" t="n"/>
      <c r="AI6" s="112" t="n"/>
      <c r="AJ6" s="112" t="n"/>
      <c r="AK6" s="112" t="n"/>
      <c r="AL6" s="112" t="n"/>
      <c r="AM6" s="112" t="n"/>
      <c r="AO6" s="102" t="inlineStr">
        <is>
          <t>Introduction to Python Programming (BPLCK205B)</t>
        </is>
      </c>
      <c r="AP6" s="112" t="n"/>
      <c r="AQ6" s="112" t="n"/>
      <c r="AR6" s="112" t="n"/>
      <c r="AS6" s="112" t="n"/>
      <c r="AT6" s="112" t="n"/>
      <c r="AU6" s="112" t="n"/>
      <c r="AV6" s="112" t="n"/>
      <c r="AX6" s="102" t="inlineStr">
        <is>
          <t>Professional Writing Skills in English (BPWSK206)</t>
        </is>
      </c>
      <c r="AY6" s="112" t="n"/>
      <c r="AZ6" s="112" t="n"/>
      <c r="BA6" s="112" t="n"/>
      <c r="BB6" s="112" t="n"/>
      <c r="BC6" s="112" t="n"/>
      <c r="BD6" s="112" t="n"/>
      <c r="BE6" s="112" t="n"/>
      <c r="BG6" s="102" t="inlineStr">
        <is>
          <t xml:space="preserve">Samskrutika Kannada / Balake Kannada (BKSKK207 / BKBKK207) </t>
        </is>
      </c>
      <c r="BH6" s="112" t="n"/>
      <c r="BI6" s="112" t="n"/>
      <c r="BJ6" s="112" t="n"/>
      <c r="BK6" s="112" t="n"/>
      <c r="BL6" s="112" t="n"/>
      <c r="BM6" s="112" t="n"/>
      <c r="BN6" s="112" t="n"/>
      <c r="BP6" s="102" t="inlineStr">
        <is>
          <t>Scientific Foundations of Health (BSFHK2058)</t>
        </is>
      </c>
      <c r="BQ6" s="112" t="n"/>
      <c r="BR6" s="112" t="n"/>
      <c r="BS6" s="112" t="n"/>
      <c r="BT6" s="112" t="n"/>
      <c r="BU6" s="112" t="n"/>
      <c r="BV6" s="112" t="n"/>
      <c r="BW6" s="112" t="n"/>
      <c r="BX6" s="20" t="n"/>
    </row>
    <row r="7" ht="30" customHeight="1">
      <c r="A7" s="4" t="inlineStr">
        <is>
          <t>Sl.No</t>
        </is>
      </c>
      <c r="B7" s="36" t="inlineStr">
        <is>
          <t>USN</t>
        </is>
      </c>
      <c r="C7" s="36" t="inlineStr">
        <is>
          <t>Student Name</t>
        </is>
      </c>
      <c r="D7" s="4" t="inlineStr">
        <is>
          <t>Section</t>
        </is>
      </c>
      <c r="E7" s="15" t="inlineStr">
        <is>
          <t>IN</t>
        </is>
      </c>
      <c r="F7" s="4" t="inlineStr">
        <is>
          <t>EX</t>
        </is>
      </c>
      <c r="G7" s="4" t="inlineStr">
        <is>
          <t>RV</t>
        </is>
      </c>
      <c r="H7" s="4" t="inlineStr">
        <is>
          <t>T</t>
        </is>
      </c>
      <c r="I7" s="4" t="inlineStr">
        <is>
          <t>CR</t>
        </is>
      </c>
      <c r="J7" s="4" t="inlineStr">
        <is>
          <t>GP</t>
        </is>
      </c>
      <c r="K7" s="4" t="inlineStr">
        <is>
          <t>GR</t>
        </is>
      </c>
      <c r="L7" s="16" t="inlineStr">
        <is>
          <t>CR*GP</t>
        </is>
      </c>
      <c r="M7" s="17" t="n"/>
      <c r="N7" s="15" t="inlineStr">
        <is>
          <t>IN</t>
        </is>
      </c>
      <c r="O7" s="4" t="inlineStr">
        <is>
          <t>EX</t>
        </is>
      </c>
      <c r="P7" s="4" t="inlineStr">
        <is>
          <t>RV</t>
        </is>
      </c>
      <c r="Q7" s="4" t="inlineStr">
        <is>
          <t>T</t>
        </is>
      </c>
      <c r="R7" s="4" t="inlineStr">
        <is>
          <t>CR</t>
        </is>
      </c>
      <c r="S7" s="4" t="inlineStr">
        <is>
          <t>GP</t>
        </is>
      </c>
      <c r="T7" s="4" t="inlineStr">
        <is>
          <t>GR</t>
        </is>
      </c>
      <c r="U7" s="16" t="inlineStr">
        <is>
          <t>CR*GP</t>
        </is>
      </c>
      <c r="V7" s="17" t="n"/>
      <c r="W7" s="15" t="inlineStr">
        <is>
          <t>IA</t>
        </is>
      </c>
      <c r="X7" s="4" t="inlineStr">
        <is>
          <t>EX</t>
        </is>
      </c>
      <c r="Y7" s="4" t="inlineStr">
        <is>
          <t>RV</t>
        </is>
      </c>
      <c r="Z7" s="4" t="inlineStr">
        <is>
          <t>T</t>
        </is>
      </c>
      <c r="AA7" s="4" t="inlineStr">
        <is>
          <t>CR</t>
        </is>
      </c>
      <c r="AB7" s="4" t="inlineStr">
        <is>
          <t>GP</t>
        </is>
      </c>
      <c r="AC7" s="4" t="inlineStr">
        <is>
          <t>GR</t>
        </is>
      </c>
      <c r="AD7" s="16" t="inlineStr">
        <is>
          <t>CR*GP</t>
        </is>
      </c>
      <c r="AE7" s="17" t="n"/>
      <c r="AF7" s="15" t="inlineStr">
        <is>
          <t>IA</t>
        </is>
      </c>
      <c r="AG7" s="4" t="inlineStr">
        <is>
          <t>EX</t>
        </is>
      </c>
      <c r="AH7" s="4" t="inlineStr">
        <is>
          <t>RV</t>
        </is>
      </c>
      <c r="AI7" s="4" t="inlineStr">
        <is>
          <t>T</t>
        </is>
      </c>
      <c r="AJ7" s="4" t="inlineStr">
        <is>
          <t>CR</t>
        </is>
      </c>
      <c r="AK7" s="4" t="inlineStr">
        <is>
          <t>GP</t>
        </is>
      </c>
      <c r="AL7" s="4" t="inlineStr">
        <is>
          <t>GR</t>
        </is>
      </c>
      <c r="AM7" s="16" t="inlineStr">
        <is>
          <t>CR*GP</t>
        </is>
      </c>
      <c r="AN7" s="17" t="n"/>
      <c r="AO7" s="15" t="inlineStr">
        <is>
          <t>IA</t>
        </is>
      </c>
      <c r="AP7" s="4" t="inlineStr">
        <is>
          <t>EX</t>
        </is>
      </c>
      <c r="AQ7" s="4" t="inlineStr">
        <is>
          <t>RV</t>
        </is>
      </c>
      <c r="AR7" s="4" t="inlineStr">
        <is>
          <t>T</t>
        </is>
      </c>
      <c r="AS7" s="4" t="inlineStr">
        <is>
          <t>CR</t>
        </is>
      </c>
      <c r="AT7" s="4" t="inlineStr">
        <is>
          <t>GP</t>
        </is>
      </c>
      <c r="AU7" s="4" t="inlineStr">
        <is>
          <t>GR</t>
        </is>
      </c>
      <c r="AV7" s="16" t="inlineStr">
        <is>
          <t>CR*GP</t>
        </is>
      </c>
      <c r="AW7" s="17" t="n"/>
      <c r="AX7" s="15" t="inlineStr">
        <is>
          <t>IA</t>
        </is>
      </c>
      <c r="AY7" s="4" t="inlineStr">
        <is>
          <t>EX</t>
        </is>
      </c>
      <c r="AZ7" s="4" t="inlineStr">
        <is>
          <t>RV</t>
        </is>
      </c>
      <c r="BA7" s="4" t="inlineStr">
        <is>
          <t>T</t>
        </is>
      </c>
      <c r="BB7" s="4" t="inlineStr">
        <is>
          <t>CR</t>
        </is>
      </c>
      <c r="BC7" s="4" t="inlineStr">
        <is>
          <t>GP</t>
        </is>
      </c>
      <c r="BD7" s="4" t="inlineStr">
        <is>
          <t>GR</t>
        </is>
      </c>
      <c r="BE7" s="16" t="inlineStr">
        <is>
          <t>CR*GP</t>
        </is>
      </c>
      <c r="BF7" s="17" t="n"/>
      <c r="BG7" s="15" t="inlineStr">
        <is>
          <t>IA</t>
        </is>
      </c>
      <c r="BH7" s="4" t="inlineStr">
        <is>
          <t>EX</t>
        </is>
      </c>
      <c r="BI7" s="4" t="inlineStr">
        <is>
          <t>RV</t>
        </is>
      </c>
      <c r="BJ7" s="4" t="inlineStr">
        <is>
          <t>T</t>
        </is>
      </c>
      <c r="BK7" s="4" t="inlineStr">
        <is>
          <t>CR</t>
        </is>
      </c>
      <c r="BL7" s="4" t="inlineStr">
        <is>
          <t>GP</t>
        </is>
      </c>
      <c r="BM7" s="4" t="inlineStr">
        <is>
          <t>GR</t>
        </is>
      </c>
      <c r="BN7" s="16" t="inlineStr">
        <is>
          <t>CR*GP</t>
        </is>
      </c>
      <c r="BO7" s="17" t="n"/>
      <c r="BP7" s="15" t="inlineStr">
        <is>
          <t>IA</t>
        </is>
      </c>
      <c r="BQ7" s="4" t="inlineStr">
        <is>
          <t>EX</t>
        </is>
      </c>
      <c r="BR7" s="4" t="inlineStr">
        <is>
          <t>RV</t>
        </is>
      </c>
      <c r="BS7" s="4" t="inlineStr">
        <is>
          <t>T</t>
        </is>
      </c>
      <c r="BT7" s="4" t="inlineStr">
        <is>
          <t>CR</t>
        </is>
      </c>
      <c r="BU7" s="4" t="inlineStr">
        <is>
          <t>GP</t>
        </is>
      </c>
      <c r="BV7" s="4" t="inlineStr">
        <is>
          <t>GR</t>
        </is>
      </c>
      <c r="BW7" s="16" t="inlineStr">
        <is>
          <t>CR*GP</t>
        </is>
      </c>
      <c r="BX7" s="16" t="n"/>
      <c r="BY7" s="17" t="n"/>
      <c r="BZ7" s="17" t="n"/>
      <c r="CA7" s="17" t="inlineStr">
        <is>
          <t>SGPA</t>
        </is>
      </c>
      <c r="CB7" s="48" t="inlineStr">
        <is>
          <t>Final Grade</t>
        </is>
      </c>
      <c r="CC7" s="23" t="inlineStr">
        <is>
          <t>Percentage</t>
        </is>
      </c>
      <c r="CE7" s="48" t="inlineStr">
        <is>
          <t>Total Marks</t>
        </is>
      </c>
      <c r="CF7" s="48" t="inlineStr">
        <is>
          <t>Percentage</t>
        </is>
      </c>
    </row>
    <row r="8" ht="15.75" customHeight="1">
      <c r="A8" s="35">
        <f>A7+1</f>
        <v/>
      </c>
      <c r="B8" s="75" t="inlineStr">
        <is>
          <t>1BI22CD015</t>
        </is>
      </c>
      <c r="C8" s="74" t="inlineStr">
        <is>
          <t>HARSHA K L</t>
        </is>
      </c>
      <c r="D8" s="47" t="inlineStr">
        <is>
          <t>D</t>
        </is>
      </c>
      <c r="E8" s="9" t="n">
        <v>50</v>
      </c>
      <c r="F8" s="9" t="n">
        <v>47</v>
      </c>
      <c r="G8" s="9" t="n"/>
      <c r="H8" s="18">
        <f>SUM(E8:F8)</f>
        <v/>
      </c>
      <c r="I8" s="18" t="n">
        <v>4</v>
      </c>
      <c r="J8" s="18">
        <f>IF(F8&lt;=17,"0",IF(H8&lt;=39,"0",IF(H8&lt;=49,"4",IF(H8&lt;=54,"5",IF(H8&lt;=59,"6",IF(H8&lt;=69,"7",IF(H8&lt;=79,"8",IF(H8&lt;=89,"9","10"))))))))</f>
        <v/>
      </c>
      <c r="K8" s="18">
        <f>IF(F8&lt;=17,"F",IF(H8&lt;=39,"F",IF(H8&lt;=49,"P",IF(H8&lt;=54,"C",IF(H8&lt;=59,"B",IF(H8&lt;=69,"B+",IF(H8&lt;=79,"A",IF(H8&lt;=89,"A+","O"))))))))</f>
        <v/>
      </c>
      <c r="L8" s="18">
        <f>I8*J8</f>
        <v/>
      </c>
      <c r="M8" s="18" t="n"/>
      <c r="N8" s="9" t="n">
        <v>50</v>
      </c>
      <c r="O8" s="9" t="n">
        <v>44</v>
      </c>
      <c r="P8" s="9" t="n"/>
      <c r="Q8" s="18">
        <f>SUM(N8:O8)</f>
        <v/>
      </c>
      <c r="R8" s="18" t="n">
        <v>4</v>
      </c>
      <c r="S8" s="18">
        <f>IF(O8&lt;=17,"0",IF(Q8&lt;=39,"4",IF(Q8&lt;=49,"4",IF(Q8&lt;=54,"5",IF(Q8&lt;=59,"6",IF(Q8&lt;=69,"7",IF(Q8&lt;=79,"8",IF(Q8&lt;=89,"9","10"))))))))</f>
        <v/>
      </c>
      <c r="T8" s="18">
        <f>IF(O8&lt;=17,"F",IF(Q8&lt;=39,"F",IF(Q8&lt;=49,"P",IF(Q8&lt;=54,"C",IF(Q8&lt;=59,"B",IF(Q8&lt;=69,"B+",IF(Q8&lt;=79,"A",IF(Q8&lt;=89,"A+","O"))))))))</f>
        <v/>
      </c>
      <c r="U8" s="18">
        <f>R8*S8</f>
        <v/>
      </c>
      <c r="V8" s="18" t="n"/>
      <c r="W8" s="9" t="n">
        <v>50</v>
      </c>
      <c r="X8" s="9" t="n">
        <v>48</v>
      </c>
      <c r="Y8" s="18" t="n"/>
      <c r="Z8" s="18">
        <f>SUM(W8:X8)</f>
        <v/>
      </c>
      <c r="AA8" s="18" t="n">
        <v>3</v>
      </c>
      <c r="AB8" s="18">
        <f>IF(X8&lt;=17,"0",IF(Z8&lt;=39,"0",IF(Z8&lt;=49,"4",IF(Z8&lt;=54,"5",IF(Z8&lt;=59,"6",IF(Z8&lt;=69,"7",IF(Z8&lt;=79,"8",IF(Z8&lt;=89,"9","10"))))))))</f>
        <v/>
      </c>
      <c r="AC8" s="18">
        <f>IF(X8&lt;=17,"F",IF(Z8&lt;=39,"F",IF(Z8&lt;=49,"P",IF(Z8&lt;=54,"C",IF(Z8&lt;=59,"B",IF(Z8&lt;=69,"B+",IF(Z8&lt;=79,"A",IF(Z8&lt;=89,"A+","O"))))))))</f>
        <v/>
      </c>
      <c r="AD8" s="18">
        <f>AA8*AB8</f>
        <v/>
      </c>
      <c r="AE8" s="18" t="n"/>
      <c r="AF8" s="27" t="n">
        <v>50</v>
      </c>
      <c r="AG8" s="27" t="n">
        <v>42</v>
      </c>
      <c r="AH8" s="9" t="n"/>
      <c r="AI8" s="18">
        <f>SUM(AF8:AG8)</f>
        <v/>
      </c>
      <c r="AJ8" s="18" t="n">
        <v>3</v>
      </c>
      <c r="AK8" s="18">
        <f>IF(AG8&lt;=17,"0",IF(AI8&lt;=39,"0",IF(AI8&lt;=49,"4",IF(AI8&lt;=54,"5",IF(AI8&lt;=59,"6",IF(AI8&lt;=69,"7",IF(AI8&lt;=79,"8",IF(AI8&lt;=89,"9","10"))))))))</f>
        <v/>
      </c>
      <c r="AL8" s="18">
        <f>IF(AG8&lt;=17,"F",IF(AI8&lt;=39,"F",IF(AI8&lt;=49,"P",IF(AI8&lt;=54,"C",IF(AI8&lt;=59,"B",IF(AI8&lt;=69,"B+",IF(AI8&lt;=79,"A",IF(AI8&lt;=89,"A+","O"))))))))</f>
        <v/>
      </c>
      <c r="AM8" s="18">
        <f>AJ8*AK8</f>
        <v/>
      </c>
      <c r="AN8" s="18" t="n"/>
      <c r="AO8" s="27" t="n">
        <v>50</v>
      </c>
      <c r="AP8" s="27" t="n">
        <v>41</v>
      </c>
      <c r="AQ8" s="9" t="n"/>
      <c r="AR8" s="18">
        <f>(AO8+AP8)</f>
        <v/>
      </c>
      <c r="AS8" s="18" t="n">
        <v>3</v>
      </c>
      <c r="AT8" s="18">
        <f>IF(AP8&lt;=17,"0",IF(AR8&lt;=39,"0",IF(AR8&lt;=49,"4",IF(AR8&lt;=54,"5",IF(AR8&lt;=59,"6",IF(AR8&lt;=69,"7",IF(AR8&lt;=79,"8",IF(AR8&lt;=89,"9","10"))))))))</f>
        <v/>
      </c>
      <c r="AU8" s="18">
        <f>IF(AP8&lt;=17,"F",IF(AR8&lt;=39,"F",IF(AR8&lt;=49,"P",IF(AR8&lt;=54,"C",IF(AR8&lt;=59,"B",IF(AR8&lt;=69,"B+",IF(AR8&lt;=79,"A",IF(AR8&lt;=89,"A+","O"))))))))</f>
        <v/>
      </c>
      <c r="AV8" s="18">
        <f>AS8*AT8</f>
        <v/>
      </c>
      <c r="AW8" s="18" t="n"/>
      <c r="AX8" s="9" t="n">
        <v>50</v>
      </c>
      <c r="AY8" s="9" t="n">
        <v>36</v>
      </c>
      <c r="AZ8" s="9" t="n"/>
      <c r="BA8" s="18">
        <f>(AX8+AY8)</f>
        <v/>
      </c>
      <c r="BB8" s="18" t="n">
        <v>1</v>
      </c>
      <c r="BC8" s="18">
        <f>IF(AY8&lt;=17,"0",IF(BA8&lt;=39,"0",IF(BA8&lt;=49,"4",IF(BA8&lt;=54,"5",IF(BA8&lt;=59,"6",IF(BA8&lt;=69,"7",IF(BA8&lt;=79,"8",IF(BA8&lt;=89,"9","10"))))))))</f>
        <v/>
      </c>
      <c r="BD8" s="18">
        <f>IF(AY8&lt;=17,"F",IF(BA8&lt;=39,"F",IF(BA8&lt;=49,"P",IF(BA8&lt;=54,"C",IF(BA8&lt;=59,"B",IF(BA8&lt;=69,"B+",IF(BA8&lt;=79,"A",IF(BA8&lt;=89,"A+","O"))))))))</f>
        <v/>
      </c>
      <c r="BE8" s="18">
        <f>BB8*BC8</f>
        <v/>
      </c>
      <c r="BF8" s="43" t="inlineStr">
        <is>
          <t>Samskrutika Kannada</t>
        </is>
      </c>
      <c r="BG8" s="9" t="n">
        <v>50</v>
      </c>
      <c r="BH8" s="9" t="n">
        <v>37</v>
      </c>
      <c r="BI8" s="9" t="n"/>
      <c r="BJ8" s="18">
        <f>(BG8+BH8)</f>
        <v/>
      </c>
      <c r="BK8" s="18" t="n">
        <v>1</v>
      </c>
      <c r="BL8" s="18">
        <f>IF(BH8&lt;=17,"0",IF(BJ8&lt;=39,"0",IF(BJ8&lt;=49,"4",IF(BJ8&lt;=54,"5",IF(BJ8&lt;=59,"6",IF(BJ8&lt;=69,"7",IF(BJ8&lt;=79,"8",IF(BJ8&lt;=89,"9","10"))))))))</f>
        <v/>
      </c>
      <c r="BM8" s="18">
        <f>IF(BH8&lt;=17,"F",IF(BJ8&lt;=39,"F",IF(BJ8&lt;=49,"P",IF(BJ8&lt;=54,"C",IF(BJ8&lt;=59,"B",IF(BJ8&lt;=69,"B+",IF(BJ8&lt;=79,"A",IF(BJ8&lt;=89,"A+","O"))))))))</f>
        <v/>
      </c>
      <c r="BN8" s="18">
        <f>BK8*BL8</f>
        <v/>
      </c>
      <c r="BO8" s="18" t="n"/>
      <c r="BP8" s="9" t="n">
        <v>50</v>
      </c>
      <c r="BQ8" s="9" t="n">
        <v>43</v>
      </c>
      <c r="BR8" s="9" t="n"/>
      <c r="BS8" s="18">
        <f>(BP8+BQ8)</f>
        <v/>
      </c>
      <c r="BT8" s="18" t="n">
        <v>1</v>
      </c>
      <c r="BU8" s="18">
        <f>IF(BQ8&lt;=17,"0",IF(BS8&lt;=39,"0",IF(BS8&lt;=49,"4",IF(BS8&lt;=54,"5",IF(BS8&lt;=59,"6",IF(BS8&lt;=69,"7",IF(BS8&lt;=79,"8",IF(BS8&lt;=89,"9","10"))))))))</f>
        <v/>
      </c>
      <c r="BV8" s="18">
        <f>IF(BQ8&lt;=17,"F",IF(BS8&lt;=39,"F",IF(BS8&lt;=49,"P",IF(BS8&lt;=54,"C",IF(BS8&lt;=59,"B",IF(BS8&lt;=69,"B+",IF(BS8&lt;=79,"A",IF(BS8&lt;=89,"A+","O"))))))))</f>
        <v/>
      </c>
      <c r="BW8" s="18">
        <f>BT8*BU8</f>
        <v/>
      </c>
      <c r="BX8" s="18" t="n"/>
      <c r="BY8" s="18" t="n"/>
      <c r="BZ8" s="18">
        <f>L8+U8+AD8+AM8+AV8+BE8+BN8+BW8</f>
        <v/>
      </c>
      <c r="CA8" s="19">
        <f>BZ8/20</f>
        <v/>
      </c>
      <c r="CB8" s="28">
        <f>IF(CA8&lt;4,"F",IF(BV8="F","F",IF(BM8="F","F",IF(BD8="F","F",IF(AU8="F","F",IF(AL8="F","F",IF(AC8="F","F",IF(T8="F","F",IF(K8="F","F",IF(CA8&lt;=5,"C",IF(CA8&lt;6,"B",IF(CA8&lt;7,"B+",IF(CA8&lt;8,"A",IF(CA8&lt;=9,"A+","O"))))))))))))))</f>
        <v/>
      </c>
      <c r="CC8" s="27">
        <f>CA8*9.5</f>
        <v/>
      </c>
      <c r="CD8" s="27" t="n"/>
      <c r="CE8" s="28">
        <f>SUM(BS8,BJ8,BA8,AR8,AI8,Z8,Q8,H8)</f>
        <v/>
      </c>
      <c r="CF8" s="28">
        <f>(CE8/800)*100</f>
        <v/>
      </c>
      <c r="CG8" s="27" t="n"/>
      <c r="CH8" s="27" t="n"/>
      <c r="CI8" s="27">
        <f>IF(CA8&lt;=4,"F",IF(CA8&lt;=6,"PASS",IF(CA8&lt;=6.5,"SC",IF(CA8&lt;=7.5,"FC",IF(CA8&lt;="10","FCD")))))</f>
        <v/>
      </c>
      <c r="CJ8" s="1" t="n">
        <v>9.9</v>
      </c>
      <c r="CK8" s="1" t="n">
        <v>9.5</v>
      </c>
    </row>
    <row r="9" ht="15.75" customHeight="1">
      <c r="A9" s="35">
        <f>A8+1</f>
        <v/>
      </c>
      <c r="B9" s="37" t="inlineStr">
        <is>
          <t>1BI22CD025</t>
        </is>
      </c>
      <c r="C9" s="44" t="inlineStr">
        <is>
          <t>MITTA THANVITHA</t>
        </is>
      </c>
      <c r="D9" s="47" t="inlineStr">
        <is>
          <t>D</t>
        </is>
      </c>
      <c r="E9" s="9" t="n">
        <v>50</v>
      </c>
      <c r="F9" s="9" t="n">
        <v>44</v>
      </c>
      <c r="G9" s="9" t="n"/>
      <c r="H9" s="18">
        <f>SUM(E9:F9)</f>
        <v/>
      </c>
      <c r="I9" s="18" t="n">
        <v>4</v>
      </c>
      <c r="J9" s="18">
        <f>IF(F9&lt;=17,"0",IF(H9&lt;=39,"0",IF(H9&lt;=49,"4",IF(H9&lt;=54,"5",IF(H9&lt;=59,"6",IF(H9&lt;=69,"7",IF(H9&lt;=79,"8",IF(H9&lt;=89,"9","10"))))))))</f>
        <v/>
      </c>
      <c r="K9" s="18">
        <f>IF(F9&lt;=17,"F",IF(H9&lt;=39,"F",IF(H9&lt;=49,"P",IF(H9&lt;=54,"C",IF(H9&lt;=59,"B",IF(H9&lt;=69,"B+",IF(H9&lt;=79,"A",IF(H9&lt;=89,"A+","O"))))))))</f>
        <v/>
      </c>
      <c r="L9" s="18">
        <f>I9*J9</f>
        <v/>
      </c>
      <c r="M9" s="18" t="n"/>
      <c r="N9" s="9" t="n">
        <v>50</v>
      </c>
      <c r="O9" s="9" t="n">
        <v>39</v>
      </c>
      <c r="P9" s="9" t="n"/>
      <c r="Q9" s="18">
        <f>SUM(N9:O9)</f>
        <v/>
      </c>
      <c r="R9" s="18" t="n">
        <v>4</v>
      </c>
      <c r="S9" s="18">
        <f>IF(O9&lt;=17,"0",IF(Q9&lt;=39,"4",IF(Q9&lt;=49,"4",IF(Q9&lt;=54,"5",IF(Q9&lt;=59,"6",IF(Q9&lt;=69,"7",IF(Q9&lt;=79,"8",IF(Q9&lt;=89,"9","10"))))))))</f>
        <v/>
      </c>
      <c r="T9" s="18">
        <f>IF(O9&lt;=17,"F",IF(Q9&lt;=39,"F",IF(Q9&lt;=49,"P",IF(Q9&lt;=54,"C",IF(Q9&lt;=59,"B",IF(Q9&lt;=69,"B+",IF(Q9&lt;=79,"A",IF(Q9&lt;=89,"A+","O"))))))))</f>
        <v/>
      </c>
      <c r="U9" s="18">
        <f>R9*S9</f>
        <v/>
      </c>
      <c r="V9" s="18" t="n"/>
      <c r="W9" s="9" t="n">
        <v>50</v>
      </c>
      <c r="X9" s="9" t="n">
        <v>44</v>
      </c>
      <c r="Y9" s="18" t="n"/>
      <c r="Z9" s="18">
        <f>SUM(W9:X9)</f>
        <v/>
      </c>
      <c r="AA9" s="18" t="n">
        <v>3</v>
      </c>
      <c r="AB9" s="18">
        <f>IF(X9&lt;=17,"0",IF(Z9&lt;=39,"0",IF(Z9&lt;=49,"4",IF(Z9&lt;=54,"5",IF(Z9&lt;=59,"6",IF(Z9&lt;=69,"7",IF(Z9&lt;=79,"8",IF(Z9&lt;=89,"9","10"))))))))</f>
        <v/>
      </c>
      <c r="AC9" s="18">
        <f>IF(X9&lt;=17,"F",IF(Z9&lt;=39,"F",IF(Z9&lt;=49,"P",IF(Z9&lt;=54,"C",IF(Z9&lt;=59,"B",IF(Z9&lt;=69,"B+",IF(Z9&lt;=79,"A",IF(Z9&lt;=89,"A+","O"))))))))</f>
        <v/>
      </c>
      <c r="AD9" s="18">
        <f>AA9*AB9</f>
        <v/>
      </c>
      <c r="AE9" s="18" t="n"/>
      <c r="AF9" s="46" t="n">
        <v>50</v>
      </c>
      <c r="AG9" s="46" t="n">
        <v>42</v>
      </c>
      <c r="AH9" s="9" t="n"/>
      <c r="AI9" s="18">
        <f>SUM(AF9:AG9)</f>
        <v/>
      </c>
      <c r="AJ9" s="18" t="n">
        <v>3</v>
      </c>
      <c r="AK9" s="18">
        <f>IF(AG9&lt;=17,"0",IF(AI9&lt;=39,"0",IF(AI9&lt;=49,"4",IF(AI9&lt;=54,"5",IF(AI9&lt;=59,"6",IF(AI9&lt;=69,"7",IF(AI9&lt;=79,"8",IF(AI9&lt;=89,"9","10"))))))))</f>
        <v/>
      </c>
      <c r="AL9" s="18">
        <f>IF(AG9&lt;=17,"F",IF(AI9&lt;=39,"F",IF(AI9&lt;=49,"P",IF(AI9&lt;=54,"C",IF(AI9&lt;=59,"B",IF(AI9&lt;=69,"B+",IF(AI9&lt;=79,"A",IF(AI9&lt;=89,"A+","O"))))))))</f>
        <v/>
      </c>
      <c r="AM9" s="18">
        <f>AJ9*AK9</f>
        <v/>
      </c>
      <c r="AN9" s="18" t="n"/>
      <c r="AO9" s="46" t="n">
        <v>50</v>
      </c>
      <c r="AP9" s="46" t="n">
        <v>41</v>
      </c>
      <c r="AQ9" s="9" t="n"/>
      <c r="AR9" s="18">
        <f>(AO9+AP9)</f>
        <v/>
      </c>
      <c r="AS9" s="18" t="n">
        <v>3</v>
      </c>
      <c r="AT9" s="18">
        <f>IF(AP9&lt;=17,"0",IF(AR9&lt;=39,"0",IF(AR9&lt;=49,"4",IF(AR9&lt;=54,"5",IF(AR9&lt;=59,"6",IF(AR9&lt;=69,"7",IF(AR9&lt;=79,"8",IF(AR9&lt;=89,"9","10"))))))))</f>
        <v/>
      </c>
      <c r="AU9" s="18">
        <f>IF(AP9&lt;=17,"F",IF(AR9&lt;=39,"F",IF(AR9&lt;=49,"P",IF(AR9&lt;=54,"C",IF(AR9&lt;=59,"B",IF(AR9&lt;=69,"B+",IF(AR9&lt;=79,"A",IF(AR9&lt;=89,"A+","O"))))))))</f>
        <v/>
      </c>
      <c r="AV9" s="18">
        <f>AS9*AT9</f>
        <v/>
      </c>
      <c r="AW9" s="18" t="n"/>
      <c r="AX9" s="9" t="n">
        <v>50</v>
      </c>
      <c r="AY9" s="9" t="n">
        <v>31</v>
      </c>
      <c r="AZ9" s="9" t="n"/>
      <c r="BA9" s="18">
        <f>(AX9+AY9)</f>
        <v/>
      </c>
      <c r="BB9" s="18" t="n">
        <v>1</v>
      </c>
      <c r="BC9" s="18">
        <f>IF(AY9&lt;=17,"0",IF(BA9&lt;=39,"0",IF(BA9&lt;=49,"4",IF(BA9&lt;=54,"5",IF(BA9&lt;=59,"6",IF(BA9&lt;=69,"7",IF(BA9&lt;=79,"8",IF(BA9&lt;=89,"9","10"))))))))</f>
        <v/>
      </c>
      <c r="BD9" s="18">
        <f>IF(AY9&lt;=17,"F",IF(BA9&lt;=39,"F",IF(BA9&lt;=49,"P",IF(BA9&lt;=54,"C",IF(BA9&lt;=59,"B",IF(BA9&lt;=69,"B+",IF(BA9&lt;=79,"A",IF(BA9&lt;=89,"A+","O"))))))))</f>
        <v/>
      </c>
      <c r="BE9" s="18">
        <f>BB9*BC9</f>
        <v/>
      </c>
      <c r="BF9" s="43" t="inlineStr">
        <is>
          <t>Balake Kannada</t>
        </is>
      </c>
      <c r="BG9" s="9" t="n">
        <v>50</v>
      </c>
      <c r="BH9" s="9" t="n">
        <v>47</v>
      </c>
      <c r="BI9" s="9" t="n"/>
      <c r="BJ9" s="18">
        <f>(BG9+BH9)</f>
        <v/>
      </c>
      <c r="BK9" s="18" t="n">
        <v>1</v>
      </c>
      <c r="BL9" s="18">
        <f>IF(BH9&lt;=17,"0",IF(BJ9&lt;=39,"0",IF(BJ9&lt;=49,"4",IF(BJ9&lt;=54,"5",IF(BJ9&lt;=59,"6",IF(BJ9&lt;=69,"7",IF(BJ9&lt;=79,"8",IF(BJ9&lt;=89,"9","10"))))))))</f>
        <v/>
      </c>
      <c r="BM9" s="18">
        <f>IF(BH9&lt;=17,"F",IF(BJ9&lt;=39,"F",IF(BJ9&lt;=49,"P",IF(BJ9&lt;=54,"C",IF(BJ9&lt;=59,"B",IF(BJ9&lt;=69,"B+",IF(BJ9&lt;=79,"A",IF(BJ9&lt;=89,"A+","O"))))))))</f>
        <v/>
      </c>
      <c r="BN9" s="18">
        <f>BK9*BL9</f>
        <v/>
      </c>
      <c r="BO9" s="18" t="n"/>
      <c r="BP9" s="9" t="n">
        <v>50</v>
      </c>
      <c r="BQ9" s="9" t="n">
        <v>42</v>
      </c>
      <c r="BR9" s="9" t="n"/>
      <c r="BS9" s="18">
        <f>(BP9+BQ9)</f>
        <v/>
      </c>
      <c r="BT9" s="18" t="n">
        <v>1</v>
      </c>
      <c r="BU9" s="18">
        <f>IF(BQ9&lt;=17,"0",IF(BS9&lt;=39,"0",IF(BS9&lt;=49,"4",IF(BS9&lt;=54,"5",IF(BS9&lt;=59,"6",IF(BS9&lt;=69,"7",IF(BS9&lt;=79,"8",IF(BS9&lt;=89,"9","10"))))))))</f>
        <v/>
      </c>
      <c r="BV9" s="18">
        <f>IF(BQ9&lt;=17,"F",IF(BS9&lt;=39,"F",IF(BS9&lt;=49,"P",IF(BS9&lt;=54,"C",IF(BS9&lt;=59,"B",IF(BS9&lt;=69,"B+",IF(BS9&lt;=79,"A",IF(BS9&lt;=89,"A+","O"))))))))</f>
        <v/>
      </c>
      <c r="BW9" s="18">
        <f>BT9*BU9</f>
        <v/>
      </c>
      <c r="BX9" s="18" t="n"/>
      <c r="BY9" s="18" t="n"/>
      <c r="BZ9" s="18">
        <f>L9+U9+AD9+AM9+AV9+BE9+BN9+BW9</f>
        <v/>
      </c>
      <c r="CA9" s="19">
        <f>BZ9/20</f>
        <v/>
      </c>
      <c r="CB9" s="28">
        <f>IF(CA9&lt;4,"F",IF(BV9="F","F",IF(BM9="F","F",IF(BD9="F","F",IF(AU9="F","F",IF(AL9="F","F",IF(AC9="F","F",IF(T9="F","F",IF(K9="F","F",IF(CA9&lt;=5,"C",IF(CA9&lt;6,"B",IF(CA9&lt;7,"B+",IF(CA9&lt;8,"A",IF(CA9&lt;=9,"A+","O"))))))))))))))</f>
        <v/>
      </c>
      <c r="CC9" s="27">
        <f>CA9*9.5</f>
        <v/>
      </c>
      <c r="CD9" s="27" t="n"/>
      <c r="CE9" s="28">
        <f>SUM(BS9,BJ9,BA9,AR9,AI9,Z9,Q9,H9)</f>
        <v/>
      </c>
      <c r="CF9" s="28">
        <f>(CE9/800)*100</f>
        <v/>
      </c>
      <c r="CG9" s="27" t="n"/>
      <c r="CH9" s="27" t="n"/>
      <c r="CI9" s="27">
        <f>IF(CA9&lt;=4,"F",IF(CA9&lt;=6,"PASS",IF(CA9&lt;=6.5,"SC",IF(CA9&lt;=7.5,"FC",IF(CA9&lt;="10","FCD")))))</f>
        <v/>
      </c>
      <c r="CJ9" s="59" t="n">
        <v>9.75</v>
      </c>
      <c r="CK9" s="59" t="n">
        <v>9.300000000000001</v>
      </c>
    </row>
    <row r="10" ht="15.75" customHeight="1">
      <c r="A10" s="35" t="n">
        <v>63</v>
      </c>
      <c r="B10" s="37" t="inlineStr">
        <is>
          <t>1BI22CD063</t>
        </is>
      </c>
      <c r="C10" s="44" t="inlineStr">
        <is>
          <t>YASHVI BHUWALKA</t>
        </is>
      </c>
      <c r="D10" s="47" t="inlineStr">
        <is>
          <t>D</t>
        </is>
      </c>
      <c r="E10" s="9" t="n">
        <v>50</v>
      </c>
      <c r="F10" s="9" t="n">
        <v>50</v>
      </c>
      <c r="G10" s="9" t="n"/>
      <c r="H10" s="18">
        <f>SUM(E10:F10)</f>
        <v/>
      </c>
      <c r="I10" s="18" t="n">
        <v>4</v>
      </c>
      <c r="J10" s="18">
        <f>IF(F10&lt;=17,"0",IF(H10&lt;=39,"0",IF(H10&lt;=49,"4",IF(H10&lt;=54,"5",IF(H10&lt;=59,"6",IF(H10&lt;=69,"7",IF(H10&lt;=79,"8",IF(H10&lt;=89,"9","10"))))))))</f>
        <v/>
      </c>
      <c r="K10" s="18">
        <f>IF(F10&lt;=17,"F",IF(H10&lt;=39,"F",IF(H10&lt;=49,"P",IF(H10&lt;=54,"C",IF(H10&lt;=59,"B",IF(H10&lt;=69,"B+",IF(H10&lt;=79,"A",IF(H10&lt;=89,"A+","O"))))))))</f>
        <v/>
      </c>
      <c r="L10" s="18">
        <f>I10*J10</f>
        <v/>
      </c>
      <c r="M10" s="18" t="n"/>
      <c r="N10" s="9" t="n">
        <v>50</v>
      </c>
      <c r="O10" s="9" t="n">
        <v>41</v>
      </c>
      <c r="P10" s="9" t="n"/>
      <c r="Q10" s="18">
        <f>SUM(N10:O10)</f>
        <v/>
      </c>
      <c r="R10" s="18" t="n">
        <v>4</v>
      </c>
      <c r="S10" s="18">
        <f>IF(O10&lt;=17,"0",IF(Q10&lt;=39,"4",IF(Q10&lt;=49,"4",IF(Q10&lt;=54,"5",IF(Q10&lt;=59,"6",IF(Q10&lt;=69,"7",IF(Q10&lt;=79,"8",IF(Q10&lt;=89,"9","10"))))))))</f>
        <v/>
      </c>
      <c r="T10" s="18">
        <f>IF(O10&lt;=17,"F",IF(Q10&lt;=39,"F",IF(Q10&lt;=49,"P",IF(Q10&lt;=54,"C",IF(Q10&lt;=59,"B",IF(Q10&lt;=69,"B+",IF(Q10&lt;=79,"A",IF(Q10&lt;=89,"A+","O"))))))))</f>
        <v/>
      </c>
      <c r="U10" s="18">
        <f>R10*S10</f>
        <v/>
      </c>
      <c r="V10" s="18" t="n"/>
      <c r="W10" s="9" t="n">
        <v>50</v>
      </c>
      <c r="X10" s="9" t="n">
        <v>49</v>
      </c>
      <c r="Y10" s="18" t="n"/>
      <c r="Z10" s="18">
        <f>SUM(W10:X10)</f>
        <v/>
      </c>
      <c r="AA10" s="18" t="n">
        <v>3</v>
      </c>
      <c r="AB10" s="18">
        <f>IF(X10&lt;=17,"0",IF(Z10&lt;=39,"0",IF(Z10&lt;=49,"4",IF(Z10&lt;=54,"5",IF(Z10&lt;=59,"6",IF(Z10&lt;=69,"7",IF(Z10&lt;=79,"8",IF(Z10&lt;=89,"9","10"))))))))</f>
        <v/>
      </c>
      <c r="AC10" s="18">
        <f>IF(X10&lt;=17,"F",IF(Z10&lt;=39,"F",IF(Z10&lt;=49,"P",IF(Z10&lt;=54,"C",IF(Z10&lt;=59,"B",IF(Z10&lt;=69,"B+",IF(Z10&lt;=79,"A",IF(Z10&lt;=89,"A+","O"))))))))</f>
        <v/>
      </c>
      <c r="AD10" s="18">
        <f>AA10*AB10</f>
        <v/>
      </c>
      <c r="AE10" s="18" t="n"/>
      <c r="AF10" s="46" t="n">
        <v>50</v>
      </c>
      <c r="AG10" s="46" t="n">
        <v>33</v>
      </c>
      <c r="AH10" s="9" t="n"/>
      <c r="AI10" s="18">
        <f>SUM(AF10:AG10)</f>
        <v/>
      </c>
      <c r="AJ10" s="18" t="n">
        <v>3</v>
      </c>
      <c r="AK10" s="18">
        <f>IF(AG10&lt;=17,"0",IF(AI10&lt;=39,"0",IF(AI10&lt;=49,"4",IF(AI10&lt;=54,"5",IF(AI10&lt;=59,"6",IF(AI10&lt;=69,"7",IF(AI10&lt;=79,"8",IF(AI10&lt;=89,"9","10"))))))))</f>
        <v/>
      </c>
      <c r="AL10" s="18">
        <f>IF(AG10&lt;=17,"F",IF(AI10&lt;=39,"F",IF(AI10&lt;=49,"P",IF(AI10&lt;=54,"C",IF(AI10&lt;=59,"B",IF(AI10&lt;=69,"B+",IF(AI10&lt;=79,"A",IF(AI10&lt;=89,"A+","O"))))))))</f>
        <v/>
      </c>
      <c r="AM10" s="18">
        <f>AJ10*AK10</f>
        <v/>
      </c>
      <c r="AN10" s="28" t="n"/>
      <c r="AO10" s="9" t="n">
        <v>50</v>
      </c>
      <c r="AP10" s="46" t="n">
        <v>34</v>
      </c>
      <c r="AQ10" s="9" t="n"/>
      <c r="AR10" s="18">
        <f>(AO10+AP10)</f>
        <v/>
      </c>
      <c r="AS10" s="18" t="n">
        <v>3</v>
      </c>
      <c r="AT10" s="18">
        <f>IF(AP10&lt;=17,"0",IF(AR10&lt;=39,"0",IF(AR10&lt;=49,"4",IF(AR10&lt;=54,"5",IF(AR10&lt;=59,"6",IF(AR10&lt;=69,"7",IF(AR10&lt;=79,"8",IF(AR10&lt;=89,"9","10"))))))))</f>
        <v/>
      </c>
      <c r="AU10" s="18">
        <f>IF(AP10&lt;=17,"F",IF(AR10&lt;=39,"F",IF(AR10&lt;=49,"P",IF(AR10&lt;=54,"C",IF(AR10&lt;=59,"B",IF(AR10&lt;=69,"B+",IF(AR10&lt;=79,"A",IF(AR10&lt;=89,"A+","O"))))))))</f>
        <v/>
      </c>
      <c r="AV10" s="18">
        <f>AS10*AT10</f>
        <v/>
      </c>
      <c r="AW10" s="18" t="n"/>
      <c r="AX10" s="9" t="n">
        <v>50</v>
      </c>
      <c r="AY10" s="9" t="n">
        <v>41</v>
      </c>
      <c r="AZ10" s="9" t="n"/>
      <c r="BA10" s="18">
        <f>(AX10+AY10)</f>
        <v/>
      </c>
      <c r="BB10" s="18" t="n">
        <v>1</v>
      </c>
      <c r="BC10" s="18">
        <f>IF(AY10&lt;=17,"0",IF(BA10&lt;=39,"0",IF(BA10&lt;=49,"4",IF(BA10&lt;=54,"5",IF(BA10&lt;=59,"6",IF(BA10&lt;=69,"7",IF(BA10&lt;=79,"8",IF(BA10&lt;=89,"9","10"))))))))</f>
        <v/>
      </c>
      <c r="BD10" s="18">
        <f>IF(AY10&lt;=17,"F",IF(BA10&lt;=39,"F",IF(BA10&lt;=49,"P",IF(BA10&lt;=54,"C",IF(BA10&lt;=59,"B",IF(BA10&lt;=69,"B+",IF(BA10&lt;=79,"A",IF(BA10&lt;=89,"A+","O"))))))))</f>
        <v/>
      </c>
      <c r="BE10" s="18">
        <f>BB10*BC10</f>
        <v/>
      </c>
      <c r="BF10" s="43" t="inlineStr">
        <is>
          <t>Balake Kannada</t>
        </is>
      </c>
      <c r="BG10" s="9" t="n">
        <v>50</v>
      </c>
      <c r="BH10" s="9" t="n">
        <v>49</v>
      </c>
      <c r="BI10" s="9" t="n"/>
      <c r="BJ10" s="18">
        <f>(BG10+BH10)</f>
        <v/>
      </c>
      <c r="BK10" s="18" t="n">
        <v>1</v>
      </c>
      <c r="BL10" s="18">
        <f>IF(BH10&lt;=17,"0",IF(BJ10&lt;=39,"0",IF(BJ10&lt;=49,"4",IF(BJ10&lt;=54,"5",IF(BJ10&lt;=59,"6",IF(BJ10&lt;=69,"7",IF(BJ10&lt;=79,"8",IF(BJ10&lt;=89,"9","10"))))))))</f>
        <v/>
      </c>
      <c r="BM10" s="18">
        <f>IF(BH10&lt;=17,"F",IF(BJ10&lt;=39,"F",IF(BJ10&lt;=49,"P",IF(BJ10&lt;=54,"C",IF(BJ10&lt;=59,"B",IF(BJ10&lt;=69,"B+",IF(BJ10&lt;=79,"A",IF(BJ10&lt;=89,"A+","O"))))))))</f>
        <v/>
      </c>
      <c r="BN10" s="18">
        <f>BK10*BL10</f>
        <v/>
      </c>
      <c r="BO10" s="18" t="n"/>
      <c r="BP10" s="9" t="n">
        <v>50</v>
      </c>
      <c r="BQ10" s="9" t="n">
        <v>45</v>
      </c>
      <c r="BR10" s="9" t="n"/>
      <c r="BS10" s="18">
        <f>(BP10+BQ10)</f>
        <v/>
      </c>
      <c r="BT10" s="18" t="n">
        <v>1</v>
      </c>
      <c r="BU10" s="18">
        <f>IF(BQ10&lt;=17,"0",IF(BS10&lt;=39,"0",IF(BS10&lt;=49,"4",IF(BS10&lt;=54,"5",IF(BS10&lt;=59,"6",IF(BS10&lt;=69,"7",IF(BS10&lt;=79,"8",IF(BS10&lt;=89,"9","10"))))))))</f>
        <v/>
      </c>
      <c r="BV10" s="18">
        <f>IF(BQ10&lt;=17,"F",IF(BS10&lt;=39,"F",IF(BS10&lt;=49,"P",IF(BS10&lt;=54,"C",IF(BS10&lt;=59,"B",IF(BS10&lt;=69,"B+",IF(BS10&lt;=79,"A",IF(BS10&lt;=89,"A+","O"))))))))</f>
        <v/>
      </c>
      <c r="BW10" s="18">
        <f>BT10*BU10</f>
        <v/>
      </c>
      <c r="BX10" s="18" t="n"/>
      <c r="BY10" s="18" t="n"/>
      <c r="BZ10" s="18">
        <f>L10+U10+AD10+AM10+AV10+BE10+BN10+BW10</f>
        <v/>
      </c>
      <c r="CA10" s="19">
        <f>BZ10/20</f>
        <v/>
      </c>
      <c r="CB10" s="28">
        <f>IF(CA10&lt;4,"F",IF(BV10="F","F",IF(BM10="F","F",IF(BD10="F","F",IF(AU10="F","F",IF(AL10="F","F",IF(AC10="F","F",IF(T10="F","F",IF(K10="F","F",IF(CA10&lt;=5,"C",IF(CA10&lt;6,"B",IF(CA10&lt;7,"B+",IF(CA10&lt;8,"A",IF(CA10&lt;=9,"A+","O"))))))))))))))</f>
        <v/>
      </c>
      <c r="CC10" s="27">
        <f>CA10*9.5</f>
        <v/>
      </c>
      <c r="CD10" s="27" t="n"/>
      <c r="CE10" s="28">
        <f>SUM(BS10,BJ10,BA10,AR10,AI10,Z10,Q10,H10)</f>
        <v/>
      </c>
      <c r="CF10" s="28">
        <f>(CE10/800)*100</f>
        <v/>
      </c>
      <c r="CG10" s="27" t="n"/>
      <c r="CH10" s="27" t="n"/>
      <c r="CI10" s="27">
        <f>IF(CA10&lt;=4,"F",IF(CA10&lt;=6,"PASS",IF(CA10&lt;=6.5,"SC",IF(CA10&lt;=7.5,"FC",IF(CA10&lt;="10","FCD")))))</f>
        <v/>
      </c>
      <c r="CJ10" s="1" t="n">
        <v>9.699999999999999</v>
      </c>
      <c r="CK10" s="1" t="n">
        <v>8.949999999999999</v>
      </c>
    </row>
    <row r="11" ht="15.75" customHeight="1">
      <c r="A11" s="35">
        <f>A10+1</f>
        <v/>
      </c>
      <c r="B11" s="37" t="inlineStr">
        <is>
          <t>1BI22CD018</t>
        </is>
      </c>
      <c r="C11" s="44" t="inlineStr">
        <is>
          <t>KANNIKA MAHESH D</t>
        </is>
      </c>
      <c r="D11" s="47" t="inlineStr">
        <is>
          <t>D</t>
        </is>
      </c>
      <c r="E11" s="9" t="n">
        <v>50</v>
      </c>
      <c r="F11" s="9" t="n">
        <v>45</v>
      </c>
      <c r="G11" s="9" t="n"/>
      <c r="H11" s="18">
        <f>SUM(E11:F11)</f>
        <v/>
      </c>
      <c r="I11" s="18" t="n">
        <v>4</v>
      </c>
      <c r="J11" s="18">
        <f>IF(F11&lt;=17,"0",IF(H11&lt;=39,"0",IF(H11&lt;=49,"4",IF(H11&lt;=54,"5",IF(H11&lt;=59,"6",IF(H11&lt;=69,"7",IF(H11&lt;=79,"8",IF(H11&lt;=89,"9","10"))))))))</f>
        <v/>
      </c>
      <c r="K11" s="18">
        <f>IF(F11&lt;=17,"F",IF(H11&lt;=39,"F",IF(H11&lt;=49,"P",IF(H11&lt;=54,"C",IF(H11&lt;=59,"B",IF(H11&lt;=69,"B+",IF(H11&lt;=79,"A",IF(H11&lt;=89,"A+","O"))))))))</f>
        <v/>
      </c>
      <c r="L11" s="18">
        <f>I11*J11</f>
        <v/>
      </c>
      <c r="M11" s="18" t="n"/>
      <c r="N11" s="9" t="n">
        <v>50</v>
      </c>
      <c r="O11" s="9" t="n">
        <v>38</v>
      </c>
      <c r="P11" s="9" t="n"/>
      <c r="Q11" s="18">
        <f>SUM(N11:O11)</f>
        <v/>
      </c>
      <c r="R11" s="18" t="n">
        <v>4</v>
      </c>
      <c r="S11" s="18">
        <f>IF(O11&lt;=17,"0",IF(Q11&lt;=39,"4",IF(Q11&lt;=49,"4",IF(Q11&lt;=54,"5",IF(Q11&lt;=59,"6",IF(Q11&lt;=69,"7",IF(Q11&lt;=79,"8",IF(Q11&lt;=89,"9","10"))))))))</f>
        <v/>
      </c>
      <c r="T11" s="18">
        <f>IF(O11&lt;=17,"F",IF(Q11&lt;=39,"F",IF(Q11&lt;=49,"P",IF(Q11&lt;=54,"C",IF(Q11&lt;=59,"B",IF(Q11&lt;=69,"B+",IF(Q11&lt;=79,"A",IF(Q11&lt;=89,"A+","O"))))))))</f>
        <v/>
      </c>
      <c r="U11" s="18">
        <f>R11*S11</f>
        <v/>
      </c>
      <c r="V11" s="18" t="n"/>
      <c r="W11" s="9" t="n">
        <v>50</v>
      </c>
      <c r="X11" s="9" t="n">
        <v>47</v>
      </c>
      <c r="Y11" s="18" t="n"/>
      <c r="Z11" s="18">
        <f>SUM(W11:X11)</f>
        <v/>
      </c>
      <c r="AA11" s="18" t="n">
        <v>3</v>
      </c>
      <c r="AB11" s="18">
        <f>IF(X11&lt;=17,"0",IF(Z11&lt;=39,"0",IF(Z11&lt;=49,"4",IF(Z11&lt;=54,"5",IF(Z11&lt;=59,"6",IF(Z11&lt;=69,"7",IF(Z11&lt;=79,"8",IF(Z11&lt;=89,"9","10"))))))))</f>
        <v/>
      </c>
      <c r="AC11" s="18">
        <f>IF(X11&lt;=17,"F",IF(Z11&lt;=39,"F",IF(Z11&lt;=49,"P",IF(Z11&lt;=54,"C",IF(Z11&lt;=59,"B",IF(Z11&lt;=69,"B+",IF(Z11&lt;=79,"A",IF(Z11&lt;=89,"A+","O"))))))))</f>
        <v/>
      </c>
      <c r="AD11" s="18">
        <f>AA11*AB11</f>
        <v/>
      </c>
      <c r="AE11" s="18" t="n"/>
      <c r="AF11" s="46" t="n">
        <v>50</v>
      </c>
      <c r="AG11" s="46" t="n">
        <v>46</v>
      </c>
      <c r="AH11" s="9" t="n"/>
      <c r="AI11" s="18">
        <f>SUM(AF11:AG11)</f>
        <v/>
      </c>
      <c r="AJ11" s="18" t="n">
        <v>3</v>
      </c>
      <c r="AK11" s="18">
        <f>IF(AG11&lt;=17,"0",IF(AI11&lt;=39,"0",IF(AI11&lt;=49,"4",IF(AI11&lt;=54,"5",IF(AI11&lt;=59,"6",IF(AI11&lt;=69,"7",IF(AI11&lt;=79,"8",IF(AI11&lt;=89,"9","10"))))))))</f>
        <v/>
      </c>
      <c r="AL11" s="18">
        <f>IF(AG11&lt;=17,"F",IF(AI11&lt;=39,"F",IF(AI11&lt;=49,"P",IF(AI11&lt;=54,"C",IF(AI11&lt;=59,"B",IF(AI11&lt;=69,"B+",IF(AI11&lt;=79,"A",IF(AI11&lt;=89,"A+","O"))))))))</f>
        <v/>
      </c>
      <c r="AM11" s="18">
        <f>AJ11*AK11</f>
        <v/>
      </c>
      <c r="AN11" s="18" t="n"/>
      <c r="AO11" s="46" t="n">
        <v>50</v>
      </c>
      <c r="AP11" s="46" t="n">
        <v>44</v>
      </c>
      <c r="AQ11" s="9" t="n"/>
      <c r="AR11" s="18">
        <f>(AO11+AP11)</f>
        <v/>
      </c>
      <c r="AS11" s="18" t="n">
        <v>3</v>
      </c>
      <c r="AT11" s="18">
        <f>IF(AP11&lt;=17,"0",IF(AR11&lt;=39,"0",IF(AR11&lt;=49,"4",IF(AR11&lt;=54,"5",IF(AR11&lt;=59,"6",IF(AR11&lt;=69,"7",IF(AR11&lt;=79,"8",IF(AR11&lt;=89,"9","10"))))))))</f>
        <v/>
      </c>
      <c r="AU11" s="18">
        <f>IF(AP11&lt;=17,"F",IF(AR11&lt;=39,"F",IF(AR11&lt;=49,"P",IF(AR11&lt;=54,"C",IF(AR11&lt;=59,"B",IF(AR11&lt;=69,"B+",IF(AR11&lt;=79,"A",IF(AR11&lt;=89,"A+","O"))))))))</f>
        <v/>
      </c>
      <c r="AV11" s="18">
        <f>AS11*AT11</f>
        <v/>
      </c>
      <c r="AW11" s="18" t="n"/>
      <c r="AX11" s="9" t="n">
        <v>50</v>
      </c>
      <c r="AY11" s="9" t="n">
        <v>36</v>
      </c>
      <c r="AZ11" s="9" t="n"/>
      <c r="BA11" s="18">
        <f>(AX11+AY11)</f>
        <v/>
      </c>
      <c r="BB11" s="18" t="n">
        <v>1</v>
      </c>
      <c r="BC11" s="18">
        <f>IF(AY11&lt;=17,"0",IF(BA11&lt;=39,"0",IF(BA11&lt;=49,"4",IF(BA11&lt;=54,"5",IF(BA11&lt;=59,"6",IF(BA11&lt;=69,"7",IF(BA11&lt;=79,"8",IF(BA11&lt;=89,"9","10"))))))))</f>
        <v/>
      </c>
      <c r="BD11" s="18">
        <f>IF(AY11&lt;=17,"F",IF(BA11&lt;=39,"F",IF(BA11&lt;=49,"P",IF(BA11&lt;=54,"C",IF(BA11&lt;=59,"B",IF(BA11&lt;=69,"B+",IF(BA11&lt;=79,"A",IF(BA11&lt;=89,"A+","O"))))))))</f>
        <v/>
      </c>
      <c r="BE11" s="18">
        <f>BB11*BC11</f>
        <v/>
      </c>
      <c r="BF11" s="43" t="inlineStr">
        <is>
          <t>Samskrutika Kannada</t>
        </is>
      </c>
      <c r="BG11" s="9" t="n">
        <v>50</v>
      </c>
      <c r="BH11" s="9" t="n">
        <v>42</v>
      </c>
      <c r="BI11" s="9" t="n"/>
      <c r="BJ11" s="18">
        <f>(BG11+BH11)</f>
        <v/>
      </c>
      <c r="BK11" s="18" t="n">
        <v>1</v>
      </c>
      <c r="BL11" s="18">
        <f>IF(BH11&lt;=17,"0",IF(BJ11&lt;=39,"0",IF(BJ11&lt;=49,"4",IF(BJ11&lt;=54,"5",IF(BJ11&lt;=59,"6",IF(BJ11&lt;=69,"7",IF(BJ11&lt;=79,"8",IF(BJ11&lt;=89,"9","10"))))))))</f>
        <v/>
      </c>
      <c r="BM11" s="18">
        <f>IF(BH11&lt;=17,"F",IF(BJ11&lt;=39,"F",IF(BJ11&lt;=49,"P",IF(BJ11&lt;=54,"C",IF(BJ11&lt;=59,"B",IF(BJ11&lt;=69,"B+",IF(BJ11&lt;=79,"A",IF(BJ11&lt;=89,"A+","O"))))))))</f>
        <v/>
      </c>
      <c r="BN11" s="18">
        <f>BK11*BL11</f>
        <v/>
      </c>
      <c r="BO11" s="18" t="n"/>
      <c r="BP11" s="9" t="n">
        <v>50</v>
      </c>
      <c r="BQ11" s="9" t="n">
        <v>39</v>
      </c>
      <c r="BR11" s="9" t="n"/>
      <c r="BS11" s="18">
        <f>(BP11+BQ11)</f>
        <v/>
      </c>
      <c r="BT11" s="18" t="n">
        <v>1</v>
      </c>
      <c r="BU11" s="18">
        <f>IF(BQ11&lt;=17,"0",IF(BS11&lt;=39,"0",IF(BS11&lt;=49,"4",IF(BS11&lt;=54,"5",IF(BS11&lt;=59,"6",IF(BS11&lt;=69,"7",IF(BS11&lt;=79,"8",IF(BS11&lt;=89,"9","10"))))))))</f>
        <v/>
      </c>
      <c r="BV11" s="18">
        <f>IF(BQ11&lt;=17,"F",IF(BS11&lt;=39,"F",IF(BS11&lt;=49,"P",IF(BS11&lt;=54,"C",IF(BS11&lt;=59,"B",IF(BS11&lt;=69,"B+",IF(BS11&lt;=79,"A",IF(BS11&lt;=89,"A+","O"))))))))</f>
        <v/>
      </c>
      <c r="BW11" s="18">
        <f>BT11*BU11</f>
        <v/>
      </c>
      <c r="BX11" s="18" t="n"/>
      <c r="BY11" s="18" t="n"/>
      <c r="BZ11" s="18">
        <f>L11+U11+AD11+AM11+AV11+BE11+BN11+BW11</f>
        <v/>
      </c>
      <c r="CA11" s="19">
        <f>BZ11/20</f>
        <v/>
      </c>
      <c r="CB11" s="28">
        <f>IF(CA11&lt;4,"F",IF(BV11="F","F",IF(BM11="F","F",IF(BD11="F","F",IF(AU11="F","F",IF(AL11="F","F",IF(AC11="F","F",IF(T11="F","F",IF(K11="F","F",IF(CA11&lt;=5,"C",IF(CA11&lt;6,"B",IF(CA11&lt;7,"B+",IF(CA11&lt;8,"A",IF(CA11&lt;=9,"A+","O"))))))))))))))</f>
        <v/>
      </c>
      <c r="CC11" s="27">
        <f>CA11*9.5</f>
        <v/>
      </c>
      <c r="CD11" s="27" t="n"/>
      <c r="CE11" s="28">
        <f>SUM(BS11,BJ11,BA11,AR11,AI11,Z11,Q11,H11)</f>
        <v/>
      </c>
      <c r="CF11" s="28">
        <f>(CE11/800)*100</f>
        <v/>
      </c>
      <c r="CG11" s="27" t="n"/>
      <c r="CH11" s="27" t="n"/>
      <c r="CI11" s="27">
        <f>IF(CA11&lt;=4,"F",IF(CA11&lt;=6,"PASS",IF(CA11&lt;=6.5,"SC",IF(CA11&lt;=7.5,"FC",IF(CA11&lt;="10","FCD")))))</f>
        <v/>
      </c>
      <c r="CJ11" s="1" t="n">
        <v>9.699999999999999</v>
      </c>
      <c r="CK11" s="1" t="n">
        <v>9.15</v>
      </c>
    </row>
    <row r="12" ht="15.75" customFormat="1" customHeight="1" s="59">
      <c r="A12" s="35">
        <f>A11+1</f>
        <v/>
      </c>
      <c r="B12" s="37" t="inlineStr">
        <is>
          <t>1BI22CD045</t>
        </is>
      </c>
      <c r="C12" s="44" t="inlineStr">
        <is>
          <t>SARA TAHOOR</t>
        </is>
      </c>
      <c r="D12" s="47" t="inlineStr">
        <is>
          <t>D</t>
        </is>
      </c>
      <c r="E12" s="9" t="n">
        <v>50</v>
      </c>
      <c r="F12" s="9" t="n">
        <v>49</v>
      </c>
      <c r="G12" s="9" t="n"/>
      <c r="H12" s="18">
        <f>SUM(E12:F12)</f>
        <v/>
      </c>
      <c r="I12" s="18" t="n">
        <v>4</v>
      </c>
      <c r="J12" s="18">
        <f>IF(F12&lt;=17,"0",IF(H12&lt;=39,"0",IF(H12&lt;=49,"4",IF(H12&lt;=54,"5",IF(H12&lt;=59,"6",IF(H12&lt;=69,"7",IF(H12&lt;=79,"8",IF(H12&lt;=89,"9","10"))))))))</f>
        <v/>
      </c>
      <c r="K12" s="18">
        <f>IF(F12&lt;=17,"F",IF(H12&lt;=39,"F",IF(H12&lt;=49,"P",IF(H12&lt;=54,"C",IF(H12&lt;=59,"B",IF(H12&lt;=69,"B+",IF(H12&lt;=79,"A",IF(H12&lt;=89,"A+","O"))))))))</f>
        <v/>
      </c>
      <c r="L12" s="18">
        <f>I12*J12</f>
        <v/>
      </c>
      <c r="M12" s="18" t="n"/>
      <c r="N12" s="9" t="n">
        <v>50</v>
      </c>
      <c r="O12" s="9" t="n">
        <v>37</v>
      </c>
      <c r="P12" s="18" t="n"/>
      <c r="Q12" s="18">
        <f>SUM(N12:O12)</f>
        <v/>
      </c>
      <c r="R12" s="18" t="n">
        <v>4</v>
      </c>
      <c r="S12" s="18">
        <f>IF(O12&lt;=17,"0",IF(Q12&lt;=39,"4",IF(Q12&lt;=49,"4",IF(Q12&lt;=54,"5",IF(Q12&lt;=59,"6",IF(Q12&lt;=69,"7",IF(Q12&lt;=79,"8",IF(Q12&lt;=89,"9","10"))))))))</f>
        <v/>
      </c>
      <c r="T12" s="18">
        <f>IF(O12&lt;=17,"F",IF(Q12&lt;=39,"F",IF(Q12&lt;=49,"P",IF(Q12&lt;=54,"C",IF(Q12&lt;=59,"B",IF(Q12&lt;=69,"B+",IF(Q12&lt;=79,"A",IF(Q12&lt;=89,"A+","O"))))))))</f>
        <v/>
      </c>
      <c r="U12" s="18">
        <f>R12*S12</f>
        <v/>
      </c>
      <c r="V12" s="18" t="n"/>
      <c r="W12" s="9" t="n">
        <v>50</v>
      </c>
      <c r="X12" s="9" t="n">
        <v>47</v>
      </c>
      <c r="Y12" s="18" t="n"/>
      <c r="Z12" s="18">
        <f>SUM(W12:X12)</f>
        <v/>
      </c>
      <c r="AA12" s="18" t="n">
        <v>3</v>
      </c>
      <c r="AB12" s="18">
        <f>IF(X12&lt;=17,"0",IF(Z12&lt;=39,"0",IF(Z12&lt;=49,"4",IF(Z12&lt;=54,"5",IF(Z12&lt;=59,"6",IF(Z12&lt;=69,"7",IF(Z12&lt;=79,"8",IF(Z12&lt;=89,"9","10"))))))))</f>
        <v/>
      </c>
      <c r="AC12" s="18">
        <f>IF(X12&lt;=17,"F",IF(Z12&lt;=39,"F",IF(Z12&lt;=49,"P",IF(Z12&lt;=54,"C",IF(Z12&lt;=59,"B",IF(Z12&lt;=69,"B+",IF(Z12&lt;=79,"A",IF(Z12&lt;=89,"A+","O"))))))))</f>
        <v/>
      </c>
      <c r="AD12" s="18">
        <f>AA12*AB12</f>
        <v/>
      </c>
      <c r="AE12" s="18" t="n"/>
      <c r="AF12" s="46" t="n">
        <v>50</v>
      </c>
      <c r="AG12" s="46" t="n">
        <v>47</v>
      </c>
      <c r="AH12" s="9" t="n"/>
      <c r="AI12" s="18">
        <f>SUM(AF12:AG12)</f>
        <v/>
      </c>
      <c r="AJ12" s="18" t="n">
        <v>3</v>
      </c>
      <c r="AK12" s="18">
        <f>IF(AG12&lt;=17,"0",IF(AI12&lt;=39,"0",IF(AI12&lt;=49,"4",IF(AI12&lt;=54,"5",IF(AI12&lt;=59,"6",IF(AI12&lt;=69,"7",IF(AI12&lt;=79,"8",IF(AI12&lt;=89,"9","10"))))))))</f>
        <v/>
      </c>
      <c r="AL12" s="18">
        <f>IF(AG12&lt;=17,"F",IF(AI12&lt;=39,"F",IF(AI12&lt;=49,"P",IF(AI12&lt;=54,"C",IF(AI12&lt;=59,"B",IF(AI12&lt;=69,"B+",IF(AI12&lt;=79,"A",IF(AI12&lt;=89,"A+","O"))))))))</f>
        <v/>
      </c>
      <c r="AM12" s="18">
        <f>AJ12*AK12</f>
        <v/>
      </c>
      <c r="AN12" s="18" t="n"/>
      <c r="AO12" s="46" t="n">
        <v>50</v>
      </c>
      <c r="AP12" s="46" t="n">
        <v>44</v>
      </c>
      <c r="AQ12" s="9" t="n"/>
      <c r="AR12" s="18">
        <f>(AO12+AP12)</f>
        <v/>
      </c>
      <c r="AS12" s="18" t="n">
        <v>3</v>
      </c>
      <c r="AT12" s="18">
        <f>IF(AP12&lt;=17,"0",IF(AR12&lt;=39,"0",IF(AR12&lt;=49,"4",IF(AR12&lt;=54,"5",IF(AR12&lt;=59,"6",IF(AR12&lt;=69,"7",IF(AR12&lt;=79,"8",IF(AR12&lt;=89,"9","10"))))))))</f>
        <v/>
      </c>
      <c r="AU12" s="18">
        <f>IF(AP12&lt;=17,"F",IF(AR12&lt;=39,"F",IF(AR12&lt;=49,"P",IF(AR12&lt;=54,"C",IF(AR12&lt;=59,"B",IF(AR12&lt;=69,"B+",IF(AR12&lt;=79,"A",IF(AR12&lt;=89,"A+","O"))))))))</f>
        <v/>
      </c>
      <c r="AV12" s="18">
        <f>AS12*AT12</f>
        <v/>
      </c>
      <c r="AW12" s="18" t="n"/>
      <c r="AX12" s="9" t="n">
        <v>50</v>
      </c>
      <c r="AY12" s="9" t="n">
        <v>37</v>
      </c>
      <c r="AZ12" s="9" t="n"/>
      <c r="BA12" s="18">
        <f>(AX12+AY12)</f>
        <v/>
      </c>
      <c r="BB12" s="18" t="n">
        <v>1</v>
      </c>
      <c r="BC12" s="18">
        <f>IF(AY12&lt;=17,"0",IF(BA12&lt;=39,"0",IF(BA12&lt;=49,"4",IF(BA12&lt;=54,"5",IF(BA12&lt;=59,"6",IF(BA12&lt;=69,"7",IF(BA12&lt;=79,"8",IF(BA12&lt;=89,"9","10"))))))))</f>
        <v/>
      </c>
      <c r="BD12" s="18">
        <f>IF(AY12&lt;=17,"F",IF(BA12&lt;=39,"F",IF(BA12&lt;=49,"P",IF(BA12&lt;=54,"C",IF(BA12&lt;=59,"B",IF(BA12&lt;=69,"B+",IF(BA12&lt;=79,"A",IF(BA12&lt;=89,"A+","O"))))))))</f>
        <v/>
      </c>
      <c r="BE12" s="18">
        <f>BB12*BC12</f>
        <v/>
      </c>
      <c r="BF12" s="43" t="inlineStr">
        <is>
          <t>Samskrutika Kannada</t>
        </is>
      </c>
      <c r="BG12" s="9" t="n">
        <v>50</v>
      </c>
      <c r="BH12" s="9" t="n">
        <v>36</v>
      </c>
      <c r="BI12" s="9" t="n"/>
      <c r="BJ12" s="18">
        <f>(BG12+BH12)</f>
        <v/>
      </c>
      <c r="BK12" s="18" t="n">
        <v>1</v>
      </c>
      <c r="BL12" s="18">
        <f>IF(BH12&lt;=17,"0",IF(BJ12&lt;=39,"0",IF(BJ12&lt;=49,"4",IF(BJ12&lt;=54,"5",IF(BJ12&lt;=59,"6",IF(BJ12&lt;=69,"7",IF(BJ12&lt;=79,"8",IF(BJ12&lt;=89,"9","10"))))))))</f>
        <v/>
      </c>
      <c r="BM12" s="18">
        <f>IF(BH12&lt;=17,"F",IF(BJ12&lt;=39,"F",IF(BJ12&lt;=49,"P",IF(BJ12&lt;=54,"C",IF(BJ12&lt;=59,"B",IF(BJ12&lt;=69,"B+",IF(BJ12&lt;=79,"A",IF(BJ12&lt;=89,"A+","O"))))))))</f>
        <v/>
      </c>
      <c r="BN12" s="18">
        <f>BK12*BL12</f>
        <v/>
      </c>
      <c r="BO12" s="18" t="n"/>
      <c r="BP12" s="9" t="n">
        <v>50</v>
      </c>
      <c r="BQ12" s="9" t="n">
        <v>40</v>
      </c>
      <c r="BR12" s="9" t="n"/>
      <c r="BS12" s="18">
        <f>(BP12+BQ12)</f>
        <v/>
      </c>
      <c r="BT12" s="18" t="n">
        <v>1</v>
      </c>
      <c r="BU12" s="18">
        <f>IF(BQ12&lt;=17,"0",IF(BS12&lt;=39,"0",IF(BS12&lt;=49,"4",IF(BS12&lt;=54,"5",IF(BS12&lt;=59,"6",IF(BS12&lt;=69,"7",IF(BS12&lt;=79,"8",IF(BS12&lt;=89,"9","10"))))))))</f>
        <v/>
      </c>
      <c r="BV12" s="18">
        <f>IF(BQ12&lt;=17,"F",IF(BS12&lt;=39,"F",IF(BS12&lt;=49,"P",IF(BS12&lt;=54,"C",IF(BS12&lt;=59,"B",IF(BS12&lt;=69,"B+",IF(BS12&lt;=79,"A",IF(BS12&lt;=89,"A+","O"))))))))</f>
        <v/>
      </c>
      <c r="BW12" s="18">
        <f>BT12*BU12</f>
        <v/>
      </c>
      <c r="BX12" s="18" t="n"/>
      <c r="BY12" s="18" t="n"/>
      <c r="BZ12" s="18">
        <f>L12+U12+AD12+AM12+AV12+BE12+BN12+BW12</f>
        <v/>
      </c>
      <c r="CA12" s="19">
        <f>BZ12/20</f>
        <v/>
      </c>
      <c r="CB12" s="28">
        <f>IF(CA12&lt;4,"F",IF(BV12="F","F",IF(BM12="F","F",IF(BD12="F","F",IF(AU12="F","F",IF(AL12="F","F",IF(AC12="F","F",IF(T12="F","F",IF(K12="F","F",IF(CA12&lt;=5,"C",IF(CA12&lt;6,"B",IF(CA12&lt;7,"B+",IF(CA12&lt;8,"A",IF(CA12&lt;=9,"A+","O"))))))))))))))</f>
        <v/>
      </c>
      <c r="CC12" s="27">
        <f>CA12*9.5</f>
        <v/>
      </c>
      <c r="CD12" s="27" t="n"/>
      <c r="CE12" s="28">
        <f>SUM(BS12,BJ12,BA12,AR12,AI12,Z12,Q12,H12)</f>
        <v/>
      </c>
      <c r="CF12" s="28">
        <f>(CE12/800)*100</f>
        <v/>
      </c>
      <c r="CG12" s="27" t="n"/>
      <c r="CH12" s="27" t="n"/>
      <c r="CI12" s="27">
        <f>IF(CA12&lt;=4,"F",IF(CA12&lt;=6,"PASS",IF(CA12&lt;=6.5,"SC",IF(CA12&lt;=7.5,"FC",IF(CA12&lt;="10","FCD")))))</f>
        <v/>
      </c>
      <c r="CJ12" s="1" t="n">
        <v>9.699999999999999</v>
      </c>
      <c r="CK12" s="1" t="n">
        <v>9.300000000000001</v>
      </c>
    </row>
    <row r="13" ht="15.75" customHeight="1">
      <c r="A13" s="35">
        <f>A12+1</f>
        <v/>
      </c>
      <c r="B13" s="37" t="inlineStr">
        <is>
          <t>1BI22CD049</t>
        </is>
      </c>
      <c r="C13" s="44" t="inlineStr">
        <is>
          <t>SHEEWAM KUMAR</t>
        </is>
      </c>
      <c r="D13" s="47" t="inlineStr">
        <is>
          <t>D</t>
        </is>
      </c>
      <c r="E13" s="9" t="n">
        <v>47</v>
      </c>
      <c r="F13" s="9" t="n">
        <v>50</v>
      </c>
      <c r="G13" s="9" t="n"/>
      <c r="H13" s="18">
        <f>SUM(E13:F13)</f>
        <v/>
      </c>
      <c r="I13" s="18" t="n">
        <v>4</v>
      </c>
      <c r="J13" s="18">
        <f>IF(F13&lt;=17,"0",IF(H13&lt;=39,"0",IF(H13&lt;=49,"4",IF(H13&lt;=54,"5",IF(H13&lt;=59,"6",IF(H13&lt;=69,"7",IF(H13&lt;=79,"8",IF(H13&lt;=89,"9","10"))))))))</f>
        <v/>
      </c>
      <c r="K13" s="18">
        <f>IF(F13&lt;=17,"F",IF(H13&lt;=39,"F",IF(H13&lt;=49,"P",IF(H13&lt;=54,"C",IF(H13&lt;=59,"B",IF(H13&lt;=69,"B+",IF(H13&lt;=79,"A",IF(H13&lt;=89,"A+","O"))))))))</f>
        <v/>
      </c>
      <c r="L13" s="18">
        <f>I13*J13</f>
        <v/>
      </c>
      <c r="M13" s="18" t="n"/>
      <c r="N13" s="9" t="n">
        <v>45</v>
      </c>
      <c r="O13" s="9" t="n">
        <v>47</v>
      </c>
      <c r="P13" s="9" t="n"/>
      <c r="Q13" s="18">
        <f>SUM(N13:O13)</f>
        <v/>
      </c>
      <c r="R13" s="18" t="n">
        <v>4</v>
      </c>
      <c r="S13" s="18">
        <f>IF(O13&lt;=17,"0",IF(Q13&lt;=39,"4",IF(Q13&lt;=49,"4",IF(Q13&lt;=54,"5",IF(Q13&lt;=59,"6",IF(Q13&lt;=69,"7",IF(Q13&lt;=79,"8",IF(Q13&lt;=89,"9","10"))))))))</f>
        <v/>
      </c>
      <c r="T13" s="18">
        <f>IF(O13&lt;=17,"F",IF(Q13&lt;=39,"F",IF(Q13&lt;=49,"P",IF(Q13&lt;=54,"C",IF(Q13&lt;=59,"B",IF(Q13&lt;=69,"B+",IF(Q13&lt;=79,"A",IF(Q13&lt;=89,"A+","O"))))))))</f>
        <v/>
      </c>
      <c r="U13" s="18">
        <f>R13*S13</f>
        <v/>
      </c>
      <c r="V13" s="18" t="n"/>
      <c r="W13" s="9" t="n">
        <v>50</v>
      </c>
      <c r="X13" s="9" t="n">
        <v>50</v>
      </c>
      <c r="Y13" s="18" t="n"/>
      <c r="Z13" s="18">
        <f>SUM(W13:X13)</f>
        <v/>
      </c>
      <c r="AA13" s="18" t="n">
        <v>3</v>
      </c>
      <c r="AB13" s="18">
        <f>IF(X13&lt;=17,"0",IF(Z13&lt;=39,"0",IF(Z13&lt;=49,"4",IF(Z13&lt;=54,"5",IF(Z13&lt;=59,"6",IF(Z13&lt;=69,"7",IF(Z13&lt;=79,"8",IF(Z13&lt;=89,"9","10"))))))))</f>
        <v/>
      </c>
      <c r="AC13" s="18">
        <f>IF(X13&lt;=17,"F",IF(Z13&lt;=39,"F",IF(Z13&lt;=49,"P",IF(Z13&lt;=54,"C",IF(Z13&lt;=59,"B",IF(Z13&lt;=69,"B+",IF(Z13&lt;=79,"A",IF(Z13&lt;=89,"A+","O"))))))))</f>
        <v/>
      </c>
      <c r="AD13" s="18">
        <f>AA13*AB13</f>
        <v/>
      </c>
      <c r="AE13" s="18" t="n"/>
      <c r="AF13" s="46" t="n">
        <v>50</v>
      </c>
      <c r="AG13" s="46" t="n">
        <v>46</v>
      </c>
      <c r="AH13" s="9" t="n"/>
      <c r="AI13" s="18">
        <f>SUM(AF13:AG13)</f>
        <v/>
      </c>
      <c r="AJ13" s="18" t="n">
        <v>3</v>
      </c>
      <c r="AK13" s="18">
        <f>IF(AG13&lt;=17,"0",IF(AI13&lt;=39,"0",IF(AI13&lt;=49,"4",IF(AI13&lt;=54,"5",IF(AI13&lt;=59,"6",IF(AI13&lt;=69,"7",IF(AI13&lt;=79,"8",IF(AI13&lt;=89,"9","10"))))))))</f>
        <v/>
      </c>
      <c r="AL13" s="18">
        <f>IF(AG13&lt;=17,"F",IF(AI13&lt;=39,"F",IF(AI13&lt;=49,"P",IF(AI13&lt;=54,"C",IF(AI13&lt;=59,"B",IF(AI13&lt;=69,"B+",IF(AI13&lt;=79,"A",IF(AI13&lt;=89,"A+","O"))))))))</f>
        <v/>
      </c>
      <c r="AM13" s="18">
        <f>AJ13*AK13</f>
        <v/>
      </c>
      <c r="AN13" s="18" t="n"/>
      <c r="AO13" s="46" t="n">
        <v>50</v>
      </c>
      <c r="AP13" s="46" t="n">
        <v>38</v>
      </c>
      <c r="AQ13" s="9" t="n"/>
      <c r="AR13" s="18">
        <f>(AO13+AP13)</f>
        <v/>
      </c>
      <c r="AS13" s="18" t="n">
        <v>3</v>
      </c>
      <c r="AT13" s="18">
        <f>IF(AP13&lt;=17,"0",IF(AR13&lt;=39,"0",IF(AR13&lt;=49,"4",IF(AR13&lt;=54,"5",IF(AR13&lt;=59,"6",IF(AR13&lt;=69,"7",IF(AR13&lt;=79,"8",IF(AR13&lt;=89,"9","10"))))))))</f>
        <v/>
      </c>
      <c r="AU13" s="18">
        <f>IF(AP13&lt;=17,"F",IF(AR13&lt;=39,"F",IF(AR13&lt;=49,"P",IF(AR13&lt;=54,"C",IF(AR13&lt;=59,"B",IF(AR13&lt;=69,"B+",IF(AR13&lt;=79,"A",IF(AR13&lt;=89,"A+","O"))))))))</f>
        <v/>
      </c>
      <c r="AV13" s="18">
        <f>AS13*AT13</f>
        <v/>
      </c>
      <c r="AW13" s="18" t="n"/>
      <c r="AX13" s="9" t="n">
        <v>45</v>
      </c>
      <c r="AY13" s="9" t="n">
        <v>41</v>
      </c>
      <c r="AZ13" s="9" t="n"/>
      <c r="BA13" s="18">
        <f>(AX13+AY13)</f>
        <v/>
      </c>
      <c r="BB13" s="18" t="n">
        <v>1</v>
      </c>
      <c r="BC13" s="18">
        <f>IF(AY13&lt;=17,"0",IF(BA13&lt;=39,"0",IF(BA13&lt;=49,"4",IF(BA13&lt;=54,"5",IF(BA13&lt;=59,"6",IF(BA13&lt;=69,"7",IF(BA13&lt;=79,"8",IF(BA13&lt;=89,"9","10"))))))))</f>
        <v/>
      </c>
      <c r="BD13" s="18">
        <f>IF(AY13&lt;=17,"F",IF(BA13&lt;=39,"F",IF(BA13&lt;=49,"P",IF(BA13&lt;=54,"C",IF(BA13&lt;=59,"B",IF(BA13&lt;=69,"B+",IF(BA13&lt;=79,"A",IF(BA13&lt;=89,"A+","O"))))))))</f>
        <v/>
      </c>
      <c r="BE13" s="18">
        <f>BB13*BC13</f>
        <v/>
      </c>
      <c r="BF13" s="43" t="inlineStr">
        <is>
          <t>Balake Kannada</t>
        </is>
      </c>
      <c r="BG13" s="9" t="n">
        <v>49</v>
      </c>
      <c r="BH13" s="9" t="n">
        <v>36</v>
      </c>
      <c r="BI13" s="9" t="n"/>
      <c r="BJ13" s="18">
        <f>(BG13+BH13)</f>
        <v/>
      </c>
      <c r="BK13" s="18" t="n">
        <v>1</v>
      </c>
      <c r="BL13" s="18">
        <f>IF(BH13&lt;=17,"0",IF(BJ13&lt;=39,"0",IF(BJ13&lt;=49,"4",IF(BJ13&lt;=54,"5",IF(BJ13&lt;=59,"6",IF(BJ13&lt;=69,"7",IF(BJ13&lt;=79,"8",IF(BJ13&lt;=89,"9","10"))))))))</f>
        <v/>
      </c>
      <c r="BM13" s="18">
        <f>IF(BH13&lt;=17,"F",IF(BJ13&lt;=39,"F",IF(BJ13&lt;=49,"P",IF(BJ13&lt;=54,"C",IF(BJ13&lt;=59,"B",IF(BJ13&lt;=69,"B+",IF(BJ13&lt;=79,"A",IF(BJ13&lt;=89,"A+","O"))))))))</f>
        <v/>
      </c>
      <c r="BN13" s="18">
        <f>BK13*BL13</f>
        <v/>
      </c>
      <c r="BO13" s="18" t="n"/>
      <c r="BP13" s="9" t="n">
        <v>46</v>
      </c>
      <c r="BQ13" s="9" t="n">
        <v>38</v>
      </c>
      <c r="BR13" s="9" t="n"/>
      <c r="BS13" s="18">
        <f>(BP13+BQ13)</f>
        <v/>
      </c>
      <c r="BT13" s="18" t="n">
        <v>1</v>
      </c>
      <c r="BU13" s="18">
        <f>IF(BQ13&lt;=17,"0",IF(BS13&lt;=39,"0",IF(BS13&lt;=49,"4",IF(BS13&lt;=54,"5",IF(BS13&lt;=59,"6",IF(BS13&lt;=69,"7",IF(BS13&lt;=79,"8",IF(BS13&lt;=89,"9","10"))))))))</f>
        <v/>
      </c>
      <c r="BV13" s="18">
        <f>IF(BQ13&lt;=17,"F",IF(BS13&lt;=39,"F",IF(BS13&lt;=49,"P",IF(BS13&lt;=54,"C",IF(BS13&lt;=59,"B",IF(BS13&lt;=69,"B+",IF(BS13&lt;=79,"A",IF(BS13&lt;=89,"A+","O"))))))))</f>
        <v/>
      </c>
      <c r="BW13" s="18">
        <f>BT13*BU13</f>
        <v/>
      </c>
      <c r="BX13" s="18" t="n"/>
      <c r="BY13" s="18" t="n"/>
      <c r="BZ13" s="18">
        <f>L13+U13+AD13+AM13+AV13+BE13+BN13+BW13</f>
        <v/>
      </c>
      <c r="CA13" s="19">
        <f>BZ13/20</f>
        <v/>
      </c>
      <c r="CB13" s="28">
        <f>IF(CA13&lt;4,"F",IF(BV13="F","F",IF(BM13="F","F",IF(BD13="F","F",IF(AU13="F","F",IF(AL13="F","F",IF(AC13="F","F",IF(T13="F","F",IF(K13="F","F",IF(CA13&lt;=5,"C",IF(CA13&lt;6,"B",IF(CA13&lt;7,"B+",IF(CA13&lt;8,"A",IF(CA13&lt;=9,"A+","O"))))))))))))))</f>
        <v/>
      </c>
      <c r="CC13" s="27">
        <f>CA13*9.5</f>
        <v/>
      </c>
      <c r="CD13" s="27" t="n"/>
      <c r="CE13" s="28">
        <f>SUM(BS13,BJ13,BA13,AR13,AI13,Z13,Q13,H13)</f>
        <v/>
      </c>
      <c r="CF13" s="28">
        <f>(CE13/800)*100</f>
        <v/>
      </c>
      <c r="CG13" s="27" t="n"/>
      <c r="CH13" s="27" t="n"/>
      <c r="CI13" s="27">
        <f>IF(CA13&lt;=4,"F",IF(CA13&lt;=6,"PASS",IF(CA13&lt;=6.5,"SC",IF(CA13&lt;=7.5,"FC",IF(CA13&lt;="10","FCD")))))</f>
        <v/>
      </c>
      <c r="CJ13" s="1" t="n">
        <v>9.699999999999999</v>
      </c>
    </row>
    <row r="14" ht="15.75" customHeight="1">
      <c r="A14" s="35">
        <f>A13+1</f>
        <v/>
      </c>
      <c r="B14" s="37" t="inlineStr">
        <is>
          <t>1BI22CD023</t>
        </is>
      </c>
      <c r="C14" s="44" t="inlineStr">
        <is>
          <t>M KRITHIKA</t>
        </is>
      </c>
      <c r="D14" s="47" t="inlineStr">
        <is>
          <t>D</t>
        </is>
      </c>
      <c r="E14" s="9" t="n">
        <v>50</v>
      </c>
      <c r="F14" s="9" t="n">
        <v>49</v>
      </c>
      <c r="G14" s="9" t="n"/>
      <c r="H14" s="18">
        <f>SUM(E14:F14)</f>
        <v/>
      </c>
      <c r="I14" s="18" t="n">
        <v>4</v>
      </c>
      <c r="J14" s="18">
        <f>IF(F14&lt;=17,"0",IF(H14&lt;=39,"0",IF(H14&lt;=49,"4",IF(H14&lt;=54,"5",IF(H14&lt;=59,"6",IF(H14&lt;=69,"7",IF(H14&lt;=79,"8",IF(H14&lt;=89,"9","10"))))))))</f>
        <v/>
      </c>
      <c r="K14" s="18">
        <f>IF(F14&lt;=17,"F",IF(H14&lt;=39,"F",IF(H14&lt;=49,"P",IF(H14&lt;=54,"C",IF(H14&lt;=59,"B",IF(H14&lt;=69,"B+",IF(H14&lt;=79,"A",IF(H14&lt;=89,"A+","O"))))))))</f>
        <v/>
      </c>
      <c r="L14" s="18">
        <f>I14*J14</f>
        <v/>
      </c>
      <c r="M14" s="18" t="n"/>
      <c r="N14" s="9" t="n">
        <v>50</v>
      </c>
      <c r="O14" s="9" t="n">
        <v>41</v>
      </c>
      <c r="P14" s="9" t="n"/>
      <c r="Q14" s="18">
        <f>SUM(N14:O14)</f>
        <v/>
      </c>
      <c r="R14" s="18" t="n">
        <v>4</v>
      </c>
      <c r="S14" s="18">
        <f>IF(O14&lt;=17,"0",IF(Q14&lt;=39,"4",IF(Q14&lt;=49,"4",IF(Q14&lt;=54,"5",IF(Q14&lt;=59,"6",IF(Q14&lt;=69,"7",IF(Q14&lt;=79,"8",IF(Q14&lt;=89,"9","10"))))))))</f>
        <v/>
      </c>
      <c r="T14" s="18">
        <f>IF(O14&lt;=17,"F",IF(Q14&lt;=39,"F",IF(Q14&lt;=49,"P",IF(Q14&lt;=54,"C",IF(Q14&lt;=59,"B",IF(Q14&lt;=69,"B+",IF(Q14&lt;=79,"A",IF(Q14&lt;=89,"A+","O"))))))))</f>
        <v/>
      </c>
      <c r="U14" s="18">
        <f>R14*S14</f>
        <v/>
      </c>
      <c r="V14" s="18" t="n"/>
      <c r="W14" s="9" t="n">
        <v>50</v>
      </c>
      <c r="X14" s="9" t="n">
        <v>44</v>
      </c>
      <c r="Y14" s="18" t="n"/>
      <c r="Z14" s="18">
        <f>SUM(W14:X14)</f>
        <v/>
      </c>
      <c r="AA14" s="18" t="n">
        <v>3</v>
      </c>
      <c r="AB14" s="18">
        <f>IF(X14&lt;=17,"0",IF(Z14&lt;=39,"0",IF(Z14&lt;=49,"4",IF(Z14&lt;=54,"5",IF(Z14&lt;=59,"6",IF(Z14&lt;=69,"7",IF(Z14&lt;=79,"8",IF(Z14&lt;=89,"9","10"))))))))</f>
        <v/>
      </c>
      <c r="AC14" s="18">
        <f>IF(X14&lt;=17,"F",IF(Z14&lt;=39,"F",IF(Z14&lt;=49,"P",IF(Z14&lt;=54,"C",IF(Z14&lt;=59,"B",IF(Z14&lt;=69,"B+",IF(Z14&lt;=79,"A",IF(Z14&lt;=89,"A+","O"))))))))</f>
        <v/>
      </c>
      <c r="AD14" s="18">
        <f>AA14*AB14</f>
        <v/>
      </c>
      <c r="AE14" s="18" t="n"/>
      <c r="AF14" s="46" t="n">
        <v>50</v>
      </c>
      <c r="AG14" s="46" t="n">
        <v>39</v>
      </c>
      <c r="AH14" s="9" t="n"/>
      <c r="AI14" s="18">
        <f>SUM(AF14:AG14)</f>
        <v/>
      </c>
      <c r="AJ14" s="18" t="n">
        <v>3</v>
      </c>
      <c r="AK14" s="18">
        <f>IF(AG14&lt;=17,"0",IF(AI14&lt;=39,"0",IF(AI14&lt;=49,"4",IF(AI14&lt;=54,"5",IF(AI14&lt;=59,"6",IF(AI14&lt;=69,"7",IF(AI14&lt;=79,"8",IF(AI14&lt;=89,"9","10"))))))))</f>
        <v/>
      </c>
      <c r="AL14" s="18">
        <f>IF(AG14&lt;=17,"F",IF(AI14&lt;=39,"F",IF(AI14&lt;=49,"P",IF(AI14&lt;=54,"C",IF(AI14&lt;=59,"B",IF(AI14&lt;=69,"B+",IF(AI14&lt;=79,"A",IF(AI14&lt;=89,"A+","O"))))))))</f>
        <v/>
      </c>
      <c r="AM14" s="18">
        <f>AJ14*AK14</f>
        <v/>
      </c>
      <c r="AN14" s="18" t="n"/>
      <c r="AO14" s="46" t="n">
        <v>50</v>
      </c>
      <c r="AP14" s="46" t="n">
        <v>23</v>
      </c>
      <c r="AQ14" s="9" t="n"/>
      <c r="AR14" s="18">
        <f>(AO14+AP14)</f>
        <v/>
      </c>
      <c r="AS14" s="18" t="n">
        <v>3</v>
      </c>
      <c r="AT14" s="18">
        <f>IF(AP14&lt;=17,"0",IF(AR14&lt;=39,"0",IF(AR14&lt;=49,"4",IF(AR14&lt;=54,"5",IF(AR14&lt;=59,"6",IF(AR14&lt;=69,"7",IF(AR14&lt;=79,"8",IF(AR14&lt;=89,"9","10"))))))))</f>
        <v/>
      </c>
      <c r="AU14" s="18">
        <f>IF(AP14&lt;=17,"F",IF(AR14&lt;=39,"F",IF(AR14&lt;=49,"P",IF(AR14&lt;=54,"C",IF(AR14&lt;=59,"B",IF(AR14&lt;=69,"B+",IF(AR14&lt;=79,"A",IF(AR14&lt;=89,"A+","O"))))))))</f>
        <v/>
      </c>
      <c r="AV14" s="18">
        <f>AS14*AT14</f>
        <v/>
      </c>
      <c r="AW14" s="18" t="n"/>
      <c r="AX14" s="9" t="n">
        <v>50</v>
      </c>
      <c r="AY14" s="9" t="n">
        <v>40</v>
      </c>
      <c r="AZ14" s="9" t="n"/>
      <c r="BA14" s="18">
        <f>(AX14+AY14)</f>
        <v/>
      </c>
      <c r="BB14" s="18" t="n">
        <v>1</v>
      </c>
      <c r="BC14" s="18">
        <f>IF(AY14&lt;=17,"0",IF(BA14&lt;=39,"0",IF(BA14&lt;=49,"4",IF(BA14&lt;=54,"5",IF(BA14&lt;=59,"6",IF(BA14&lt;=69,"7",IF(BA14&lt;=79,"8",IF(BA14&lt;=89,"9","10"))))))))</f>
        <v/>
      </c>
      <c r="BD14" s="18">
        <f>IF(AY14&lt;=17,"F",IF(BA14&lt;=39,"F",IF(BA14&lt;=49,"P",IF(BA14&lt;=54,"C",IF(BA14&lt;=59,"B",IF(BA14&lt;=69,"B+",IF(BA14&lt;=79,"A",IF(BA14&lt;=89,"A+","O"))))))))</f>
        <v/>
      </c>
      <c r="BE14" s="18">
        <f>BB14*BC14</f>
        <v/>
      </c>
      <c r="BF14" s="43" t="inlineStr">
        <is>
          <t>Balake Kannada</t>
        </is>
      </c>
      <c r="BG14" s="9" t="n">
        <v>50</v>
      </c>
      <c r="BH14" s="9" t="n">
        <v>49</v>
      </c>
      <c r="BI14" s="9" t="n"/>
      <c r="BJ14" s="18">
        <f>(BG14+BH14)</f>
        <v/>
      </c>
      <c r="BK14" s="18" t="n">
        <v>1</v>
      </c>
      <c r="BL14" s="18">
        <f>IF(BH14&lt;=17,"0",IF(BJ14&lt;=39,"0",IF(BJ14&lt;=49,"4",IF(BJ14&lt;=54,"5",IF(BJ14&lt;=59,"6",IF(BJ14&lt;=69,"7",IF(BJ14&lt;=79,"8",IF(BJ14&lt;=89,"9","10"))))))))</f>
        <v/>
      </c>
      <c r="BM14" s="18">
        <f>IF(BH14&lt;=17,"F",IF(BJ14&lt;=39,"F",IF(BJ14&lt;=49,"P",IF(BJ14&lt;=54,"C",IF(BJ14&lt;=59,"B",IF(BJ14&lt;=69,"B+",IF(BJ14&lt;=79,"A",IF(BJ14&lt;=89,"A+","O"))))))))</f>
        <v/>
      </c>
      <c r="BN14" s="18">
        <f>BK14*BL14</f>
        <v/>
      </c>
      <c r="BO14" s="18" t="n"/>
      <c r="BP14" s="9" t="n">
        <v>50</v>
      </c>
      <c r="BQ14" s="9" t="n">
        <v>43</v>
      </c>
      <c r="BR14" s="9" t="n"/>
      <c r="BS14" s="18">
        <f>(BP14+BQ14)</f>
        <v/>
      </c>
      <c r="BT14" s="18" t="n">
        <v>1</v>
      </c>
      <c r="BU14" s="18">
        <f>IF(BQ14&lt;=17,"0",IF(BS14&lt;=39,"0",IF(BS14&lt;=49,"4",IF(BS14&lt;=54,"5",IF(BS14&lt;=59,"6",IF(BS14&lt;=69,"7",IF(BS14&lt;=79,"8",IF(BS14&lt;=89,"9","10"))))))))</f>
        <v/>
      </c>
      <c r="BV14" s="18">
        <f>IF(BQ14&lt;=17,"F",IF(BS14&lt;=39,"F",IF(BS14&lt;=49,"P",IF(BS14&lt;=54,"C",IF(BS14&lt;=59,"B",IF(BS14&lt;=69,"B+",IF(BS14&lt;=79,"A",IF(BS14&lt;=89,"A+","O"))))))))</f>
        <v/>
      </c>
      <c r="BW14" s="18">
        <f>BT14*BU14</f>
        <v/>
      </c>
      <c r="BX14" s="18" t="n"/>
      <c r="BY14" s="18" t="n"/>
      <c r="BZ14" s="18">
        <f>L14+U14+AD14+AM14+AV14+BE14+BN14+BW14</f>
        <v/>
      </c>
      <c r="CA14" s="19">
        <f>BZ14/20</f>
        <v/>
      </c>
      <c r="CB14" s="28">
        <f>IF(CA14&lt;4,"F",IF(BV14="F","F",IF(BM14="F","F",IF(BD14="F","F",IF(AU14="F","F",IF(AL14="F","F",IF(AC14="F","F",IF(T14="F","F",IF(K14="F","F",IF(CA14&lt;=5,"C",IF(CA14&lt;6,"B",IF(CA14&lt;7,"B+",IF(CA14&lt;8,"A",IF(CA14&lt;=9,"A+","O"))))))))))))))</f>
        <v/>
      </c>
      <c r="CC14" s="27">
        <f>CA14*9.5</f>
        <v/>
      </c>
      <c r="CD14" s="27" t="n"/>
      <c r="CE14" s="28">
        <f>SUM(BS14,BJ14,BA14,AR14,AI14,Z14,Q14,H14)</f>
        <v/>
      </c>
      <c r="CF14" s="28">
        <f>(CE14/800)*100</f>
        <v/>
      </c>
      <c r="CG14" s="27" t="n"/>
      <c r="CH14" s="27" t="n"/>
      <c r="CI14" s="27">
        <f>IF(CA14&lt;=4,"F",IF(CA14&lt;=6,"PASS",IF(CA14&lt;=6.5,"SC",IF(CA14&lt;=7.5,"FC",IF(CA14&lt;="10","FCD")))))</f>
        <v/>
      </c>
      <c r="CJ14" s="1" t="n">
        <v>9.5</v>
      </c>
      <c r="CK14" s="1" t="n">
        <v>9.15</v>
      </c>
    </row>
    <row r="15" ht="15.75" customHeight="1">
      <c r="A15" s="35">
        <f>A14+1</f>
        <v/>
      </c>
      <c r="B15" s="37" t="inlineStr">
        <is>
          <t>1BI22CD034</t>
        </is>
      </c>
      <c r="C15" s="44" t="inlineStr">
        <is>
          <t>PRIYANKA S</t>
        </is>
      </c>
      <c r="D15" s="47" t="inlineStr">
        <is>
          <t>D</t>
        </is>
      </c>
      <c r="E15" s="9" t="n">
        <v>49</v>
      </c>
      <c r="F15" s="9" t="n">
        <v>39</v>
      </c>
      <c r="G15" s="9" t="n"/>
      <c r="H15" s="18">
        <f>SUM(E15:F15)</f>
        <v/>
      </c>
      <c r="I15" s="18" t="n">
        <v>4</v>
      </c>
      <c r="J15" s="18">
        <f>IF(F15&lt;=17,"0",IF(H15&lt;=39,"0",IF(H15&lt;=49,"4",IF(H15&lt;=54,"5",IF(H15&lt;=59,"6",IF(H15&lt;=69,"7",IF(H15&lt;=79,"8",IF(H15&lt;=89,"9","10"))))))))</f>
        <v/>
      </c>
      <c r="K15" s="18">
        <f>IF(F15&lt;=17,"F",IF(H15&lt;=39,"F",IF(H15&lt;=49,"P",IF(H15&lt;=54,"C",IF(H15&lt;=59,"B",IF(H15&lt;=69,"B+",IF(H15&lt;=79,"A",IF(H15&lt;=89,"A+","O"))))))))</f>
        <v/>
      </c>
      <c r="L15" s="18">
        <f>I15*J15</f>
        <v/>
      </c>
      <c r="M15" s="18" t="n"/>
      <c r="N15" s="9" t="n">
        <v>48</v>
      </c>
      <c r="O15" s="9" t="n">
        <v>43</v>
      </c>
      <c r="P15" s="9" t="n"/>
      <c r="Q15" s="18">
        <f>SUM(N15:O15)</f>
        <v/>
      </c>
      <c r="R15" s="18" t="n">
        <v>4</v>
      </c>
      <c r="S15" s="18">
        <f>IF(O15&lt;=17,"0",IF(Q15&lt;=39,"4",IF(Q15&lt;=49,"4",IF(Q15&lt;=54,"5",IF(Q15&lt;=59,"6",IF(Q15&lt;=69,"7",IF(Q15&lt;=79,"8",IF(Q15&lt;=89,"9","10"))))))))</f>
        <v/>
      </c>
      <c r="T15" s="18">
        <f>IF(O15&lt;=17,"F",IF(Q15&lt;=39,"F",IF(Q15&lt;=49,"P",IF(Q15&lt;=54,"C",IF(Q15&lt;=59,"B",IF(Q15&lt;=69,"B+",IF(Q15&lt;=79,"A",IF(Q15&lt;=89,"A+","O"))))))))</f>
        <v/>
      </c>
      <c r="U15" s="18">
        <f>R15*S15</f>
        <v/>
      </c>
      <c r="V15" s="18" t="n"/>
      <c r="W15" s="9" t="n">
        <v>48</v>
      </c>
      <c r="X15" s="9" t="n">
        <v>39</v>
      </c>
      <c r="Y15" s="18" t="n"/>
      <c r="Z15" s="18">
        <f>SUM(W15:X15)</f>
        <v/>
      </c>
      <c r="AA15" s="18" t="n">
        <v>3</v>
      </c>
      <c r="AB15" s="18">
        <f>IF(X15&lt;=17,"0",IF(Z15&lt;=39,"0",IF(Z15&lt;=49,"4",IF(Z15&lt;=54,"5",IF(Z15&lt;=59,"6",IF(Z15&lt;=69,"7",IF(Z15&lt;=79,"8",IF(Z15&lt;=89,"9","10"))))))))</f>
        <v/>
      </c>
      <c r="AC15" s="18">
        <f>IF(X15&lt;=17,"F",IF(Z15&lt;=39,"F",IF(Z15&lt;=49,"P",IF(Z15&lt;=54,"C",IF(Z15&lt;=59,"B",IF(Z15&lt;=69,"B+",IF(Z15&lt;=79,"A",IF(Z15&lt;=89,"A+","O"))))))))</f>
        <v/>
      </c>
      <c r="AD15" s="18">
        <f>AA15*AB15</f>
        <v/>
      </c>
      <c r="AE15" s="18" t="n"/>
      <c r="AF15" s="46" t="n">
        <v>44</v>
      </c>
      <c r="AG15" s="46" t="n">
        <v>48</v>
      </c>
      <c r="AH15" s="9" t="n"/>
      <c r="AI15" s="18">
        <f>SUM(AF15:AG15)</f>
        <v/>
      </c>
      <c r="AJ15" s="18" t="n">
        <v>3</v>
      </c>
      <c r="AK15" s="18">
        <f>IF(AG15&lt;=17,"0",IF(AI15&lt;=39,"0",IF(AI15&lt;=49,"4",IF(AI15&lt;=54,"5",IF(AI15&lt;=59,"6",IF(AI15&lt;=69,"7",IF(AI15&lt;=79,"8",IF(AI15&lt;=89,"9","10"))))))))</f>
        <v/>
      </c>
      <c r="AL15" s="18">
        <f>IF(AG15&lt;=17,"F",IF(AI15&lt;=39,"F",IF(AI15&lt;=49,"P",IF(AI15&lt;=54,"C",IF(AI15&lt;=59,"B",IF(AI15&lt;=69,"B+",IF(AI15&lt;=79,"A",IF(AI15&lt;=89,"A+","O"))))))))</f>
        <v/>
      </c>
      <c r="AM15" s="18">
        <f>AJ15*AK15</f>
        <v/>
      </c>
      <c r="AN15" s="18" t="n"/>
      <c r="AO15" s="46" t="n">
        <v>49</v>
      </c>
      <c r="AP15" s="46" t="n">
        <v>42</v>
      </c>
      <c r="AQ15" s="9" t="n"/>
      <c r="AR15" s="18">
        <f>(AO15+AP15)</f>
        <v/>
      </c>
      <c r="AS15" s="18" t="n">
        <v>3</v>
      </c>
      <c r="AT15" s="18">
        <f>IF(AP15&lt;=17,"0",IF(AR15&lt;=39,"0",IF(AR15&lt;=49,"4",IF(AR15&lt;=54,"5",IF(AR15&lt;=59,"6",IF(AR15&lt;=69,"7",IF(AR15&lt;=79,"8",IF(AR15&lt;=89,"9","10"))))))))</f>
        <v/>
      </c>
      <c r="AU15" s="18">
        <f>IF(AP15&lt;=17,"F",IF(AR15&lt;=39,"F",IF(AR15&lt;=49,"P",IF(AR15&lt;=54,"C",IF(AR15&lt;=59,"B",IF(AR15&lt;=69,"B+",IF(AR15&lt;=79,"A",IF(AR15&lt;=89,"A+","O"))))))))</f>
        <v/>
      </c>
      <c r="AV15" s="18">
        <f>AS15*AT15</f>
        <v/>
      </c>
      <c r="AW15" s="18" t="n"/>
      <c r="AX15" s="9" t="n">
        <v>46</v>
      </c>
      <c r="AY15" s="9" t="n">
        <v>33</v>
      </c>
      <c r="AZ15" s="9" t="n"/>
      <c r="BA15" s="18">
        <f>(AX15+AY15)</f>
        <v/>
      </c>
      <c r="BB15" s="18" t="n">
        <v>1</v>
      </c>
      <c r="BC15" s="18">
        <f>IF(AY15&lt;=17,"0",IF(BA15&lt;=39,"0",IF(BA15&lt;=49,"4",IF(BA15&lt;=54,"5",IF(BA15&lt;=59,"6",IF(BA15&lt;=69,"7",IF(BA15&lt;=79,"8",IF(BA15&lt;=89,"9","10"))))))))</f>
        <v/>
      </c>
      <c r="BD15" s="18">
        <f>IF(AY15&lt;=17,"F",IF(BA15&lt;=39,"F",IF(BA15&lt;=49,"P",IF(BA15&lt;=54,"C",IF(BA15&lt;=59,"B",IF(BA15&lt;=69,"B+",IF(BA15&lt;=79,"A",IF(BA15&lt;=89,"A+","O"))))))))</f>
        <v/>
      </c>
      <c r="BE15" s="18">
        <f>BB15*BC15</f>
        <v/>
      </c>
      <c r="BF15" s="43" t="inlineStr">
        <is>
          <t>Samskrutika Kannada</t>
        </is>
      </c>
      <c r="BG15" s="9" t="n">
        <v>46</v>
      </c>
      <c r="BH15" s="9" t="n">
        <v>44</v>
      </c>
      <c r="BI15" s="9" t="n"/>
      <c r="BJ15" s="18">
        <f>(BG15+BH15)</f>
        <v/>
      </c>
      <c r="BK15" s="18" t="n">
        <v>1</v>
      </c>
      <c r="BL15" s="18">
        <f>IF(BH15&lt;=17,"0",IF(BJ15&lt;=39,"0",IF(BJ15&lt;=49,"4",IF(BJ15&lt;=54,"5",IF(BJ15&lt;=59,"6",IF(BJ15&lt;=69,"7",IF(BJ15&lt;=79,"8",IF(BJ15&lt;=89,"9","10"))))))))</f>
        <v/>
      </c>
      <c r="BM15" s="18">
        <f>IF(BH15&lt;=17,"F",IF(BJ15&lt;=39,"F",IF(BJ15&lt;=49,"P",IF(BJ15&lt;=54,"C",IF(BJ15&lt;=59,"B",IF(BJ15&lt;=69,"B+",IF(BJ15&lt;=79,"A",IF(BJ15&lt;=89,"A+","O"))))))))</f>
        <v/>
      </c>
      <c r="BN15" s="18">
        <f>BK15*BL15</f>
        <v/>
      </c>
      <c r="BO15" s="18" t="n"/>
      <c r="BP15" s="9" t="n">
        <v>45</v>
      </c>
      <c r="BQ15" s="9" t="n">
        <v>35</v>
      </c>
      <c r="BR15" s="9" t="n"/>
      <c r="BS15" s="18">
        <f>(BP15+BQ15)</f>
        <v/>
      </c>
      <c r="BT15" s="18" t="n">
        <v>1</v>
      </c>
      <c r="BU15" s="18">
        <f>IF(BQ15&lt;=17,"0",IF(BS15&lt;=39,"0",IF(BS15&lt;=49,"4",IF(BS15&lt;=54,"5",IF(BS15&lt;=59,"6",IF(BS15&lt;=69,"7",IF(BS15&lt;=79,"8",IF(BS15&lt;=89,"9","10"))))))))</f>
        <v/>
      </c>
      <c r="BV15" s="18">
        <f>IF(BQ15&lt;=17,"F",IF(BS15&lt;=39,"F",IF(BS15&lt;=49,"P",IF(BS15&lt;=54,"C",IF(BS15&lt;=59,"B",IF(BS15&lt;=69,"B+",IF(BS15&lt;=79,"A",IF(BS15&lt;=89,"A+","O"))))))))</f>
        <v/>
      </c>
      <c r="BW15" s="18">
        <f>BT15*BU15</f>
        <v/>
      </c>
      <c r="BX15" s="18" t="n"/>
      <c r="BY15" s="18" t="n"/>
      <c r="BZ15" s="18">
        <f>L15+U15+AD15+AM15+AV15+BE15+BN15+BW15</f>
        <v/>
      </c>
      <c r="CA15" s="19">
        <f>BZ15/20</f>
        <v/>
      </c>
      <c r="CB15" s="28">
        <f>IF(CA15&lt;4,"F",IF(BV15="F","F",IF(BM15="F","F",IF(BD15="F","F",IF(AU15="F","F",IF(AL15="F","F",IF(AC15="F","F",IF(T15="F","F",IF(K15="F","F",IF(CA15&lt;=5,"C",IF(CA15&lt;6,"B",IF(CA15&lt;7,"B+",IF(CA15&lt;8,"A",IF(CA15&lt;=9,"A+","O"))))))))))))))</f>
        <v/>
      </c>
      <c r="CC15" s="27">
        <f>CA15*9.5</f>
        <v/>
      </c>
      <c r="CD15" s="27" t="n"/>
      <c r="CE15" s="28">
        <f>SUM(BS15,BJ15,BA15,AR15,AI15,Z15,Q15,H15)</f>
        <v/>
      </c>
      <c r="CF15" s="28">
        <f>(CE15/800)*100</f>
        <v/>
      </c>
      <c r="CG15" s="27" t="n"/>
      <c r="CH15" s="27" t="n"/>
      <c r="CI15" s="27">
        <f>IF(CA15&lt;=4,"F",IF(CA15&lt;=6,"PASS",IF(CA15&lt;=6.5,"SC",IF(CA15&lt;=7.5,"FC",IF(CA15&lt;="10","FCD")))))</f>
        <v/>
      </c>
    </row>
    <row r="16" ht="15.75" customFormat="1" customHeight="1" s="59">
      <c r="A16" s="35" t="n">
        <v>55</v>
      </c>
      <c r="B16" s="37" t="inlineStr">
        <is>
          <t>1BI22CD055</t>
        </is>
      </c>
      <c r="C16" s="44" t="inlineStr">
        <is>
          <t>SURAJ A R</t>
        </is>
      </c>
      <c r="D16" s="47" t="inlineStr">
        <is>
          <t>D</t>
        </is>
      </c>
      <c r="E16" s="9" t="n">
        <v>50</v>
      </c>
      <c r="F16" s="9" t="n">
        <v>49</v>
      </c>
      <c r="G16" s="9" t="n"/>
      <c r="H16" s="18">
        <f>SUM(E16:F16)</f>
        <v/>
      </c>
      <c r="I16" s="18" t="n">
        <v>4</v>
      </c>
      <c r="J16" s="18">
        <f>IF(F16&lt;=17,"0",IF(H16&lt;=39,"0",IF(H16&lt;=49,"4",IF(H16&lt;=54,"5",IF(H16&lt;=59,"6",IF(H16&lt;=69,"7",IF(H16&lt;=79,"8",IF(H16&lt;=89,"9","10"))))))))</f>
        <v/>
      </c>
      <c r="K16" s="18">
        <f>IF(F16&lt;=17,"F",IF(H16&lt;=39,"F",IF(H16&lt;=49,"P",IF(H16&lt;=54,"C",IF(H16&lt;=59,"B",IF(H16&lt;=69,"B+",IF(H16&lt;=79,"A",IF(H16&lt;=89,"A+","O"))))))))</f>
        <v/>
      </c>
      <c r="L16" s="18">
        <f>I16*J16</f>
        <v/>
      </c>
      <c r="M16" s="18" t="n"/>
      <c r="N16" s="9" t="n">
        <v>48</v>
      </c>
      <c r="O16" s="9" t="n">
        <v>36</v>
      </c>
      <c r="P16" s="9" t="n"/>
      <c r="Q16" s="18">
        <f>SUM(N16:O16)</f>
        <v/>
      </c>
      <c r="R16" s="18" t="n">
        <v>4</v>
      </c>
      <c r="S16" s="18">
        <f>IF(O16&lt;=17,"0",IF(Q16&lt;=39,"4",IF(Q16&lt;=49,"4",IF(Q16&lt;=54,"5",IF(Q16&lt;=59,"6",IF(Q16&lt;=69,"7",IF(Q16&lt;=79,"8",IF(Q16&lt;=89,"9","10"))))))))</f>
        <v/>
      </c>
      <c r="T16" s="18">
        <f>IF(O16&lt;=17,"F",IF(Q16&lt;=39,"F",IF(Q16&lt;=49,"P",IF(Q16&lt;=54,"C",IF(Q16&lt;=59,"B",IF(Q16&lt;=69,"B+",IF(Q16&lt;=79,"A",IF(Q16&lt;=89,"A+","O"))))))))</f>
        <v/>
      </c>
      <c r="U16" s="18">
        <f>R16*S16</f>
        <v/>
      </c>
      <c r="V16" s="18" t="n"/>
      <c r="W16" s="9" t="n">
        <v>49</v>
      </c>
      <c r="X16" s="9" t="n">
        <v>49</v>
      </c>
      <c r="Y16" s="18" t="n"/>
      <c r="Z16" s="18">
        <f>SUM(W16:X16)</f>
        <v/>
      </c>
      <c r="AA16" s="18" t="n">
        <v>3</v>
      </c>
      <c r="AB16" s="18">
        <f>IF(X16&lt;=17,"0",IF(Z16&lt;=39,"0",IF(Z16&lt;=49,"4",IF(Z16&lt;=54,"5",IF(Z16&lt;=59,"6",IF(Z16&lt;=69,"7",IF(Z16&lt;=79,"8",IF(Z16&lt;=89,"9","10"))))))))</f>
        <v/>
      </c>
      <c r="AC16" s="18">
        <f>IF(X16&lt;=17,"F",IF(Z16&lt;=39,"F",IF(Z16&lt;=49,"P",IF(Z16&lt;=54,"C",IF(Z16&lt;=59,"B",IF(Z16&lt;=69,"B+",IF(Z16&lt;=79,"A",IF(Z16&lt;=89,"A+","O"))))))))</f>
        <v/>
      </c>
      <c r="AD16" s="18">
        <f>AA16*AB16</f>
        <v/>
      </c>
      <c r="AE16" s="18" t="n"/>
      <c r="AF16" s="46" t="n">
        <v>50</v>
      </c>
      <c r="AG16" s="46" t="n">
        <v>48</v>
      </c>
      <c r="AH16" s="9" t="n"/>
      <c r="AI16" s="18">
        <f>SUM(AF16:AG16)</f>
        <v/>
      </c>
      <c r="AJ16" s="18" t="n">
        <v>3</v>
      </c>
      <c r="AK16" s="18">
        <f>IF(AG16&lt;=17,"0",IF(AI16&lt;=39,"0",IF(AI16&lt;=49,"4",IF(AI16&lt;=54,"5",IF(AI16&lt;=59,"6",IF(AI16&lt;=69,"7",IF(AI16&lt;=79,"8",IF(AI16&lt;=89,"9","10"))))))))</f>
        <v/>
      </c>
      <c r="AL16" s="18">
        <f>IF(AG16&lt;=17,"F",IF(AI16&lt;=39,"F",IF(AI16&lt;=49,"P",IF(AI16&lt;=54,"C",IF(AI16&lt;=59,"B",IF(AI16&lt;=69,"B+",IF(AI16&lt;=79,"A",IF(AI16&lt;=89,"A+","O"))))))))</f>
        <v/>
      </c>
      <c r="AM16" s="18">
        <f>AJ16*AK16</f>
        <v/>
      </c>
      <c r="AN16" s="18" t="n"/>
      <c r="AO16" s="46" t="n">
        <v>50</v>
      </c>
      <c r="AP16" s="46" t="n">
        <v>38</v>
      </c>
      <c r="AQ16" s="9" t="n"/>
      <c r="AR16" s="18">
        <f>(AO16+AP16)</f>
        <v/>
      </c>
      <c r="AS16" s="18" t="n">
        <v>3</v>
      </c>
      <c r="AT16" s="18">
        <f>IF(AP16&lt;=17,"0",IF(AR16&lt;=39,"0",IF(AR16&lt;=49,"4",IF(AR16&lt;=54,"5",IF(AR16&lt;=59,"6",IF(AR16&lt;=69,"7",IF(AR16&lt;=79,"8",IF(AR16&lt;=89,"9","10"))))))))</f>
        <v/>
      </c>
      <c r="AU16" s="18">
        <f>IF(AP16&lt;=17,"F",IF(AR16&lt;=39,"F",IF(AR16&lt;=49,"P",IF(AR16&lt;=54,"C",IF(AR16&lt;=59,"B",IF(AR16&lt;=69,"B+",IF(AR16&lt;=79,"A",IF(AR16&lt;=89,"A+","O"))))))))</f>
        <v/>
      </c>
      <c r="AV16" s="18">
        <f>AS16*AT16</f>
        <v/>
      </c>
      <c r="AW16" s="18" t="n"/>
      <c r="AX16" s="9" t="n">
        <v>48</v>
      </c>
      <c r="AY16" s="9" t="n">
        <v>34</v>
      </c>
      <c r="AZ16" s="9" t="n"/>
      <c r="BA16" s="18">
        <f>(AX16+AY16)</f>
        <v/>
      </c>
      <c r="BB16" s="18" t="n">
        <v>1</v>
      </c>
      <c r="BC16" s="18">
        <f>IF(AY16&lt;=17,"0",IF(BA16&lt;=39,"0",IF(BA16&lt;=49,"4",IF(BA16&lt;=54,"5",IF(BA16&lt;=59,"6",IF(BA16&lt;=69,"7",IF(BA16&lt;=79,"8",IF(BA16&lt;=89,"9","10"))))))))</f>
        <v/>
      </c>
      <c r="BD16" s="18">
        <f>IF(AY16&lt;=17,"F",IF(BA16&lt;=39,"F",IF(BA16&lt;=49,"P",IF(BA16&lt;=54,"C",IF(BA16&lt;=59,"B",IF(BA16&lt;=69,"B+",IF(BA16&lt;=79,"A",IF(BA16&lt;=89,"A+","O"))))))))</f>
        <v/>
      </c>
      <c r="BE16" s="18">
        <f>BB16*BC16</f>
        <v/>
      </c>
      <c r="BF16" s="43" t="inlineStr">
        <is>
          <t>Samskrutika Kannada</t>
        </is>
      </c>
      <c r="BG16" s="9" t="n">
        <v>45</v>
      </c>
      <c r="BH16" s="9" t="n">
        <v>28</v>
      </c>
      <c r="BI16" s="9" t="n"/>
      <c r="BJ16" s="18">
        <f>(BG16+BH16)</f>
        <v/>
      </c>
      <c r="BK16" s="18" t="n">
        <v>1</v>
      </c>
      <c r="BL16" s="18">
        <f>IF(BH16&lt;=17,"0",IF(BJ16&lt;=39,"0",IF(BJ16&lt;=49,"4",IF(BJ16&lt;=54,"5",IF(BJ16&lt;=59,"6",IF(BJ16&lt;=69,"7",IF(BJ16&lt;=79,"8",IF(BJ16&lt;=89,"9","10"))))))))</f>
        <v/>
      </c>
      <c r="BM16" s="18">
        <f>IF(BH16&lt;=17,"F",IF(BJ16&lt;=39,"F",IF(BJ16&lt;=49,"P",IF(BJ16&lt;=54,"C",IF(BJ16&lt;=59,"B",IF(BJ16&lt;=69,"B+",IF(BJ16&lt;=79,"A",IF(BJ16&lt;=89,"A+","O"))))))))</f>
        <v/>
      </c>
      <c r="BN16" s="18">
        <f>BK16*BL16</f>
        <v/>
      </c>
      <c r="BO16" s="18" t="n"/>
      <c r="BP16" s="9" t="n">
        <v>42</v>
      </c>
      <c r="BQ16" s="9" t="n">
        <v>38</v>
      </c>
      <c r="BR16" s="9" t="n"/>
      <c r="BS16" s="18">
        <f>(BP16+BQ16)</f>
        <v/>
      </c>
      <c r="BT16" s="18" t="n">
        <v>1</v>
      </c>
      <c r="BU16" s="18">
        <f>IF(BQ16&lt;=17,"0",IF(BS16&lt;=39,"0",IF(BS16&lt;=49,"4",IF(BS16&lt;=54,"5",IF(BS16&lt;=59,"6",IF(BS16&lt;=69,"7",IF(BS16&lt;=79,"8",IF(BS16&lt;=89,"9","10"))))))))</f>
        <v/>
      </c>
      <c r="BV16" s="18">
        <f>IF(BQ16&lt;=17,"F",IF(BS16&lt;=39,"F",IF(BS16&lt;=49,"P",IF(BS16&lt;=54,"C",IF(BS16&lt;=59,"B",IF(BS16&lt;=69,"B+",IF(BS16&lt;=79,"A",IF(BS16&lt;=89,"A+","O"))))))))</f>
        <v/>
      </c>
      <c r="BW16" s="18">
        <f>BT16*BU16</f>
        <v/>
      </c>
      <c r="BX16" s="18" t="n"/>
      <c r="BY16" s="18" t="n"/>
      <c r="BZ16" s="18">
        <f>L16+U16+AD16+AM16+AV16+BE16+BN16+BW16</f>
        <v/>
      </c>
      <c r="CA16" s="19">
        <f>BZ16/20</f>
        <v/>
      </c>
      <c r="CB16" s="28">
        <f>IF(CA16&lt;4,"F",IF(BV16="F","F",IF(BM16="F","F",IF(BD16="F","F",IF(AU16="F","F",IF(AL16="F","F",IF(AC16="F","F",IF(T16="F","F",IF(K16="F","F",IF(CA16&lt;=5,"C",IF(CA16&lt;6,"B",IF(CA16&lt;7,"B+",IF(CA16&lt;8,"A",IF(CA16&lt;=9,"A+","O"))))))))))))))</f>
        <v/>
      </c>
      <c r="CC16" s="27">
        <f>CA16*9.5</f>
        <v/>
      </c>
      <c r="CD16" s="27" t="n"/>
      <c r="CE16" s="28">
        <f>SUM(BS16,BJ16,BA16,AR16,AI16,Z16,Q16,H16)</f>
        <v/>
      </c>
      <c r="CF16" s="28">
        <f>(CE16/800)*100</f>
        <v/>
      </c>
      <c r="CG16" s="27" t="n"/>
      <c r="CH16" s="27" t="n"/>
      <c r="CI16" s="27">
        <f>IF(CA16&lt;=4,"F",IF(CA16&lt;=6,"PASS",IF(CA16&lt;=6.5,"SC",IF(CA16&lt;=7.5,"FC",IF(CA16&lt;="10","FCD")))))</f>
        <v/>
      </c>
      <c r="CJ16" s="1" t="n"/>
      <c r="CK16" s="1" t="n"/>
    </row>
    <row r="17" ht="15.75" customHeight="1">
      <c r="A17" s="35">
        <f>A16+1</f>
        <v/>
      </c>
      <c r="B17" s="37" t="inlineStr">
        <is>
          <t>1BI22CD031</t>
        </is>
      </c>
      <c r="C17" s="44" t="inlineStr">
        <is>
          <t>PRANAV GUPTA</t>
        </is>
      </c>
      <c r="D17" s="47" t="inlineStr">
        <is>
          <t>D</t>
        </is>
      </c>
      <c r="E17" s="9" t="n">
        <v>50</v>
      </c>
      <c r="F17" s="9" t="n">
        <v>46</v>
      </c>
      <c r="G17" s="9" t="n"/>
      <c r="H17" s="18">
        <f>SUM(E17:F17)</f>
        <v/>
      </c>
      <c r="I17" s="18" t="n">
        <v>4</v>
      </c>
      <c r="J17" s="18">
        <f>IF(F17&lt;=17,"0",IF(H17&lt;=39,"0",IF(H17&lt;=49,"4",IF(H17&lt;=54,"5",IF(H17&lt;=59,"6",IF(H17&lt;=69,"7",IF(H17&lt;=79,"8",IF(H17&lt;=89,"9","10"))))))))</f>
        <v/>
      </c>
      <c r="K17" s="18">
        <f>IF(F17&lt;=17,"F",IF(H17&lt;=39,"F",IF(H17&lt;=49,"P",IF(H17&lt;=54,"C",IF(H17&lt;=59,"B",IF(H17&lt;=69,"B+",IF(H17&lt;=79,"A",IF(H17&lt;=89,"A+","O"))))))))</f>
        <v/>
      </c>
      <c r="L17" s="18">
        <f>I17*J17</f>
        <v/>
      </c>
      <c r="M17" s="18" t="n"/>
      <c r="N17" s="9" t="n">
        <v>46</v>
      </c>
      <c r="O17" s="9" t="n">
        <v>34</v>
      </c>
      <c r="P17" s="9" t="n"/>
      <c r="Q17" s="18">
        <f>SUM(N17:O17)</f>
        <v/>
      </c>
      <c r="R17" s="18" t="n">
        <v>4</v>
      </c>
      <c r="S17" s="18">
        <f>IF(O17&lt;=17,"0",IF(Q17&lt;=39,"4",IF(Q17&lt;=49,"4",IF(Q17&lt;=54,"5",IF(Q17&lt;=59,"6",IF(Q17&lt;=69,"7",IF(Q17&lt;=79,"8",IF(Q17&lt;=89,"9","10"))))))))</f>
        <v/>
      </c>
      <c r="T17" s="18">
        <f>IF(O17&lt;=17,"F",IF(Q17&lt;=39,"F",IF(Q17&lt;=49,"P",IF(Q17&lt;=54,"C",IF(Q17&lt;=59,"B",IF(Q17&lt;=69,"B+",IF(Q17&lt;=79,"A",IF(Q17&lt;=89,"A+","O"))))))))</f>
        <v/>
      </c>
      <c r="U17" s="18">
        <f>R17*S17</f>
        <v/>
      </c>
      <c r="V17" s="18" t="n"/>
      <c r="W17" s="9" t="n">
        <v>44</v>
      </c>
      <c r="X17" s="9" t="n">
        <v>49</v>
      </c>
      <c r="Y17" s="18" t="n"/>
      <c r="Z17" s="18">
        <f>SUM(W17:X17)</f>
        <v/>
      </c>
      <c r="AA17" s="18" t="n">
        <v>3</v>
      </c>
      <c r="AB17" s="18">
        <f>IF(X17&lt;=17,"0",IF(Z17&lt;=39,"0",IF(Z17&lt;=49,"4",IF(Z17&lt;=54,"5",IF(Z17&lt;=59,"6",IF(Z17&lt;=69,"7",IF(Z17&lt;=79,"8",IF(Z17&lt;=89,"9","10"))))))))</f>
        <v/>
      </c>
      <c r="AC17" s="18">
        <f>IF(X17&lt;=17,"F",IF(Z17&lt;=39,"F",IF(Z17&lt;=49,"P",IF(Z17&lt;=54,"C",IF(Z17&lt;=59,"B",IF(Z17&lt;=69,"B+",IF(Z17&lt;=79,"A",IF(Z17&lt;=89,"A+","O"))))))))</f>
        <v/>
      </c>
      <c r="AD17" s="18">
        <f>AA17*AB17</f>
        <v/>
      </c>
      <c r="AE17" s="18" t="n"/>
      <c r="AF17" s="46" t="n">
        <v>41</v>
      </c>
      <c r="AG17" s="46" t="n">
        <v>43</v>
      </c>
      <c r="AH17" s="9" t="n"/>
      <c r="AI17" s="18">
        <f>SUM(AF17:AG17)</f>
        <v/>
      </c>
      <c r="AJ17" s="18" t="n">
        <v>3</v>
      </c>
      <c r="AK17" s="18">
        <f>IF(AG17&lt;=17,"0",IF(AI17&lt;=39,"0",IF(AI17&lt;=49,"4",IF(AI17&lt;=54,"5",IF(AI17&lt;=59,"6",IF(AI17&lt;=69,"7",IF(AI17&lt;=79,"8",IF(AI17&lt;=89,"9","10"))))))))</f>
        <v/>
      </c>
      <c r="AL17" s="18">
        <f>IF(AG17&lt;=17,"F",IF(AI17&lt;=39,"F",IF(AI17&lt;=49,"P",IF(AI17&lt;=54,"C",IF(AI17&lt;=59,"B",IF(AI17&lt;=69,"B+",IF(AI17&lt;=79,"A",IF(AI17&lt;=89,"A+","O"))))))))</f>
        <v/>
      </c>
      <c r="AM17" s="18">
        <f>AJ17*AK17</f>
        <v/>
      </c>
      <c r="AN17" s="18" t="n"/>
      <c r="AO17" s="46" t="n">
        <v>49</v>
      </c>
      <c r="AP17" s="46" t="n">
        <v>38</v>
      </c>
      <c r="AQ17" s="9" t="n"/>
      <c r="AR17" s="18">
        <f>(AO17+AP17)</f>
        <v/>
      </c>
      <c r="AS17" s="18" t="n">
        <v>3</v>
      </c>
      <c r="AT17" s="18">
        <f>IF(AP17&lt;=17,"0",IF(AR17&lt;=39,"0",IF(AR17&lt;=49,"4",IF(AR17&lt;=54,"5",IF(AR17&lt;=59,"6",IF(AR17&lt;=69,"7",IF(AR17&lt;=79,"8",IF(AR17&lt;=89,"9","10"))))))))</f>
        <v/>
      </c>
      <c r="AU17" s="18">
        <f>IF(AP17&lt;=17,"F",IF(AR17&lt;=39,"F",IF(AR17&lt;=49,"P",IF(AR17&lt;=54,"C",IF(AR17&lt;=59,"B",IF(AR17&lt;=69,"B+",IF(AR17&lt;=79,"A",IF(AR17&lt;=89,"A+","O"))))))))</f>
        <v/>
      </c>
      <c r="AV17" s="18">
        <f>AS17*AT17</f>
        <v/>
      </c>
      <c r="AW17" s="18" t="n"/>
      <c r="AX17" s="9" t="n">
        <v>46</v>
      </c>
      <c r="AY17" s="9" t="n">
        <v>35</v>
      </c>
      <c r="AZ17" s="9" t="n"/>
      <c r="BA17" s="18">
        <f>(AX17+AY17)</f>
        <v/>
      </c>
      <c r="BB17" s="18" t="n">
        <v>1</v>
      </c>
      <c r="BC17" s="18">
        <f>IF(AY17&lt;=17,"0",IF(BA17&lt;=39,"0",IF(BA17&lt;=49,"4",IF(BA17&lt;=54,"5",IF(BA17&lt;=59,"6",IF(BA17&lt;=69,"7",IF(BA17&lt;=79,"8",IF(BA17&lt;=89,"9","10"))))))))</f>
        <v/>
      </c>
      <c r="BD17" s="18">
        <f>IF(AY17&lt;=17,"F",IF(BA17&lt;=39,"F",IF(BA17&lt;=49,"P",IF(BA17&lt;=54,"C",IF(BA17&lt;=59,"B",IF(BA17&lt;=69,"B+",IF(BA17&lt;=79,"A",IF(BA17&lt;=89,"A+","O"))))))))</f>
        <v/>
      </c>
      <c r="BE17" s="18">
        <f>BB17*BC17</f>
        <v/>
      </c>
      <c r="BF17" s="43" t="inlineStr">
        <is>
          <t>Balake Kannada</t>
        </is>
      </c>
      <c r="BG17" s="9" t="n">
        <v>49</v>
      </c>
      <c r="BH17" s="9" t="n">
        <v>47</v>
      </c>
      <c r="BI17" s="9" t="n"/>
      <c r="BJ17" s="18">
        <f>(BG17+BH17)</f>
        <v/>
      </c>
      <c r="BK17" s="18" t="n">
        <v>1</v>
      </c>
      <c r="BL17" s="18">
        <f>IF(BH17&lt;=17,"0",IF(BJ17&lt;=39,"0",IF(BJ17&lt;=49,"4",IF(BJ17&lt;=54,"5",IF(BJ17&lt;=59,"6",IF(BJ17&lt;=69,"7",IF(BJ17&lt;=79,"8",IF(BJ17&lt;=89,"9","10"))))))))</f>
        <v/>
      </c>
      <c r="BM17" s="18">
        <f>IF(BH17&lt;=17,"F",IF(BJ17&lt;=39,"F",IF(BJ17&lt;=49,"P",IF(BJ17&lt;=54,"C",IF(BJ17&lt;=59,"B",IF(BJ17&lt;=69,"B+",IF(BJ17&lt;=79,"A",IF(BJ17&lt;=89,"A+","O"))))))))</f>
        <v/>
      </c>
      <c r="BN17" s="18">
        <f>BK17*BL17</f>
        <v/>
      </c>
      <c r="BO17" s="18" t="n"/>
      <c r="BP17" s="9" t="n">
        <v>46</v>
      </c>
      <c r="BQ17" s="9" t="n">
        <v>38</v>
      </c>
      <c r="BR17" s="9" t="n"/>
      <c r="BS17" s="18">
        <f>(BP17+BQ17)</f>
        <v/>
      </c>
      <c r="BT17" s="18" t="n">
        <v>1</v>
      </c>
      <c r="BU17" s="18">
        <f>IF(BQ17&lt;=17,"0",IF(BS17&lt;=39,"0",IF(BS17&lt;=49,"4",IF(BS17&lt;=54,"5",IF(BS17&lt;=59,"6",IF(BS17&lt;=69,"7",IF(BS17&lt;=79,"8",IF(BS17&lt;=89,"9","10"))))))))</f>
        <v/>
      </c>
      <c r="BV17" s="18">
        <f>IF(BQ17&lt;=17,"F",IF(BS17&lt;=39,"F",IF(BS17&lt;=49,"P",IF(BS17&lt;=54,"C",IF(BS17&lt;=59,"B",IF(BS17&lt;=69,"B+",IF(BS17&lt;=79,"A",IF(BS17&lt;=89,"A+","O"))))))))</f>
        <v/>
      </c>
      <c r="BW17" s="18">
        <f>BT17*BU17</f>
        <v/>
      </c>
      <c r="BX17" s="18" t="n"/>
      <c r="BY17" s="18" t="n"/>
      <c r="BZ17" s="18">
        <f>L17+U17+AD17+AM17+AV17+BE17+BN17+BW17</f>
        <v/>
      </c>
      <c r="CA17" s="19">
        <f>BZ17/20</f>
        <v/>
      </c>
      <c r="CB17" s="28">
        <f>IF(CA17&lt;4,"F",IF(BV17="F","F",IF(BM17="F","F",IF(BD17="F","F",IF(AU17="F","F",IF(AL17="F","F",IF(AC17="F","F",IF(T17="F","F",IF(K17="F","F",IF(CA17&lt;=5,"C",IF(CA17&lt;6,"B",IF(CA17&lt;7,"B+",IF(CA17&lt;8,"A",IF(CA17&lt;=9,"A+","O"))))))))))))))</f>
        <v/>
      </c>
      <c r="CC17" s="27">
        <f>CA17*9.5</f>
        <v/>
      </c>
      <c r="CD17" s="27" t="n"/>
      <c r="CE17" s="28">
        <f>SUM(BS17,BJ17,BA17,AR17,AI17,Z17,Q17,H17)</f>
        <v/>
      </c>
      <c r="CF17" s="28">
        <f>(CE17/800)*100</f>
        <v/>
      </c>
      <c r="CG17" s="27" t="n"/>
      <c r="CH17" s="27" t="n"/>
      <c r="CI17" s="27">
        <f>IF(CA17&lt;=4,"F",IF(CA17&lt;=6,"PASS",IF(CA17&lt;=6.5,"SC",IF(CA17&lt;=7.5,"FC",IF(CA17&lt;="10","FCD")))))</f>
        <v/>
      </c>
    </row>
    <row r="18" ht="15.75" customHeight="1">
      <c r="A18" s="35">
        <f>A17+1</f>
        <v/>
      </c>
      <c r="B18" s="37" t="inlineStr">
        <is>
          <t>1BI22CD048</t>
        </is>
      </c>
      <c r="C18" s="44" t="inlineStr">
        <is>
          <t>SHASHI KIRAN J</t>
        </is>
      </c>
      <c r="D18" s="47" t="inlineStr">
        <is>
          <t>D</t>
        </is>
      </c>
      <c r="E18" s="9" t="n">
        <v>50</v>
      </c>
      <c r="F18" s="9" t="n">
        <v>50</v>
      </c>
      <c r="G18" s="9" t="n"/>
      <c r="H18" s="18">
        <f>SUM(E18:F18)</f>
        <v/>
      </c>
      <c r="I18" s="18" t="n">
        <v>4</v>
      </c>
      <c r="J18" s="18">
        <f>IF(F18&lt;=17,"0",IF(H18&lt;=39,"0",IF(H18&lt;=49,"4",IF(H18&lt;=54,"5",IF(H18&lt;=59,"6",IF(H18&lt;=69,"7",IF(H18&lt;=79,"8",IF(H18&lt;=89,"9","10"))))))))</f>
        <v/>
      </c>
      <c r="K18" s="18">
        <f>IF(F18&lt;=17,"F",IF(H18&lt;=39,"F",IF(H18&lt;=49,"P",IF(H18&lt;=54,"C",IF(H18&lt;=59,"B",IF(H18&lt;=69,"B+",IF(H18&lt;=79,"A",IF(H18&lt;=89,"A+","O"))))))))</f>
        <v/>
      </c>
      <c r="L18" s="18">
        <f>I18*J18</f>
        <v/>
      </c>
      <c r="M18" s="18" t="n"/>
      <c r="N18" s="9" t="n">
        <v>50</v>
      </c>
      <c r="O18" s="9" t="n">
        <v>37</v>
      </c>
      <c r="P18" s="9" t="n"/>
      <c r="Q18" s="18">
        <f>SUM(N18:O18)</f>
        <v/>
      </c>
      <c r="R18" s="18" t="n">
        <v>4</v>
      </c>
      <c r="S18" s="18">
        <f>IF(O18&lt;=17,"0",IF(Q18&lt;=39,"4",IF(Q18&lt;=49,"4",IF(Q18&lt;=54,"5",IF(Q18&lt;=59,"6",IF(Q18&lt;=69,"7",IF(Q18&lt;=79,"8",IF(Q18&lt;=89,"9","10"))))))))</f>
        <v/>
      </c>
      <c r="T18" s="18">
        <f>IF(O18&lt;=17,"F",IF(Q18&lt;=39,"F",IF(Q18&lt;=49,"P",IF(Q18&lt;=54,"C",IF(Q18&lt;=59,"B",IF(Q18&lt;=69,"B+",IF(Q18&lt;=79,"A",IF(Q18&lt;=89,"A+","O"))))))))</f>
        <v/>
      </c>
      <c r="U18" s="18">
        <f>R18*S18</f>
        <v/>
      </c>
      <c r="V18" s="18" t="n"/>
      <c r="W18" s="9" t="n">
        <v>50</v>
      </c>
      <c r="X18" s="9" t="n">
        <v>49</v>
      </c>
      <c r="Y18" s="18" t="n"/>
      <c r="Z18" s="18">
        <f>SUM(W18:X18)</f>
        <v/>
      </c>
      <c r="AA18" s="18" t="n">
        <v>3</v>
      </c>
      <c r="AB18" s="18">
        <f>IF(X18&lt;=17,"0",IF(Z18&lt;=39,"0",IF(Z18&lt;=49,"4",IF(Z18&lt;=54,"5",IF(Z18&lt;=59,"6",IF(Z18&lt;=69,"7",IF(Z18&lt;=79,"8",IF(Z18&lt;=89,"9","10"))))))))</f>
        <v/>
      </c>
      <c r="AC18" s="18">
        <f>IF(X18&lt;=17,"F",IF(Z18&lt;=39,"F",IF(Z18&lt;=49,"P",IF(Z18&lt;=54,"C",IF(Z18&lt;=59,"B",IF(Z18&lt;=69,"B+",IF(Z18&lt;=79,"A",IF(Z18&lt;=89,"A+","O"))))))))</f>
        <v/>
      </c>
      <c r="AD18" s="18">
        <f>AA18*AB18</f>
        <v/>
      </c>
      <c r="AE18" s="18" t="n"/>
      <c r="AF18" s="46" t="n">
        <v>50</v>
      </c>
      <c r="AG18" s="46" t="n">
        <v>37</v>
      </c>
      <c r="AH18" s="9" t="n"/>
      <c r="AI18" s="18">
        <f>SUM(AF18:AG18)</f>
        <v/>
      </c>
      <c r="AJ18" s="18" t="n">
        <v>3</v>
      </c>
      <c r="AK18" s="18">
        <f>IF(AG18&lt;=17,"0",IF(AI18&lt;=39,"0",IF(AI18&lt;=49,"4",IF(AI18&lt;=54,"5",IF(AI18&lt;=59,"6",IF(AI18&lt;=69,"7",IF(AI18&lt;=79,"8",IF(AI18&lt;=89,"9","10"))))))))</f>
        <v/>
      </c>
      <c r="AL18" s="18">
        <f>IF(AG18&lt;=17,"F",IF(AI18&lt;=39,"F",IF(AI18&lt;=49,"P",IF(AI18&lt;=54,"C",IF(AI18&lt;=59,"B",IF(AI18&lt;=69,"B+",IF(AI18&lt;=79,"A",IF(AI18&lt;=89,"A+","O"))))))))</f>
        <v/>
      </c>
      <c r="AM18" s="18">
        <f>AJ18*AK18</f>
        <v/>
      </c>
      <c r="AN18" s="18" t="n"/>
      <c r="AO18" s="46" t="n">
        <v>50</v>
      </c>
      <c r="AP18" s="46" t="n">
        <v>37</v>
      </c>
      <c r="AQ18" s="9" t="n"/>
      <c r="AR18" s="18">
        <f>(AO18+AP18)</f>
        <v/>
      </c>
      <c r="AS18" s="18" t="n">
        <v>3</v>
      </c>
      <c r="AT18" s="18">
        <f>IF(AP18&lt;=17,"0",IF(AR18&lt;=39,"0",IF(AR18&lt;=49,"4",IF(AR18&lt;=54,"5",IF(AR18&lt;=59,"6",IF(AR18&lt;=69,"7",IF(AR18&lt;=79,"8",IF(AR18&lt;=89,"9","10"))))))))</f>
        <v/>
      </c>
      <c r="AU18" s="18">
        <f>IF(AP18&lt;=17,"F",IF(AR18&lt;=39,"F",IF(AR18&lt;=49,"P",IF(AR18&lt;=54,"C",IF(AR18&lt;=59,"B",IF(AR18&lt;=69,"B+",IF(AR18&lt;=79,"A",IF(AR18&lt;=89,"A+","O"))))))))</f>
        <v/>
      </c>
      <c r="AV18" s="18">
        <f>AS18*AT18</f>
        <v/>
      </c>
      <c r="AW18" s="18" t="n"/>
      <c r="AX18" s="9" t="n">
        <v>50</v>
      </c>
      <c r="AY18" s="9" t="n">
        <v>38</v>
      </c>
      <c r="AZ18" s="9" t="n"/>
      <c r="BA18" s="18">
        <f>(AX18+AY18)</f>
        <v/>
      </c>
      <c r="BB18" s="18" t="n">
        <v>1</v>
      </c>
      <c r="BC18" s="18">
        <f>IF(AY18&lt;=17,"0",IF(BA18&lt;=39,"0",IF(BA18&lt;=49,"4",IF(BA18&lt;=54,"5",IF(BA18&lt;=59,"6",IF(BA18&lt;=69,"7",IF(BA18&lt;=79,"8",IF(BA18&lt;=89,"9","10"))))))))</f>
        <v/>
      </c>
      <c r="BD18" s="18">
        <f>IF(AY18&lt;=17,"F",IF(BA18&lt;=39,"F",IF(BA18&lt;=49,"P",IF(BA18&lt;=54,"C",IF(BA18&lt;=59,"B",IF(BA18&lt;=69,"B+",IF(BA18&lt;=79,"A",IF(BA18&lt;=89,"A+","O"))))))))</f>
        <v/>
      </c>
      <c r="BE18" s="18">
        <f>BB18*BC18</f>
        <v/>
      </c>
      <c r="BF18" s="43" t="inlineStr">
        <is>
          <t>Samskrutika Kannada</t>
        </is>
      </c>
      <c r="BG18" s="9" t="n">
        <v>50</v>
      </c>
      <c r="BH18" s="9" t="n">
        <v>28</v>
      </c>
      <c r="BI18" s="9" t="n"/>
      <c r="BJ18" s="18">
        <f>(BG18+BH18)</f>
        <v/>
      </c>
      <c r="BK18" s="18" t="n">
        <v>1</v>
      </c>
      <c r="BL18" s="18">
        <f>IF(BH18&lt;=17,"0",IF(BJ18&lt;=39,"0",IF(BJ18&lt;=49,"4",IF(BJ18&lt;=54,"5",IF(BJ18&lt;=59,"6",IF(BJ18&lt;=69,"7",IF(BJ18&lt;=79,"8",IF(BJ18&lt;=89,"9","10"))))))))</f>
        <v/>
      </c>
      <c r="BM18" s="18">
        <f>IF(BH18&lt;=17,"F",IF(BJ18&lt;=39,"F",IF(BJ18&lt;=49,"P",IF(BJ18&lt;=54,"C",IF(BJ18&lt;=59,"B",IF(BJ18&lt;=69,"B+",IF(BJ18&lt;=79,"A",IF(BJ18&lt;=89,"A+","O"))))))))</f>
        <v/>
      </c>
      <c r="BN18" s="18">
        <f>BK18*BL18</f>
        <v/>
      </c>
      <c r="BO18" s="18" t="n"/>
      <c r="BP18" s="9" t="n">
        <v>50</v>
      </c>
      <c r="BQ18" s="9" t="n">
        <v>41</v>
      </c>
      <c r="BR18" s="9" t="n"/>
      <c r="BS18" s="18">
        <f>(BP18+BQ18)</f>
        <v/>
      </c>
      <c r="BT18" s="18" t="n">
        <v>1</v>
      </c>
      <c r="BU18" s="18">
        <f>IF(BQ18&lt;=17,"0",IF(BS18&lt;=39,"0",IF(BS18&lt;=49,"4",IF(BS18&lt;=54,"5",IF(BS18&lt;=59,"6",IF(BS18&lt;=69,"7",IF(BS18&lt;=79,"8",IF(BS18&lt;=89,"9","10"))))))))</f>
        <v/>
      </c>
      <c r="BV18" s="18">
        <f>IF(BQ18&lt;=17,"F",IF(BS18&lt;=39,"F",IF(BS18&lt;=49,"P",IF(BS18&lt;=54,"C",IF(BS18&lt;=59,"B",IF(BS18&lt;=69,"B+",IF(BS18&lt;=79,"A",IF(BS18&lt;=89,"A+","O"))))))))</f>
        <v/>
      </c>
      <c r="BW18" s="18">
        <f>BT18*BU18</f>
        <v/>
      </c>
      <c r="BX18" s="18" t="n"/>
      <c r="BY18" s="18" t="n"/>
      <c r="BZ18" s="18">
        <f>L18+U18+AD18+AM18+AV18+BE18+BN18+BW18</f>
        <v/>
      </c>
      <c r="CA18" s="19">
        <f>BZ18/20</f>
        <v/>
      </c>
      <c r="CB18" s="28">
        <f>IF(CA18&lt;4,"F",IF(BV18="F","F",IF(BM18="F","F",IF(BD18="F","F",IF(AU18="F","F",IF(AL18="F","F",IF(AC18="F","F",IF(T18="F","F",IF(K18="F","F",IF(CA18&lt;=5,"C",IF(CA18&lt;6,"B",IF(CA18&lt;7,"B+",IF(CA18&lt;8,"A",IF(CA18&lt;=9,"A+","O"))))))))))))))</f>
        <v/>
      </c>
      <c r="CC18" s="27">
        <f>CA18*9.5</f>
        <v/>
      </c>
      <c r="CD18" s="27" t="n"/>
      <c r="CE18" s="28">
        <f>SUM(BS18,BJ18,BA18,AR18,AI18,Z18,Q18,H18)</f>
        <v/>
      </c>
      <c r="CF18" s="28">
        <f>(CE18/800)*100</f>
        <v/>
      </c>
      <c r="CG18" s="27" t="n"/>
      <c r="CH18" s="27" t="n"/>
      <c r="CI18" s="27">
        <f>IF(CA18&lt;=4,"F",IF(CA18&lt;=6,"PASS",IF(CA18&lt;=6.5,"SC",IF(CA18&lt;=7.5,"FC",IF(CA18&lt;="10","FCD")))))</f>
        <v/>
      </c>
      <c r="CJ18" s="1" t="n">
        <v>9.300000000000001</v>
      </c>
      <c r="CK18" s="1" t="n">
        <v>9.15</v>
      </c>
    </row>
    <row r="19" ht="15.75" customHeight="1">
      <c r="A19" s="35" t="n">
        <v>62</v>
      </c>
      <c r="B19" s="37" t="inlineStr">
        <is>
          <t>1BI22CD062</t>
        </is>
      </c>
      <c r="C19" s="44" t="inlineStr">
        <is>
          <t>VIVEK DESAI</t>
        </is>
      </c>
      <c r="D19" s="47" t="inlineStr">
        <is>
          <t>D</t>
        </is>
      </c>
      <c r="E19" s="9" t="n">
        <v>50</v>
      </c>
      <c r="F19" s="9" t="n">
        <v>43</v>
      </c>
      <c r="G19" s="9" t="n"/>
      <c r="H19" s="18">
        <f>SUM(E19:F19)</f>
        <v/>
      </c>
      <c r="I19" s="18" t="n">
        <v>4</v>
      </c>
      <c r="J19" s="18">
        <f>IF(F19&lt;=17,"0",IF(H19&lt;=39,"0",IF(H19&lt;=49,"4",IF(H19&lt;=54,"5",IF(H19&lt;=59,"6",IF(H19&lt;=69,"7",IF(H19&lt;=79,"8",IF(H19&lt;=89,"9","10"))))))))</f>
        <v/>
      </c>
      <c r="K19" s="18">
        <f>IF(F19&lt;=17,"F",IF(H19&lt;=39,"F",IF(H19&lt;=49,"P",IF(H19&lt;=54,"C",IF(H19&lt;=59,"B",IF(H19&lt;=69,"B+",IF(H19&lt;=79,"A",IF(H19&lt;=89,"A+","O"))))))))</f>
        <v/>
      </c>
      <c r="L19" s="18">
        <f>I19*J19</f>
        <v/>
      </c>
      <c r="M19" s="18" t="n"/>
      <c r="N19" s="9" t="n">
        <v>50</v>
      </c>
      <c r="O19" s="9" t="n">
        <v>38</v>
      </c>
      <c r="P19" s="9" t="n"/>
      <c r="Q19" s="18">
        <f>SUM(N19:O19)</f>
        <v/>
      </c>
      <c r="R19" s="18" t="n">
        <v>4</v>
      </c>
      <c r="S19" s="18">
        <f>IF(O19&lt;=17,"0",IF(Q19&lt;=39,"4",IF(Q19&lt;=49,"4",IF(Q19&lt;=54,"5",IF(Q19&lt;=59,"6",IF(Q19&lt;=69,"7",IF(Q19&lt;=79,"8",IF(Q19&lt;=89,"9","10"))))))))</f>
        <v/>
      </c>
      <c r="T19" s="18">
        <f>IF(O19&lt;=17,"F",IF(Q19&lt;=39,"F",IF(Q19&lt;=49,"P",IF(Q19&lt;=54,"C",IF(Q19&lt;=59,"B",IF(Q19&lt;=69,"B+",IF(Q19&lt;=79,"A",IF(Q19&lt;=89,"A+","O"))))))))</f>
        <v/>
      </c>
      <c r="U19" s="18">
        <f>R19*S19</f>
        <v/>
      </c>
      <c r="V19" s="18" t="n"/>
      <c r="W19" s="9" t="n">
        <v>50</v>
      </c>
      <c r="X19" s="9" t="n">
        <v>48</v>
      </c>
      <c r="Y19" s="18" t="n"/>
      <c r="Z19" s="18">
        <f>SUM(W19:X19)</f>
        <v/>
      </c>
      <c r="AA19" s="18" t="n">
        <v>3</v>
      </c>
      <c r="AB19" s="18">
        <f>IF(X19&lt;=17,"0",IF(Z19&lt;=39,"0",IF(Z19&lt;=49,"4",IF(Z19&lt;=54,"5",IF(Z19&lt;=59,"6",IF(Z19&lt;=69,"7",IF(Z19&lt;=79,"8",IF(Z19&lt;=89,"9","10"))))))))</f>
        <v/>
      </c>
      <c r="AC19" s="18">
        <f>IF(X19&lt;=17,"F",IF(Z19&lt;=39,"F",IF(Z19&lt;=49,"P",IF(Z19&lt;=54,"C",IF(Z19&lt;=59,"B",IF(Z19&lt;=69,"B+",IF(Z19&lt;=79,"A",IF(Z19&lt;=89,"A+","O"))))))))</f>
        <v/>
      </c>
      <c r="AD19" s="18">
        <f>AA19*AB19</f>
        <v/>
      </c>
      <c r="AE19" s="18" t="n"/>
      <c r="AF19" s="46" t="n">
        <v>50</v>
      </c>
      <c r="AG19" s="46" t="n">
        <v>36</v>
      </c>
      <c r="AH19" s="9" t="n"/>
      <c r="AI19" s="18">
        <f>SUM(AF19:AG19)</f>
        <v/>
      </c>
      <c r="AJ19" s="18" t="n">
        <v>3</v>
      </c>
      <c r="AK19" s="18">
        <f>IF(AG19&lt;=17,"0",IF(AI19&lt;=39,"0",IF(AI19&lt;=49,"4",IF(AI19&lt;=54,"5",IF(AI19&lt;=59,"6",IF(AI19&lt;=69,"7",IF(AI19&lt;=79,"8",IF(AI19&lt;=89,"9","10"))))))))</f>
        <v/>
      </c>
      <c r="AL19" s="18">
        <f>IF(AG19&lt;=17,"F",IF(AI19&lt;=39,"F",IF(AI19&lt;=49,"P",IF(AI19&lt;=54,"C",IF(AI19&lt;=59,"B",IF(AI19&lt;=69,"B+",IF(AI19&lt;=79,"A",IF(AI19&lt;=89,"A+","O"))))))))</f>
        <v/>
      </c>
      <c r="AM19" s="18">
        <f>AJ19*AK19</f>
        <v/>
      </c>
      <c r="AN19" s="18" t="n"/>
      <c r="AO19" s="46" t="n">
        <v>50</v>
      </c>
      <c r="AP19" s="46" t="n">
        <v>27</v>
      </c>
      <c r="AQ19" s="9" t="n"/>
      <c r="AR19" s="18">
        <f>(AO19+AP19)</f>
        <v/>
      </c>
      <c r="AS19" s="18" t="n">
        <v>3</v>
      </c>
      <c r="AT19" s="18">
        <f>IF(AP19&lt;=17,"0",IF(AR19&lt;=39,"0",IF(AR19&lt;=49,"4",IF(AR19&lt;=54,"5",IF(AR19&lt;=59,"6",IF(AR19&lt;=69,"7",IF(AR19&lt;=79,"8",IF(AR19&lt;=89,"9","10"))))))))</f>
        <v/>
      </c>
      <c r="AU19" s="18">
        <f>IF(AP19&lt;=17,"F",IF(AR19&lt;=39,"F",IF(AR19&lt;=49,"P",IF(AR19&lt;=54,"C",IF(AR19&lt;=59,"B",IF(AR19&lt;=69,"B+",IF(AR19&lt;=79,"A",IF(AR19&lt;=89,"A+","O"))))))))</f>
        <v/>
      </c>
      <c r="AV19" s="18">
        <f>AS19*AT19</f>
        <v/>
      </c>
      <c r="AW19" s="18" t="n"/>
      <c r="AX19" s="9" t="n">
        <v>50</v>
      </c>
      <c r="AY19" s="9" t="n">
        <v>35</v>
      </c>
      <c r="AZ19" s="9" t="n"/>
      <c r="BA19" s="18">
        <f>(AX19+AY19)</f>
        <v/>
      </c>
      <c r="BB19" s="18" t="n">
        <v>1</v>
      </c>
      <c r="BC19" s="18">
        <f>IF(AY19&lt;=17,"0",IF(BA19&lt;=39,"0",IF(BA19&lt;=49,"4",IF(BA19&lt;=54,"5",IF(BA19&lt;=59,"6",IF(BA19&lt;=69,"7",IF(BA19&lt;=79,"8",IF(BA19&lt;=89,"9","10"))))))))</f>
        <v/>
      </c>
      <c r="BD19" s="18">
        <f>IF(AY19&lt;=17,"F",IF(BA19&lt;=39,"F",IF(BA19&lt;=49,"P",IF(BA19&lt;=54,"C",IF(BA19&lt;=59,"B",IF(BA19&lt;=69,"B+",IF(BA19&lt;=79,"A",IF(BA19&lt;=89,"A+","O"))))))))</f>
        <v/>
      </c>
      <c r="BE19" s="18">
        <f>BB19*BC19</f>
        <v/>
      </c>
      <c r="BF19" s="43" t="inlineStr">
        <is>
          <t>Balake Kannada</t>
        </is>
      </c>
      <c r="BG19" s="9" t="n">
        <v>50</v>
      </c>
      <c r="BH19" s="9" t="n">
        <v>46</v>
      </c>
      <c r="BI19" s="9" t="n"/>
      <c r="BJ19" s="18">
        <f>(BG19+BH19)</f>
        <v/>
      </c>
      <c r="BK19" s="18" t="n">
        <v>1</v>
      </c>
      <c r="BL19" s="18">
        <f>IF(BH19&lt;=17,"0",IF(BJ19&lt;=39,"0",IF(BJ19&lt;=49,"4",IF(BJ19&lt;=54,"5",IF(BJ19&lt;=59,"6",IF(BJ19&lt;=69,"7",IF(BJ19&lt;=79,"8",IF(BJ19&lt;=89,"9","10"))))))))</f>
        <v/>
      </c>
      <c r="BM19" s="18">
        <f>IF(BH19&lt;=17,"F",IF(BJ19&lt;=39,"F",IF(BJ19&lt;=49,"P",IF(BJ19&lt;=54,"C",IF(BJ19&lt;=59,"B",IF(BJ19&lt;=69,"B+",IF(BJ19&lt;=79,"A",IF(BJ19&lt;=89,"A+","O"))))))))</f>
        <v/>
      </c>
      <c r="BN19" s="18">
        <f>BK19*BL19</f>
        <v/>
      </c>
      <c r="BO19" s="18" t="n"/>
      <c r="BP19" s="9" t="n">
        <v>50</v>
      </c>
      <c r="BQ19" s="9" t="n">
        <v>40</v>
      </c>
      <c r="BR19" s="9" t="n"/>
      <c r="BS19" s="18">
        <f>(BP19+BQ19)</f>
        <v/>
      </c>
      <c r="BT19" s="18" t="n">
        <v>1</v>
      </c>
      <c r="BU19" s="18">
        <f>IF(BQ19&lt;=17,"0",IF(BS19&lt;=39,"0",IF(BS19&lt;=49,"4",IF(BS19&lt;=54,"5",IF(BS19&lt;=59,"6",IF(BS19&lt;=69,"7",IF(BS19&lt;=79,"8",IF(BS19&lt;=89,"9","10"))))))))</f>
        <v/>
      </c>
      <c r="BV19" s="18">
        <f>IF(BQ19&lt;=17,"F",IF(BS19&lt;=39,"F",IF(BS19&lt;=49,"P",IF(BS19&lt;=54,"C",IF(BS19&lt;=59,"B",IF(BS19&lt;=69,"B+",IF(BS19&lt;=79,"A",IF(BS19&lt;=89,"A+","O"))))))))</f>
        <v/>
      </c>
      <c r="BW19" s="18">
        <f>BT19*BU19</f>
        <v/>
      </c>
      <c r="BX19" s="18" t="n"/>
      <c r="BY19" s="18" t="n"/>
      <c r="BZ19" s="18">
        <f>L19+U19+AD19+AM19+AV19+BE19+BN19+BW19</f>
        <v/>
      </c>
      <c r="CA19" s="19">
        <f>BZ19/20</f>
        <v/>
      </c>
      <c r="CB19" s="28">
        <f>IF(CA19&lt;4,"F",IF(BV19="F","F",IF(BM19="F","F",IF(BD19="F","F",IF(AU19="F","F",IF(AL19="F","F",IF(AC19="F","F",IF(T19="F","F",IF(K19="F","F",IF(CA19&lt;=5,"C",IF(CA19&lt;6,"B",IF(CA19&lt;7,"B+",IF(CA19&lt;8,"A",IF(CA19&lt;=9,"A+","O"))))))))))))))</f>
        <v/>
      </c>
      <c r="CC19" s="27">
        <f>CA19*9.5</f>
        <v/>
      </c>
      <c r="CD19" s="27" t="n"/>
      <c r="CE19" s="28">
        <f>SUM(BS19,BJ19,BA19,AR19,AI19,Z19,Q19,H19)</f>
        <v/>
      </c>
      <c r="CF19" s="28">
        <f>(CE19/800)*100</f>
        <v/>
      </c>
      <c r="CG19" s="27" t="n"/>
      <c r="CH19" s="27" t="n"/>
      <c r="CI19" s="27">
        <f>IF(CA19&lt;=4,"F",IF(CA19&lt;=6,"PASS",IF(CA19&lt;=6.5,"SC",IF(CA19&lt;=7.5,"FC",IF(CA19&lt;="10","FCD")))))</f>
        <v/>
      </c>
      <c r="CJ19" s="59" t="n"/>
      <c r="CK19" s="59" t="n"/>
    </row>
    <row r="20" ht="15.75" customHeight="1">
      <c r="A20" s="35" t="n">
        <v>58</v>
      </c>
      <c r="B20" s="37" t="inlineStr">
        <is>
          <t>1BI22CD058</t>
        </is>
      </c>
      <c r="C20" s="44" t="inlineStr">
        <is>
          <t>THANYA S</t>
        </is>
      </c>
      <c r="D20" s="47" t="inlineStr">
        <is>
          <t>D</t>
        </is>
      </c>
      <c r="E20" s="9" t="n">
        <v>50</v>
      </c>
      <c r="F20" s="9" t="n">
        <v>43</v>
      </c>
      <c r="G20" s="9" t="n"/>
      <c r="H20" s="18">
        <f>SUM(E20:F20)</f>
        <v/>
      </c>
      <c r="I20" s="18" t="n">
        <v>4</v>
      </c>
      <c r="J20" s="18">
        <f>IF(F20&lt;=17,"0",IF(H20&lt;=39,"0",IF(H20&lt;=49,"4",IF(H20&lt;=54,"5",IF(H20&lt;=59,"6",IF(H20&lt;=69,"7",IF(H20&lt;=79,"8",IF(H20&lt;=89,"9","10"))))))))</f>
        <v/>
      </c>
      <c r="K20" s="18">
        <f>IF(F20&lt;=17,"F",IF(H20&lt;=39,"F",IF(H20&lt;=49,"P",IF(H20&lt;=54,"C",IF(H20&lt;=59,"B",IF(H20&lt;=69,"B+",IF(H20&lt;=79,"A",IF(H20&lt;=89,"A+","O"))))))))</f>
        <v/>
      </c>
      <c r="L20" s="18">
        <f>I20*J20</f>
        <v/>
      </c>
      <c r="M20" s="18" t="n"/>
      <c r="N20" s="9" t="n">
        <v>50</v>
      </c>
      <c r="O20" s="9" t="n">
        <v>46</v>
      </c>
      <c r="P20" s="9" t="n"/>
      <c r="Q20" s="18">
        <f>SUM(N20:O20)</f>
        <v/>
      </c>
      <c r="R20" s="18" t="n">
        <v>4</v>
      </c>
      <c r="S20" s="18">
        <f>IF(O20&lt;=17,"0",IF(Q20&lt;=39,"4",IF(Q20&lt;=49,"4",IF(Q20&lt;=54,"5",IF(Q20&lt;=59,"6",IF(Q20&lt;=69,"7",IF(Q20&lt;=79,"8",IF(Q20&lt;=89,"9","10"))))))))</f>
        <v/>
      </c>
      <c r="T20" s="18">
        <f>IF(O20&lt;=17,"F",IF(Q20&lt;=39,"F",IF(Q20&lt;=49,"P",IF(Q20&lt;=54,"C",IF(Q20&lt;=59,"B",IF(Q20&lt;=69,"B+",IF(Q20&lt;=79,"A",IF(Q20&lt;=89,"A+","O"))))))))</f>
        <v/>
      </c>
      <c r="U20" s="18">
        <f>R20*S20</f>
        <v/>
      </c>
      <c r="V20" s="18" t="n"/>
      <c r="W20" s="9" t="n">
        <v>49</v>
      </c>
      <c r="X20" s="9" t="n">
        <v>47</v>
      </c>
      <c r="Y20" s="18" t="n"/>
      <c r="Z20" s="18">
        <f>SUM(W20:X20)</f>
        <v/>
      </c>
      <c r="AA20" s="18" t="n">
        <v>3</v>
      </c>
      <c r="AB20" s="18">
        <f>IF(X20&lt;=17,"0",IF(Z20&lt;=39,"0",IF(Z20&lt;=49,"4",IF(Z20&lt;=54,"5",IF(Z20&lt;=59,"6",IF(Z20&lt;=69,"7",IF(Z20&lt;=79,"8",IF(Z20&lt;=89,"9","10"))))))))</f>
        <v/>
      </c>
      <c r="AC20" s="18">
        <f>IF(X20&lt;=17,"F",IF(Z20&lt;=39,"F",IF(Z20&lt;=49,"P",IF(Z20&lt;=54,"C",IF(Z20&lt;=59,"B",IF(Z20&lt;=69,"B+",IF(Z20&lt;=79,"A",IF(Z20&lt;=89,"A+","O"))))))))</f>
        <v/>
      </c>
      <c r="AD20" s="18">
        <f>AA20*AB20</f>
        <v/>
      </c>
      <c r="AE20" s="18" t="n"/>
      <c r="AF20" s="46" t="n">
        <v>48</v>
      </c>
      <c r="AG20" s="46" t="n">
        <v>35</v>
      </c>
      <c r="AH20" s="9" t="n"/>
      <c r="AI20" s="18">
        <f>SUM(AF20:AG20)</f>
        <v/>
      </c>
      <c r="AJ20" s="18" t="n">
        <v>3</v>
      </c>
      <c r="AK20" s="18">
        <f>IF(AG20&lt;=17,"0",IF(AI20&lt;=39,"0",IF(AI20&lt;=49,"4",IF(AI20&lt;=54,"5",IF(AI20&lt;=59,"6",IF(AI20&lt;=69,"7",IF(AI20&lt;=79,"8",IF(AI20&lt;=89,"9","10"))))))))</f>
        <v/>
      </c>
      <c r="AL20" s="18">
        <f>IF(AG20&lt;=17,"F",IF(AI20&lt;=39,"F",IF(AI20&lt;=49,"P",IF(AI20&lt;=54,"C",IF(AI20&lt;=59,"B",IF(AI20&lt;=69,"B+",IF(AI20&lt;=79,"A",IF(AI20&lt;=89,"A+","O"))))))))</f>
        <v/>
      </c>
      <c r="AM20" s="18">
        <f>AJ20*AK20</f>
        <v/>
      </c>
      <c r="AN20" s="18" t="n"/>
      <c r="AO20" s="46" t="n">
        <v>48</v>
      </c>
      <c r="AP20" s="46" t="n">
        <v>31</v>
      </c>
      <c r="AQ20" s="9" t="n"/>
      <c r="AR20" s="18">
        <f>(AO20+AP20)</f>
        <v/>
      </c>
      <c r="AS20" s="18" t="n">
        <v>3</v>
      </c>
      <c r="AT20" s="18">
        <f>IF(AP20&lt;=17,"0",IF(AR20&lt;=39,"0",IF(AR20&lt;=49,"4",IF(AR20&lt;=54,"5",IF(AR20&lt;=59,"6",IF(AR20&lt;=69,"7",IF(AR20&lt;=79,"8",IF(AR20&lt;=89,"9","10"))))))))</f>
        <v/>
      </c>
      <c r="AU20" s="18">
        <f>IF(AP20&lt;=17,"F",IF(AR20&lt;=39,"F",IF(AR20&lt;=49,"P",IF(AR20&lt;=54,"C",IF(AR20&lt;=59,"B",IF(AR20&lt;=69,"B+",IF(AR20&lt;=79,"A",IF(AR20&lt;=89,"A+","O"))))))))</f>
        <v/>
      </c>
      <c r="AV20" s="18">
        <f>AS20*AT20</f>
        <v/>
      </c>
      <c r="AW20" s="18" t="n"/>
      <c r="AX20" s="9" t="n">
        <v>45</v>
      </c>
      <c r="AY20" s="9" t="n">
        <v>29</v>
      </c>
      <c r="AZ20" s="9" t="n"/>
      <c r="BA20" s="18">
        <f>(AX20+AY20)</f>
        <v/>
      </c>
      <c r="BB20" s="18" t="n">
        <v>1</v>
      </c>
      <c r="BC20" s="18">
        <f>IF(AY20&lt;=17,"0",IF(BA20&lt;=39,"0",IF(BA20&lt;=49,"4",IF(BA20&lt;=54,"5",IF(BA20&lt;=59,"6",IF(BA20&lt;=69,"7",IF(BA20&lt;=79,"8",IF(BA20&lt;=89,"9","10"))))))))</f>
        <v/>
      </c>
      <c r="BD20" s="18">
        <f>IF(AY20&lt;=17,"F",IF(BA20&lt;=39,"F",IF(BA20&lt;=49,"P",IF(BA20&lt;=54,"C",IF(BA20&lt;=59,"B",IF(BA20&lt;=69,"B+",IF(BA20&lt;=79,"A",IF(BA20&lt;=89,"A+","O"))))))))</f>
        <v/>
      </c>
      <c r="BE20" s="18">
        <f>BB20*BC20</f>
        <v/>
      </c>
      <c r="BF20" s="43" t="inlineStr">
        <is>
          <t>Samskrutika Kannada</t>
        </is>
      </c>
      <c r="BG20" s="9" t="n">
        <v>47</v>
      </c>
      <c r="BH20" s="9" t="n">
        <v>42</v>
      </c>
      <c r="BI20" s="9" t="n"/>
      <c r="BJ20" s="18">
        <f>(BG20+BH20)</f>
        <v/>
      </c>
      <c r="BK20" s="18" t="n">
        <v>1</v>
      </c>
      <c r="BL20" s="18">
        <f>IF(BH20&lt;=17,"0",IF(BJ20&lt;=39,"0",IF(BJ20&lt;=49,"4",IF(BJ20&lt;=54,"5",IF(BJ20&lt;=59,"6",IF(BJ20&lt;=69,"7",IF(BJ20&lt;=79,"8",IF(BJ20&lt;=89,"9","10"))))))))</f>
        <v/>
      </c>
      <c r="BM20" s="18">
        <f>IF(BH20&lt;=17,"F",IF(BJ20&lt;=39,"F",IF(BJ20&lt;=49,"P",IF(BJ20&lt;=54,"C",IF(BJ20&lt;=59,"B",IF(BJ20&lt;=69,"B+",IF(BJ20&lt;=79,"A",IF(BJ20&lt;=89,"A+","O"))))))))</f>
        <v/>
      </c>
      <c r="BN20" s="18">
        <f>BK20*BL20</f>
        <v/>
      </c>
      <c r="BO20" s="18" t="n"/>
      <c r="BP20" s="9" t="n">
        <v>48</v>
      </c>
      <c r="BQ20" s="9" t="n">
        <v>31</v>
      </c>
      <c r="BR20" s="9" t="n"/>
      <c r="BS20" s="18">
        <f>(BP20+BQ20)</f>
        <v/>
      </c>
      <c r="BT20" s="18" t="n">
        <v>1</v>
      </c>
      <c r="BU20" s="18">
        <f>IF(BQ20&lt;=17,"0",IF(BS20&lt;=39,"0",IF(BS20&lt;=49,"4",IF(BS20&lt;=54,"5",IF(BS20&lt;=59,"6",IF(BS20&lt;=69,"7",IF(BS20&lt;=79,"8",IF(BS20&lt;=89,"9","10"))))))))</f>
        <v/>
      </c>
      <c r="BV20" s="18">
        <f>IF(BQ20&lt;=17,"F",IF(BS20&lt;=39,"F",IF(BS20&lt;=49,"P",IF(BS20&lt;=54,"C",IF(BS20&lt;=59,"B",IF(BS20&lt;=69,"B+",IF(BS20&lt;=79,"A",IF(BS20&lt;=89,"A+","O"))))))))</f>
        <v/>
      </c>
      <c r="BW20" s="18">
        <f>BT20*BU20</f>
        <v/>
      </c>
      <c r="BX20" s="18" t="n"/>
      <c r="BY20" s="18" t="n"/>
      <c r="BZ20" s="18">
        <f>L20+U20+AD20+AM20+AV20+BE20+BN20+BW20</f>
        <v/>
      </c>
      <c r="CA20" s="19">
        <f>BZ20/20</f>
        <v/>
      </c>
      <c r="CB20" s="28">
        <f>IF(CA20&lt;4,"F",IF(BV20="F","F",IF(BM20="F","F",IF(BD20="F","F",IF(AU20="F","F",IF(AL20="F","F",IF(AC20="F","F",IF(T20="F","F",IF(K20="F","F",IF(CA20&lt;=5,"C",IF(CA20&lt;6,"B",IF(CA20&lt;7,"B+",IF(CA20&lt;8,"A",IF(CA20&lt;=9,"A+","O"))))))))))))))</f>
        <v/>
      </c>
      <c r="CC20" s="27">
        <f>CA20*9.5</f>
        <v/>
      </c>
      <c r="CD20" s="27" t="n"/>
      <c r="CE20" s="28">
        <f>SUM(BS20,BJ20,BA20,AR20,AI20,Z20,Q20,H20)</f>
        <v/>
      </c>
      <c r="CF20" s="28">
        <f>(CE20/800)*100</f>
        <v/>
      </c>
      <c r="CG20" s="27" t="n"/>
      <c r="CH20" s="27" t="n"/>
      <c r="CI20" s="27">
        <f>IF(CA20&lt;=4,"F",IF(CA20&lt;=6,"PASS",IF(CA20&lt;=6.5,"SC",IF(CA20&lt;=7.5,"FC",IF(CA20&lt;="10","FCD")))))</f>
        <v/>
      </c>
    </row>
    <row r="21" ht="15.75" customHeight="1">
      <c r="A21" s="35">
        <f>A20+1</f>
        <v/>
      </c>
      <c r="B21" s="37" t="inlineStr">
        <is>
          <t>1BI22CD016</t>
        </is>
      </c>
      <c r="C21" s="44" t="inlineStr">
        <is>
          <t>JANANI P</t>
        </is>
      </c>
      <c r="D21" s="47" t="inlineStr">
        <is>
          <t>D</t>
        </is>
      </c>
      <c r="E21" s="9" t="n">
        <v>50</v>
      </c>
      <c r="F21" s="9" t="n">
        <v>32</v>
      </c>
      <c r="G21" s="9" t="n"/>
      <c r="H21" s="18">
        <f>SUM(E21:F21)</f>
        <v/>
      </c>
      <c r="I21" s="18" t="n">
        <v>4</v>
      </c>
      <c r="J21" s="18">
        <f>IF(F21&lt;=17,"0",IF(H21&lt;=39,"0",IF(H21&lt;=49,"4",IF(H21&lt;=54,"5",IF(H21&lt;=59,"6",IF(H21&lt;=69,"7",IF(H21&lt;=79,"8",IF(H21&lt;=89,"9","10"))))))))</f>
        <v/>
      </c>
      <c r="K21" s="18">
        <f>IF(F21&lt;=17,"F",IF(H21&lt;=39,"F",IF(H21&lt;=49,"P",IF(H21&lt;=54,"C",IF(H21&lt;=59,"B",IF(H21&lt;=69,"B+",IF(H21&lt;=79,"A",IF(H21&lt;=89,"A+","O"))))))))</f>
        <v/>
      </c>
      <c r="L21" s="18">
        <f>I21*J21</f>
        <v/>
      </c>
      <c r="M21" s="18" t="n"/>
      <c r="N21" s="9" t="n">
        <v>47</v>
      </c>
      <c r="O21" s="9" t="n">
        <v>41</v>
      </c>
      <c r="P21" s="9" t="n"/>
      <c r="Q21" s="18">
        <f>SUM(N21:O21)</f>
        <v/>
      </c>
      <c r="R21" s="18" t="n">
        <v>4</v>
      </c>
      <c r="S21" s="18">
        <f>IF(O21&lt;=17,"0",IF(Q21&lt;=39,"4",IF(Q21&lt;=49,"4",IF(Q21&lt;=54,"5",IF(Q21&lt;=59,"6",IF(Q21&lt;=69,"7",IF(Q21&lt;=79,"8",IF(Q21&lt;=89,"9","10"))))))))</f>
        <v/>
      </c>
      <c r="T21" s="18">
        <f>IF(O21&lt;=17,"F",IF(Q21&lt;=39,"F",IF(Q21&lt;=49,"P",IF(Q21&lt;=54,"C",IF(Q21&lt;=59,"B",IF(Q21&lt;=69,"B+",IF(Q21&lt;=79,"A",IF(Q21&lt;=89,"A+","O"))))))))</f>
        <v/>
      </c>
      <c r="U21" s="18">
        <f>R21*S21</f>
        <v/>
      </c>
      <c r="V21" s="18" t="n"/>
      <c r="W21" s="9" t="n">
        <v>47</v>
      </c>
      <c r="X21" s="9" t="n">
        <v>37</v>
      </c>
      <c r="Y21" s="18" t="n"/>
      <c r="Z21" s="18">
        <f>SUM(W21:X21)</f>
        <v/>
      </c>
      <c r="AA21" s="18" t="n">
        <v>3</v>
      </c>
      <c r="AB21" s="18">
        <f>IF(X21&lt;=17,"0",IF(Z21&lt;=39,"0",IF(Z21&lt;=49,"4",IF(Z21&lt;=54,"5",IF(Z21&lt;=59,"6",IF(Z21&lt;=69,"7",IF(Z21&lt;=79,"8",IF(Z21&lt;=89,"9","10"))))))))</f>
        <v/>
      </c>
      <c r="AC21" s="18">
        <f>IF(X21&lt;=17,"F",IF(Z21&lt;=39,"F",IF(Z21&lt;=49,"P",IF(Z21&lt;=54,"C",IF(Z21&lt;=59,"B",IF(Z21&lt;=69,"B+",IF(Z21&lt;=79,"A",IF(Z21&lt;=89,"A+","O"))))))))</f>
        <v/>
      </c>
      <c r="AD21" s="18">
        <f>AA21*AB21</f>
        <v/>
      </c>
      <c r="AE21" s="18" t="n"/>
      <c r="AF21" s="46" t="n">
        <v>48</v>
      </c>
      <c r="AG21" s="46" t="n">
        <v>46</v>
      </c>
      <c r="AH21" s="9" t="n"/>
      <c r="AI21" s="18">
        <f>SUM(AF21:AG21)</f>
        <v/>
      </c>
      <c r="AJ21" s="18" t="n">
        <v>3</v>
      </c>
      <c r="AK21" s="18">
        <f>IF(AG21&lt;=17,"0",IF(AI21&lt;=39,"0",IF(AI21&lt;=49,"4",IF(AI21&lt;=54,"5",IF(AI21&lt;=59,"6",IF(AI21&lt;=69,"7",IF(AI21&lt;=79,"8",IF(AI21&lt;=89,"9","10"))))))))</f>
        <v/>
      </c>
      <c r="AL21" s="18">
        <f>IF(AG21&lt;=17,"F",IF(AI21&lt;=39,"F",IF(AI21&lt;=49,"P",IF(AI21&lt;=54,"C",IF(AI21&lt;=59,"B",IF(AI21&lt;=69,"B+",IF(AI21&lt;=79,"A",IF(AI21&lt;=89,"A+","O"))))))))</f>
        <v/>
      </c>
      <c r="AM21" s="18">
        <f>AJ21*AK21</f>
        <v/>
      </c>
      <c r="AN21" s="18" t="n"/>
      <c r="AO21" s="46" t="n">
        <v>50</v>
      </c>
      <c r="AP21" s="46" t="n">
        <v>36</v>
      </c>
      <c r="AQ21" s="9" t="n"/>
      <c r="AR21" s="18">
        <f>(AO21+AP21)</f>
        <v/>
      </c>
      <c r="AS21" s="18" t="n">
        <v>3</v>
      </c>
      <c r="AT21" s="18">
        <f>IF(AP21&lt;=17,"0",IF(AR21&lt;=39,"0",IF(AR21&lt;=49,"4",IF(AR21&lt;=54,"5",IF(AR21&lt;=59,"6",IF(AR21&lt;=69,"7",IF(AR21&lt;=79,"8",IF(AR21&lt;=89,"9","10"))))))))</f>
        <v/>
      </c>
      <c r="AU21" s="18">
        <f>IF(AP21&lt;=17,"F",IF(AR21&lt;=39,"F",IF(AR21&lt;=49,"P",IF(AR21&lt;=54,"C",IF(AR21&lt;=59,"B",IF(AR21&lt;=69,"B+",IF(AR21&lt;=79,"A",IF(AR21&lt;=89,"A+","O"))))))))</f>
        <v/>
      </c>
      <c r="AV21" s="18">
        <f>AS21*AT21</f>
        <v/>
      </c>
      <c r="AW21" s="18" t="n"/>
      <c r="AX21" s="9" t="n">
        <v>47</v>
      </c>
      <c r="AY21" s="9" t="n">
        <v>39</v>
      </c>
      <c r="AZ21" s="9" t="n"/>
      <c r="BA21" s="18">
        <f>(AX21+AY21)</f>
        <v/>
      </c>
      <c r="BB21" s="18" t="n">
        <v>1</v>
      </c>
      <c r="BC21" s="18">
        <f>IF(AY21&lt;=17,"0",IF(BA21&lt;=39,"0",IF(BA21&lt;=49,"4",IF(BA21&lt;=54,"5",IF(BA21&lt;=59,"6",IF(BA21&lt;=69,"7",IF(BA21&lt;=79,"8",IF(BA21&lt;=89,"9","10"))))))))</f>
        <v/>
      </c>
      <c r="BD21" s="18">
        <f>IF(AY21&lt;=17,"F",IF(BA21&lt;=39,"F",IF(BA21&lt;=49,"P",IF(BA21&lt;=54,"C",IF(BA21&lt;=59,"B",IF(BA21&lt;=69,"B+",IF(BA21&lt;=79,"A",IF(BA21&lt;=89,"A+","O"))))))))</f>
        <v/>
      </c>
      <c r="BE21" s="18">
        <f>BB21*BC21</f>
        <v/>
      </c>
      <c r="BF21" s="43" t="inlineStr">
        <is>
          <t>Balake Kannada</t>
        </is>
      </c>
      <c r="BG21" s="9" t="n">
        <v>49</v>
      </c>
      <c r="BH21" s="9" t="n">
        <v>48</v>
      </c>
      <c r="BI21" s="9" t="n"/>
      <c r="BJ21" s="18">
        <f>(BG21+BH21)</f>
        <v/>
      </c>
      <c r="BK21" s="18" t="n">
        <v>1</v>
      </c>
      <c r="BL21" s="18">
        <f>IF(BH21&lt;=17,"0",IF(BJ21&lt;=39,"0",IF(BJ21&lt;=49,"4",IF(BJ21&lt;=54,"5",IF(BJ21&lt;=59,"6",IF(BJ21&lt;=69,"7",IF(BJ21&lt;=79,"8",IF(BJ21&lt;=89,"9","10"))))))))</f>
        <v/>
      </c>
      <c r="BM21" s="18">
        <f>IF(BH21&lt;=17,"F",IF(BJ21&lt;=39,"F",IF(BJ21&lt;=49,"P",IF(BJ21&lt;=54,"C",IF(BJ21&lt;=59,"B",IF(BJ21&lt;=69,"B+",IF(BJ21&lt;=79,"A",IF(BJ21&lt;=89,"A+","O"))))))))</f>
        <v/>
      </c>
      <c r="BN21" s="18">
        <f>BK21*BL21</f>
        <v/>
      </c>
      <c r="BO21" s="18" t="n"/>
      <c r="BP21" s="9" t="n">
        <v>48</v>
      </c>
      <c r="BQ21" s="9" t="n">
        <v>43</v>
      </c>
      <c r="BR21" s="9" t="n"/>
      <c r="BS21" s="18">
        <f>(BP21+BQ21)</f>
        <v/>
      </c>
      <c r="BT21" s="18" t="n">
        <v>1</v>
      </c>
      <c r="BU21" s="18">
        <f>IF(BQ21&lt;=17,"0",IF(BS21&lt;=39,"0",IF(BS21&lt;=49,"4",IF(BS21&lt;=54,"5",IF(BS21&lt;=59,"6",IF(BS21&lt;=69,"7",IF(BS21&lt;=79,"8",IF(BS21&lt;=89,"9","10"))))))))</f>
        <v/>
      </c>
      <c r="BV21" s="18">
        <f>IF(BQ21&lt;=17,"F",IF(BS21&lt;=39,"F",IF(BS21&lt;=49,"P",IF(BS21&lt;=54,"C",IF(BS21&lt;=59,"B",IF(BS21&lt;=69,"B+",IF(BS21&lt;=79,"A",IF(BS21&lt;=89,"A+","O"))))))))</f>
        <v/>
      </c>
      <c r="BW21" s="18">
        <f>BT21*BU21</f>
        <v/>
      </c>
      <c r="BX21" s="18" t="n"/>
      <c r="BY21" s="18" t="n"/>
      <c r="BZ21" s="18">
        <f>L21+U21+AD21+AM21+AV21+BE21+BN21+BW21</f>
        <v/>
      </c>
      <c r="CA21" s="19">
        <f>BZ21/20</f>
        <v/>
      </c>
      <c r="CB21" s="28">
        <f>IF(CA21&lt;4,"F",IF(BV21="F","F",IF(BM21="F","F",IF(BD21="F","F",IF(AU21="F","F",IF(AL21="F","F",IF(AC21="F","F",IF(T21="F","F",IF(K21="F","F",IF(CA21&lt;=5,"C",IF(CA21&lt;6,"B",IF(CA21&lt;7,"B+",IF(CA21&lt;8,"A",IF(CA21&lt;=9,"A+","O"))))))))))))))</f>
        <v/>
      </c>
      <c r="CC21" s="27">
        <f>CA21*9.5</f>
        <v/>
      </c>
      <c r="CD21" s="27" t="n"/>
      <c r="CE21" s="28">
        <f>SUM(BS21,BJ21,BA21,AR21,AI21,Z21,Q21,H21)</f>
        <v/>
      </c>
      <c r="CF21" s="28">
        <f>(CE21/800)*100</f>
        <v/>
      </c>
      <c r="CG21" s="27" t="n"/>
      <c r="CH21" s="27" t="n"/>
      <c r="CI21" s="27">
        <f>IF(CA21&lt;=4,"F",IF(CA21&lt;=6,"PASS",IF(CA21&lt;=6.5,"SC",IF(CA21&lt;=7.5,"FC",IF(CA21&lt;="10","FCD")))))</f>
        <v/>
      </c>
    </row>
    <row r="22" ht="15.75" customHeight="1">
      <c r="A22" s="35">
        <f>A21+1</f>
        <v/>
      </c>
      <c r="B22" s="37" t="inlineStr">
        <is>
          <t>1BI22CD006</t>
        </is>
      </c>
      <c r="C22" s="44" t="inlineStr">
        <is>
          <t>BHUMIKA KALASAREDDY</t>
        </is>
      </c>
      <c r="D22" s="47" t="inlineStr">
        <is>
          <t>D</t>
        </is>
      </c>
      <c r="E22" s="9" t="n">
        <v>47</v>
      </c>
      <c r="F22" s="9" t="n">
        <v>38</v>
      </c>
      <c r="G22" s="9" t="n"/>
      <c r="H22" s="18">
        <f>SUM(E22:F22)</f>
        <v/>
      </c>
      <c r="I22" s="18" t="n">
        <v>4</v>
      </c>
      <c r="J22" s="18">
        <f>IF(F22&lt;=17,"0",IF(H22&lt;=39,"0",IF(H22&lt;=49,"4",IF(H22&lt;=54,"5",IF(H22&lt;=59,"6",IF(H22&lt;=69,"7",IF(H22&lt;=79,"8",IF(H22&lt;=89,"9","10"))))))))</f>
        <v/>
      </c>
      <c r="K22" s="18">
        <f>IF(F22&lt;=17,"F",IF(H22&lt;=39,"F",IF(H22&lt;=49,"P",IF(H22&lt;=54,"C",IF(H22&lt;=59,"B",IF(H22&lt;=69,"B+",IF(H22&lt;=79,"A",IF(H22&lt;=89,"A+","O"))))))))</f>
        <v/>
      </c>
      <c r="L22" s="18">
        <f>I22*J22</f>
        <v/>
      </c>
      <c r="M22" s="18" t="n"/>
      <c r="N22" s="9" t="n">
        <v>46</v>
      </c>
      <c r="O22" s="9" t="n">
        <v>44</v>
      </c>
      <c r="P22" s="9" t="n"/>
      <c r="Q22" s="18">
        <f>SUM(N22:O22)</f>
        <v/>
      </c>
      <c r="R22" s="18" t="n">
        <v>4</v>
      </c>
      <c r="S22" s="18">
        <f>IF(O22&lt;=17,"0",IF(Q22&lt;=39,"4",IF(Q22&lt;=49,"4",IF(Q22&lt;=54,"5",IF(Q22&lt;=59,"6",IF(Q22&lt;=69,"7",IF(Q22&lt;=79,"8",IF(Q22&lt;=89,"9","10"))))))))</f>
        <v/>
      </c>
      <c r="T22" s="18">
        <f>IF(O22&lt;=17,"F",IF(Q22&lt;=39,"F",IF(Q22&lt;=49,"P",IF(Q22&lt;=54,"C",IF(Q22&lt;=59,"B",IF(Q22&lt;=69,"B+",IF(Q22&lt;=79,"A",IF(Q22&lt;=89,"A+","O"))))))))</f>
        <v/>
      </c>
      <c r="U22" s="18">
        <f>R22*S22</f>
        <v/>
      </c>
      <c r="V22" s="18" t="n"/>
      <c r="W22" s="9" t="n">
        <v>47</v>
      </c>
      <c r="X22" s="9" t="n">
        <v>43</v>
      </c>
      <c r="Y22" s="18" t="n"/>
      <c r="Z22" s="18">
        <f>SUM(W22:X22)</f>
        <v/>
      </c>
      <c r="AA22" s="18" t="n">
        <v>3</v>
      </c>
      <c r="AB22" s="18">
        <f>IF(X22&lt;=17,"0",IF(Z22&lt;=39,"0",IF(Z22&lt;=49,"4",IF(Z22&lt;=54,"5",IF(Z22&lt;=59,"6",IF(Z22&lt;=69,"7",IF(Z22&lt;=79,"8",IF(Z22&lt;=89,"9","10"))))))))</f>
        <v/>
      </c>
      <c r="AC22" s="18">
        <f>IF(X22&lt;=17,"F",IF(Z22&lt;=39,"F",IF(Z22&lt;=49,"P",IF(Z22&lt;=54,"C",IF(Z22&lt;=59,"B",IF(Z22&lt;=69,"B+",IF(Z22&lt;=79,"A",IF(Z22&lt;=89,"A+","O"))))))))</f>
        <v/>
      </c>
      <c r="AD22" s="18">
        <f>AA22*AB22</f>
        <v/>
      </c>
      <c r="AE22" s="18" t="n"/>
      <c r="AF22" s="46" t="n">
        <v>48</v>
      </c>
      <c r="AG22" s="46" t="n">
        <v>40</v>
      </c>
      <c r="AH22" s="9" t="n"/>
      <c r="AI22" s="18">
        <f>SUM(AF22:AG22)</f>
        <v/>
      </c>
      <c r="AJ22" s="18" t="n">
        <v>3</v>
      </c>
      <c r="AK22" s="18">
        <f>IF(AG22&lt;=17,"0",IF(AI22&lt;=39,"0",IF(AI22&lt;=49,"4",IF(AI22&lt;=54,"5",IF(AI22&lt;=59,"6",IF(AI22&lt;=69,"7",IF(AI22&lt;=79,"8",IF(AI22&lt;=89,"9","10"))))))))</f>
        <v/>
      </c>
      <c r="AL22" s="18">
        <f>IF(AG22&lt;=17,"F",IF(AI22&lt;=39,"F",IF(AI22&lt;=49,"P",IF(AI22&lt;=54,"C",IF(AI22&lt;=59,"B",IF(AI22&lt;=69,"B+",IF(AI22&lt;=79,"A",IF(AI22&lt;=89,"A+","O"))))))))</f>
        <v/>
      </c>
      <c r="AM22" s="18">
        <f>AJ22*AK22</f>
        <v/>
      </c>
      <c r="AN22" s="18" t="n"/>
      <c r="AO22" s="46" t="n">
        <v>50</v>
      </c>
      <c r="AP22" s="46" t="n">
        <v>35</v>
      </c>
      <c r="AQ22" s="9" t="n"/>
      <c r="AR22" s="18">
        <f>(AO22+AP22)</f>
        <v/>
      </c>
      <c r="AS22" s="18" t="n">
        <v>3</v>
      </c>
      <c r="AT22" s="18">
        <f>IF(AP22&lt;=17,"0",IF(AR22&lt;=39,"0",IF(AR22&lt;=49,"4",IF(AR22&lt;=54,"5",IF(AR22&lt;=59,"6",IF(AR22&lt;=69,"7",IF(AR22&lt;=79,"8",IF(AR22&lt;=89,"9","10"))))))))</f>
        <v/>
      </c>
      <c r="AU22" s="18">
        <f>IF(AP22&lt;=17,"F",IF(AR22&lt;=39,"F",IF(AR22&lt;=49,"P",IF(AR22&lt;=54,"C",IF(AR22&lt;=59,"B",IF(AR22&lt;=69,"B+",IF(AR22&lt;=79,"A",IF(AR22&lt;=89,"A+","O"))))))))</f>
        <v/>
      </c>
      <c r="AV22" s="18">
        <f>AS22*AT22</f>
        <v/>
      </c>
      <c r="AW22" s="18" t="n"/>
      <c r="AX22" s="9" t="n">
        <v>46</v>
      </c>
      <c r="AY22" s="9" t="n">
        <v>22</v>
      </c>
      <c r="AZ22" s="9" t="n"/>
      <c r="BA22" s="18">
        <f>(AX22+AY22)</f>
        <v/>
      </c>
      <c r="BB22" s="18" t="n">
        <v>1</v>
      </c>
      <c r="BC22" s="18">
        <f>IF(AY22&lt;=17,"0",IF(BA22&lt;=39,"0",IF(BA22&lt;=49,"4",IF(BA22&lt;=54,"5",IF(BA22&lt;=59,"6",IF(BA22&lt;=69,"7",IF(BA22&lt;=79,"8",IF(BA22&lt;=89,"9","10"))))))))</f>
        <v/>
      </c>
      <c r="BD22" s="18">
        <f>IF(AY22&lt;=17,"F",IF(BA22&lt;=39,"F",IF(BA22&lt;=49,"P",IF(BA22&lt;=54,"C",IF(BA22&lt;=59,"B",IF(BA22&lt;=69,"B+",IF(BA22&lt;=79,"A",IF(BA22&lt;=89,"A+","O"))))))))</f>
        <v/>
      </c>
      <c r="BE22" s="18">
        <f>BB22*BC22</f>
        <v/>
      </c>
      <c r="BF22" s="43" t="inlineStr">
        <is>
          <t>Samskrutika Kannada</t>
        </is>
      </c>
      <c r="BG22" s="9" t="n">
        <v>40</v>
      </c>
      <c r="BH22" s="9" t="n">
        <v>32</v>
      </c>
      <c r="BI22" s="9" t="n"/>
      <c r="BJ22" s="18">
        <f>(BG22+BH22)</f>
        <v/>
      </c>
      <c r="BK22" s="18" t="n">
        <v>1</v>
      </c>
      <c r="BL22" s="18">
        <f>IF(BH22&lt;=17,"0",IF(BJ22&lt;=39,"0",IF(BJ22&lt;=49,"4",IF(BJ22&lt;=54,"5",IF(BJ22&lt;=59,"6",IF(BJ22&lt;=69,"7",IF(BJ22&lt;=79,"8",IF(BJ22&lt;=89,"9","10"))))))))</f>
        <v/>
      </c>
      <c r="BM22" s="18">
        <f>IF(BH22&lt;=17,"F",IF(BJ22&lt;=39,"F",IF(BJ22&lt;=49,"P",IF(BJ22&lt;=54,"C",IF(BJ22&lt;=59,"B",IF(BJ22&lt;=69,"B+",IF(BJ22&lt;=79,"A",IF(BJ22&lt;=89,"A+","O"))))))))</f>
        <v/>
      </c>
      <c r="BN22" s="18">
        <f>BK22*BL22</f>
        <v/>
      </c>
      <c r="BO22" s="18" t="n"/>
      <c r="BP22" s="9" t="n">
        <v>46</v>
      </c>
      <c r="BQ22" s="9" t="n">
        <v>39</v>
      </c>
      <c r="BR22" s="9" t="n"/>
      <c r="BS22" s="18">
        <f>(BP22+BQ22)</f>
        <v/>
      </c>
      <c r="BT22" s="18" t="n">
        <v>1</v>
      </c>
      <c r="BU22" s="18">
        <f>IF(BQ22&lt;=17,"0",IF(BS22&lt;=39,"0",IF(BS22&lt;=49,"4",IF(BS22&lt;=54,"5",IF(BS22&lt;=59,"6",IF(BS22&lt;=69,"7",IF(BS22&lt;=79,"8",IF(BS22&lt;=89,"9","10"))))))))</f>
        <v/>
      </c>
      <c r="BV22" s="18">
        <f>IF(BQ22&lt;=17,"F",IF(BS22&lt;=39,"F",IF(BS22&lt;=49,"P",IF(BS22&lt;=54,"C",IF(BS22&lt;=59,"B",IF(BS22&lt;=69,"B+",IF(BS22&lt;=79,"A",IF(BS22&lt;=89,"A+","O"))))))))</f>
        <v/>
      </c>
      <c r="BW22" s="18">
        <f>BT22*BU22</f>
        <v/>
      </c>
      <c r="BX22" s="18" t="n"/>
      <c r="BY22" s="18" t="n"/>
      <c r="BZ22" s="18">
        <f>L22+U22+AD22+AM22+AV22+BE22+BN22+BW22</f>
        <v/>
      </c>
      <c r="CA22" s="19">
        <f>BZ22/20</f>
        <v/>
      </c>
      <c r="CB22" s="28">
        <f>IF(CA22&lt;4,"F",IF(BV22="F","F",IF(BM22="F","F",IF(BD22="F","F",IF(AU22="F","F",IF(AL22="F","F",IF(AC22="F","F",IF(T22="F","F",IF(K22="F","F",IF(CA22&lt;=5,"C",IF(CA22&lt;6,"B",IF(CA22&lt;7,"B+",IF(CA22&lt;8,"A",IF(CA22&lt;=9,"A+","O"))))))))))))))</f>
        <v/>
      </c>
      <c r="CC22" s="27">
        <f>CA22*9.5</f>
        <v/>
      </c>
      <c r="CD22" s="27" t="n"/>
      <c r="CE22" s="28">
        <f>SUM(BS22,BJ22,BA22,AR22,AI22,Z22,Q22,H22)</f>
        <v/>
      </c>
      <c r="CF22" s="28">
        <f>(CE22/800)*100</f>
        <v/>
      </c>
      <c r="CG22" s="27" t="n"/>
      <c r="CH22" s="27" t="n"/>
      <c r="CI22" s="27">
        <f>IF(CA22&lt;=4,"F",IF(CA22&lt;=6,"PASS",IF(CA22&lt;=6.5,"SC",IF(CA22&lt;=7.5,"FC",IF(CA22&lt;="10","FCD")))))</f>
        <v/>
      </c>
    </row>
    <row r="23" ht="15.75" customHeight="1">
      <c r="A23" s="35">
        <f>A22+1</f>
        <v/>
      </c>
      <c r="B23" s="37" t="inlineStr">
        <is>
          <t>1BI22CD003</t>
        </is>
      </c>
      <c r="C23" s="44" t="inlineStr">
        <is>
          <t>ARPITA KRISHNA</t>
        </is>
      </c>
      <c r="D23" s="47" t="inlineStr">
        <is>
          <t>D</t>
        </is>
      </c>
      <c r="E23" s="9" t="n">
        <v>50</v>
      </c>
      <c r="F23" s="9" t="n">
        <v>36</v>
      </c>
      <c r="G23" s="9" t="n"/>
      <c r="H23" s="18">
        <f>SUM(E23:F23)</f>
        <v/>
      </c>
      <c r="I23" s="18" t="n">
        <v>4</v>
      </c>
      <c r="J23" s="18">
        <f>IF(F23&lt;=17,"0",IF(H23&lt;=39,"0",IF(H23&lt;=49,"4",IF(H23&lt;=54,"5",IF(H23&lt;=59,"6",IF(H23&lt;=69,"7",IF(H23&lt;=79,"8",IF(H23&lt;=89,"9","10"))))))))</f>
        <v/>
      </c>
      <c r="K23" s="18">
        <f>IF(F23&lt;=17,"F",IF(H23&lt;=39,"F",IF(H23&lt;=49,"P",IF(H23&lt;=54,"C",IF(H23&lt;=59,"B",IF(H23&lt;=69,"B+",IF(H23&lt;=79,"A",IF(H23&lt;=89,"A+","O"))))))))</f>
        <v/>
      </c>
      <c r="L23" s="18">
        <f>I23*J23</f>
        <v/>
      </c>
      <c r="M23" s="18" t="n"/>
      <c r="N23" s="9" t="n">
        <v>50</v>
      </c>
      <c r="O23" s="9" t="n">
        <v>33</v>
      </c>
      <c r="P23" s="9" t="n"/>
      <c r="Q23" s="18">
        <f>SUM(N23:O23)</f>
        <v/>
      </c>
      <c r="R23" s="18" t="n">
        <v>4</v>
      </c>
      <c r="S23" s="18">
        <f>IF(O23&lt;=17,"0",IF(Q23&lt;=39,"4",IF(Q23&lt;=49,"4",IF(Q23&lt;=54,"5",IF(Q23&lt;=59,"6",IF(Q23&lt;=69,"7",IF(Q23&lt;=79,"8",IF(Q23&lt;=89,"9","10"))))))))</f>
        <v/>
      </c>
      <c r="T23" s="18">
        <f>IF(O23&lt;=17,"F",IF(Q23&lt;=39,"F",IF(Q23&lt;=49,"P",IF(Q23&lt;=54,"C",IF(Q23&lt;=59,"B",IF(Q23&lt;=69,"B+",IF(Q23&lt;=79,"A",IF(Q23&lt;=89,"A+","O"))))))))</f>
        <v/>
      </c>
      <c r="U23" s="18">
        <f>R23*S23</f>
        <v/>
      </c>
      <c r="V23" s="18" t="n"/>
      <c r="W23" s="9" t="n">
        <v>50</v>
      </c>
      <c r="X23" s="9" t="n">
        <v>44</v>
      </c>
      <c r="Y23" s="18" t="n"/>
      <c r="Z23" s="18">
        <f>SUM(W23:X23)</f>
        <v/>
      </c>
      <c r="AA23" s="18" t="n">
        <v>3</v>
      </c>
      <c r="AB23" s="18">
        <f>IF(X23&lt;=17,"0",IF(Z23&lt;=39,"0",IF(Z23&lt;=49,"4",IF(Z23&lt;=54,"5",IF(Z23&lt;=59,"6",IF(Z23&lt;=69,"7",IF(Z23&lt;=79,"8",IF(Z23&lt;=89,"9","10"))))))))</f>
        <v/>
      </c>
      <c r="AC23" s="18">
        <f>IF(X23&lt;=17,"F",IF(Z23&lt;=39,"F",IF(Z23&lt;=49,"P",IF(Z23&lt;=54,"C",IF(Z23&lt;=59,"B",IF(Z23&lt;=69,"B+",IF(Z23&lt;=79,"A",IF(Z23&lt;=89,"A+","O"))))))))</f>
        <v/>
      </c>
      <c r="AD23" s="18">
        <f>AA23*AB23</f>
        <v/>
      </c>
      <c r="AE23" s="18" t="n"/>
      <c r="AF23" s="46" t="n">
        <v>50</v>
      </c>
      <c r="AG23" s="46" t="n">
        <v>35</v>
      </c>
      <c r="AH23" s="9" t="n"/>
      <c r="AI23" s="18">
        <f>SUM(AF23:AG23)</f>
        <v/>
      </c>
      <c r="AJ23" s="18" t="n">
        <v>3</v>
      </c>
      <c r="AK23" s="18">
        <f>IF(AG23&lt;=17,"0",IF(AI23&lt;=39,"0",IF(AI23&lt;=49,"4",IF(AI23&lt;=54,"5",IF(AI23&lt;=59,"6",IF(AI23&lt;=69,"7",IF(AI23&lt;=79,"8",IF(AI23&lt;=89,"9","10"))))))))</f>
        <v/>
      </c>
      <c r="AL23" s="18">
        <f>IF(AG23&lt;=17,"F",IF(AI23&lt;=39,"F",IF(AI23&lt;=49,"P",IF(AI23&lt;=54,"C",IF(AI23&lt;=59,"B",IF(AI23&lt;=69,"B+",IF(AI23&lt;=79,"A",IF(AI23&lt;=89,"A+","O"))))))))</f>
        <v/>
      </c>
      <c r="AM23" s="18">
        <f>AJ23*AK23</f>
        <v/>
      </c>
      <c r="AN23" s="18" t="n"/>
      <c r="AO23" s="46" t="n">
        <v>50</v>
      </c>
      <c r="AP23" s="46" t="n">
        <v>28</v>
      </c>
      <c r="AQ23" s="9" t="n"/>
      <c r="AR23" s="18">
        <f>(AO23+AP23)</f>
        <v/>
      </c>
      <c r="AS23" s="18" t="n">
        <v>3</v>
      </c>
      <c r="AT23" s="18">
        <f>IF(AP23&lt;=17,"0",IF(AR23&lt;=39,"0",IF(AR23&lt;=49,"4",IF(AR23&lt;=54,"5",IF(AR23&lt;=59,"6",IF(AR23&lt;=69,"7",IF(AR23&lt;=79,"8",IF(AR23&lt;=89,"9","10"))))))))</f>
        <v/>
      </c>
      <c r="AU23" s="18">
        <f>IF(AP23&lt;=17,"F",IF(AR23&lt;=39,"F",IF(AR23&lt;=49,"P",IF(AR23&lt;=54,"C",IF(AR23&lt;=59,"B",IF(AR23&lt;=69,"B+",IF(AR23&lt;=79,"A",IF(AR23&lt;=89,"A+","O"))))))))</f>
        <v/>
      </c>
      <c r="AV23" s="18">
        <f>AS23*AT23</f>
        <v/>
      </c>
      <c r="AW23" s="18" t="n"/>
      <c r="AX23" s="9" t="n">
        <v>50</v>
      </c>
      <c r="AY23" s="9" t="n">
        <v>41</v>
      </c>
      <c r="AZ23" s="9" t="n"/>
      <c r="BA23" s="18">
        <f>(AX23+AY23)</f>
        <v/>
      </c>
      <c r="BB23" s="18" t="n">
        <v>1</v>
      </c>
      <c r="BC23" s="18">
        <f>IF(AY23&lt;=17,"0",IF(BA23&lt;=39,"0",IF(BA23&lt;=49,"4",IF(BA23&lt;=54,"5",IF(BA23&lt;=59,"6",IF(BA23&lt;=69,"7",IF(BA23&lt;=79,"8",IF(BA23&lt;=89,"9","10"))))))))</f>
        <v/>
      </c>
      <c r="BD23" s="18">
        <f>IF(AY23&lt;=17,"F",IF(BA23&lt;=39,"F",IF(BA23&lt;=49,"P",IF(BA23&lt;=54,"C",IF(BA23&lt;=59,"B",IF(BA23&lt;=69,"B+",IF(BA23&lt;=79,"A",IF(BA23&lt;=89,"A+","O"))))))))</f>
        <v/>
      </c>
      <c r="BE23" s="18">
        <f>BB23*BC23</f>
        <v/>
      </c>
      <c r="BF23" s="43" t="inlineStr">
        <is>
          <t>Balake Kannada</t>
        </is>
      </c>
      <c r="BG23" s="9" t="n">
        <v>50</v>
      </c>
      <c r="BH23" s="9" t="n">
        <v>49</v>
      </c>
      <c r="BI23" s="9" t="n"/>
      <c r="BJ23" s="18">
        <f>(BG23+BH23)</f>
        <v/>
      </c>
      <c r="BK23" s="18" t="n">
        <v>1</v>
      </c>
      <c r="BL23" s="18">
        <f>IF(BH23&lt;=17,"0",IF(BJ23&lt;=39,"0",IF(BJ23&lt;=49,"4",IF(BJ23&lt;=54,"5",IF(BJ23&lt;=59,"6",IF(BJ23&lt;=69,"7",IF(BJ23&lt;=79,"8",IF(BJ23&lt;=89,"9","10"))))))))</f>
        <v/>
      </c>
      <c r="BM23" s="18">
        <f>IF(BH23&lt;=17,"F",IF(BJ23&lt;=39,"F",IF(BJ23&lt;=49,"P",IF(BJ23&lt;=54,"C",IF(BJ23&lt;=59,"B",IF(BJ23&lt;=69,"B+",IF(BJ23&lt;=79,"A",IF(BJ23&lt;=89,"A+","O"))))))))</f>
        <v/>
      </c>
      <c r="BN23" s="18">
        <f>BK23*BL23</f>
        <v/>
      </c>
      <c r="BO23" s="18" t="n"/>
      <c r="BP23" s="9" t="n">
        <v>50</v>
      </c>
      <c r="BQ23" s="9" t="n">
        <v>42</v>
      </c>
      <c r="BR23" s="9" t="n"/>
      <c r="BS23" s="18">
        <f>(BP23+BQ23)</f>
        <v/>
      </c>
      <c r="BT23" s="18" t="n">
        <v>1</v>
      </c>
      <c r="BU23" s="18">
        <f>IF(BQ23&lt;=17,"0",IF(BS23&lt;=39,"0",IF(BS23&lt;=49,"4",IF(BS23&lt;=54,"5",IF(BS23&lt;=59,"6",IF(BS23&lt;=69,"7",IF(BS23&lt;=79,"8",IF(BS23&lt;=89,"9","10"))))))))</f>
        <v/>
      </c>
      <c r="BV23" s="18">
        <f>IF(BQ23&lt;=17,"F",IF(BS23&lt;=39,"F",IF(BS23&lt;=49,"P",IF(BS23&lt;=54,"C",IF(BS23&lt;=59,"B",IF(BS23&lt;=69,"B+",IF(BS23&lt;=79,"A",IF(BS23&lt;=89,"A+","O"))))))))</f>
        <v/>
      </c>
      <c r="BW23" s="18">
        <f>BT23*BU23</f>
        <v/>
      </c>
      <c r="BX23" s="18" t="n"/>
      <c r="BY23" s="18" t="n"/>
      <c r="BZ23" s="18">
        <f>L23+U23+AD23+AM23+AV23+BE23+BN23+BW23</f>
        <v/>
      </c>
      <c r="CA23" s="19">
        <f>BZ23/20</f>
        <v/>
      </c>
      <c r="CB23" s="28">
        <f>IF(CA23&lt;4,"F",IF(BV23="F","F",IF(BM23="F","F",IF(BD23="F","F",IF(AU23="F","F",IF(AL23="F","F",IF(AC23="F","F",IF(T23="F","F",IF(K23="F","F",IF(CA23&lt;=5,"C",IF(CA23&lt;6,"B",IF(CA23&lt;7,"B+",IF(CA23&lt;8,"A",IF(CA23&lt;=9,"A+","O"))))))))))))))</f>
        <v/>
      </c>
      <c r="CC23" s="27">
        <f>CA23*9.5</f>
        <v/>
      </c>
      <c r="CD23" s="27" t="n"/>
      <c r="CE23" s="28">
        <f>SUM(BS23,BJ23,BA23,AR23,AI23,Z23,Q23,H23)</f>
        <v/>
      </c>
      <c r="CF23" s="28">
        <f>(CE23/800)*100</f>
        <v/>
      </c>
      <c r="CG23" s="27" t="n"/>
      <c r="CH23" s="27" t="n"/>
      <c r="CI23" s="27">
        <f>IF(CA23&lt;=4,"F",IF(CA23&lt;=6,"PASS",IF(CA23&lt;=6.5,"SC",IF(CA23&lt;=7.5,"FC",IF(CA23&lt;="10","FCD")))))</f>
        <v/>
      </c>
    </row>
    <row r="24" ht="15.75" customHeight="1">
      <c r="A24" s="35">
        <f>A23+1</f>
        <v/>
      </c>
      <c r="B24" s="37" t="inlineStr">
        <is>
          <t>1BI22CD010</t>
        </is>
      </c>
      <c r="C24" s="44" t="inlineStr">
        <is>
          <t>DEVAJ S</t>
        </is>
      </c>
      <c r="D24" s="47" t="inlineStr">
        <is>
          <t>D</t>
        </is>
      </c>
      <c r="E24" s="9" t="n">
        <v>46</v>
      </c>
      <c r="F24" s="9" t="n">
        <v>50</v>
      </c>
      <c r="G24" s="9" t="n"/>
      <c r="H24" s="18">
        <f>SUM(E24:F24)</f>
        <v/>
      </c>
      <c r="I24" s="18" t="n">
        <v>4</v>
      </c>
      <c r="J24" s="18">
        <f>IF(F24&lt;=17,"0",IF(H24&lt;=39,"0",IF(H24&lt;=49,"4",IF(H24&lt;=54,"5",IF(H24&lt;=59,"6",IF(H24&lt;=69,"7",IF(H24&lt;=79,"8",IF(H24&lt;=89,"9","10"))))))))</f>
        <v/>
      </c>
      <c r="K24" s="18">
        <f>IF(F24&lt;=17,"F",IF(H24&lt;=39,"F",IF(H24&lt;=49,"P",IF(H24&lt;=54,"C",IF(H24&lt;=59,"B",IF(H24&lt;=69,"B+",IF(H24&lt;=79,"A",IF(H24&lt;=89,"A+","O"))))))))</f>
        <v/>
      </c>
      <c r="L24" s="18">
        <f>I24*J24</f>
        <v/>
      </c>
      <c r="M24" s="18" t="n"/>
      <c r="N24" s="9" t="n">
        <v>44</v>
      </c>
      <c r="O24" s="9" t="n">
        <v>41</v>
      </c>
      <c r="P24" s="9" t="n"/>
      <c r="Q24" s="18">
        <f>SUM(N24:O24)</f>
        <v/>
      </c>
      <c r="R24" s="18" t="n">
        <v>4</v>
      </c>
      <c r="S24" s="18">
        <f>IF(O24&lt;=17,"0",IF(Q24&lt;=39,"4",IF(Q24&lt;=49,"4",IF(Q24&lt;=54,"5",IF(Q24&lt;=59,"6",IF(Q24&lt;=69,"7",IF(Q24&lt;=79,"8",IF(Q24&lt;=89,"9","10"))))))))</f>
        <v/>
      </c>
      <c r="T24" s="18">
        <f>IF(O24&lt;=17,"F",IF(Q24&lt;=39,"F",IF(Q24&lt;=49,"P",IF(Q24&lt;=54,"C",IF(Q24&lt;=59,"B",IF(Q24&lt;=69,"B+",IF(Q24&lt;=79,"A",IF(Q24&lt;=89,"A+","O"))))))))</f>
        <v/>
      </c>
      <c r="U24" s="18">
        <f>R24*S24</f>
        <v/>
      </c>
      <c r="V24" s="18" t="n"/>
      <c r="W24" s="9" t="n">
        <v>47</v>
      </c>
      <c r="X24" s="9" t="n">
        <v>45</v>
      </c>
      <c r="Y24" s="18" t="n"/>
      <c r="Z24" s="18">
        <f>SUM(W24:X24)</f>
        <v/>
      </c>
      <c r="AA24" s="18" t="n">
        <v>3</v>
      </c>
      <c r="AB24" s="18">
        <f>IF(X24&lt;=17,"0",IF(Z24&lt;=39,"0",IF(Z24&lt;=49,"4",IF(Z24&lt;=54,"5",IF(Z24&lt;=59,"6",IF(Z24&lt;=69,"7",IF(Z24&lt;=79,"8",IF(Z24&lt;=89,"9","10"))))))))</f>
        <v/>
      </c>
      <c r="AC24" s="18">
        <f>IF(X24&lt;=17,"F",IF(Z24&lt;=39,"F",IF(Z24&lt;=49,"P",IF(Z24&lt;=54,"C",IF(Z24&lt;=59,"B",IF(Z24&lt;=69,"B+",IF(Z24&lt;=79,"A",IF(Z24&lt;=89,"A+","O"))))))))</f>
        <v/>
      </c>
      <c r="AD24" s="18">
        <f>AA24*AB24</f>
        <v/>
      </c>
      <c r="AE24" s="18" t="n"/>
      <c r="AF24" s="46" t="n">
        <v>40</v>
      </c>
      <c r="AG24" s="46" t="n">
        <v>39</v>
      </c>
      <c r="AH24" s="9" t="n"/>
      <c r="AI24" s="18">
        <f>SUM(AF24:AG24)</f>
        <v/>
      </c>
      <c r="AJ24" s="18" t="n">
        <v>3</v>
      </c>
      <c r="AK24" s="18">
        <f>IF(AG24&lt;=17,"0",IF(AI24&lt;=39,"0",IF(AI24&lt;=49,"4",IF(AI24&lt;=54,"5",IF(AI24&lt;=59,"6",IF(AI24&lt;=69,"7",IF(AI24&lt;=79,"8",IF(AI24&lt;=89,"9","10"))))))))</f>
        <v/>
      </c>
      <c r="AL24" s="18">
        <f>IF(AG24&lt;=17,"F",IF(AI24&lt;=39,"F",IF(AI24&lt;=49,"P",IF(AI24&lt;=54,"C",IF(AI24&lt;=59,"B",IF(AI24&lt;=69,"B+",IF(AI24&lt;=79,"A",IF(AI24&lt;=89,"A+","O"))))))))</f>
        <v/>
      </c>
      <c r="AM24" s="18">
        <f>AJ24*AK24</f>
        <v/>
      </c>
      <c r="AN24" s="18" t="n"/>
      <c r="AO24" s="46" t="n">
        <v>49</v>
      </c>
      <c r="AP24" s="46" t="n">
        <v>32</v>
      </c>
      <c r="AQ24" s="9" t="n"/>
      <c r="AR24" s="18">
        <f>(AO24+AP24)</f>
        <v/>
      </c>
      <c r="AS24" s="18" t="n">
        <v>3</v>
      </c>
      <c r="AT24" s="18">
        <f>IF(AP24&lt;=17,"0",IF(AR24&lt;=39,"0",IF(AR24&lt;=49,"4",IF(AR24&lt;=54,"5",IF(AR24&lt;=59,"6",IF(AR24&lt;=69,"7",IF(AR24&lt;=79,"8",IF(AR24&lt;=89,"9","10"))))))))</f>
        <v/>
      </c>
      <c r="AU24" s="18">
        <f>IF(AP24&lt;=17,"F",IF(AR24&lt;=39,"F",IF(AR24&lt;=49,"P",IF(AR24&lt;=54,"C",IF(AR24&lt;=59,"B",IF(AR24&lt;=69,"B+",IF(AR24&lt;=79,"A",IF(AR24&lt;=89,"A+","O"))))))))</f>
        <v/>
      </c>
      <c r="AV24" s="18">
        <f>AS24*AT24</f>
        <v/>
      </c>
      <c r="AW24" s="18" t="n"/>
      <c r="AX24" s="9" t="n">
        <v>46</v>
      </c>
      <c r="AY24" s="9" t="n">
        <v>35</v>
      </c>
      <c r="AZ24" s="9" t="n"/>
      <c r="BA24" s="18">
        <f>(AX24+AY24)</f>
        <v/>
      </c>
      <c r="BB24" s="18" t="n">
        <v>1</v>
      </c>
      <c r="BC24" s="18">
        <f>IF(AY24&lt;=17,"0",IF(BA24&lt;=39,"0",IF(BA24&lt;=49,"4",IF(BA24&lt;=54,"5",IF(BA24&lt;=59,"6",IF(BA24&lt;=69,"7",IF(BA24&lt;=79,"8",IF(BA24&lt;=89,"9","10"))))))))</f>
        <v/>
      </c>
      <c r="BD24" s="18">
        <f>IF(AY24&lt;=17,"F",IF(BA24&lt;=39,"F",IF(BA24&lt;=49,"P",IF(BA24&lt;=54,"C",IF(BA24&lt;=59,"B",IF(BA24&lt;=69,"B+",IF(BA24&lt;=79,"A",IF(BA24&lt;=89,"A+","O"))))))))</f>
        <v/>
      </c>
      <c r="BE24" s="18">
        <f>BB24*BC24</f>
        <v/>
      </c>
      <c r="BF24" s="43" t="inlineStr">
        <is>
          <t>Samskrutika Kannada</t>
        </is>
      </c>
      <c r="BG24" s="9" t="n">
        <v>45</v>
      </c>
      <c r="BH24" s="9" t="n">
        <v>32</v>
      </c>
      <c r="BI24" s="9" t="n"/>
      <c r="BJ24" s="18">
        <f>(BG24+BH24)</f>
        <v/>
      </c>
      <c r="BK24" s="18" t="n">
        <v>1</v>
      </c>
      <c r="BL24" s="18">
        <f>IF(BH24&lt;=17,"0",IF(BJ24&lt;=39,"0",IF(BJ24&lt;=49,"4",IF(BJ24&lt;=54,"5",IF(BJ24&lt;=59,"6",IF(BJ24&lt;=69,"7",IF(BJ24&lt;=79,"8",IF(BJ24&lt;=89,"9","10"))))))))</f>
        <v/>
      </c>
      <c r="BM24" s="18">
        <f>IF(BH24&lt;=17,"F",IF(BJ24&lt;=39,"F",IF(BJ24&lt;=49,"P",IF(BJ24&lt;=54,"C",IF(BJ24&lt;=59,"B",IF(BJ24&lt;=69,"B+",IF(BJ24&lt;=79,"A",IF(BJ24&lt;=89,"A+","O"))))))))</f>
        <v/>
      </c>
      <c r="BN24" s="18">
        <f>BK24*BL24</f>
        <v/>
      </c>
      <c r="BO24" s="18" t="n"/>
      <c r="BP24" s="9" t="n">
        <v>48</v>
      </c>
      <c r="BQ24" s="9" t="n">
        <v>38</v>
      </c>
      <c r="BR24" s="9" t="n"/>
      <c r="BS24" s="18">
        <f>(BP24+BQ24)</f>
        <v/>
      </c>
      <c r="BT24" s="18" t="n">
        <v>1</v>
      </c>
      <c r="BU24" s="18">
        <f>IF(BQ24&lt;=17,"0",IF(BS24&lt;=39,"0",IF(BS24&lt;=49,"4",IF(BS24&lt;=54,"5",IF(BS24&lt;=59,"6",IF(BS24&lt;=69,"7",IF(BS24&lt;=79,"8",IF(BS24&lt;=89,"9","10"))))))))</f>
        <v/>
      </c>
      <c r="BV24" s="18">
        <f>IF(BQ24&lt;=17,"F",IF(BS24&lt;=39,"F",IF(BS24&lt;=49,"P",IF(BS24&lt;=54,"C",IF(BS24&lt;=59,"B",IF(BS24&lt;=69,"B+",IF(BS24&lt;=79,"A",IF(BS24&lt;=89,"A+","O"))))))))</f>
        <v/>
      </c>
      <c r="BW24" s="18">
        <f>BT24*BU24</f>
        <v/>
      </c>
      <c r="BX24" s="18" t="n"/>
      <c r="BY24" s="18" t="n"/>
      <c r="BZ24" s="18">
        <f>L24+U24+AD24+AM24+AV24+BE24+BN24+BW24</f>
        <v/>
      </c>
      <c r="CA24" s="19">
        <f>BZ24/20</f>
        <v/>
      </c>
      <c r="CB24" s="28">
        <f>IF(CA24&lt;4,"F",IF(BV24="F","F",IF(BM24="F","F",IF(BD24="F","F",IF(AU24="F","F",IF(AL24="F","F",IF(AC24="F","F",IF(T24="F","F",IF(K24="F","F",IF(CA24&lt;=5,"C",IF(CA24&lt;6,"B",IF(CA24&lt;7,"B+",IF(CA24&lt;8,"A",IF(CA24&lt;=9,"A+","O"))))))))))))))</f>
        <v/>
      </c>
      <c r="CC24" s="27">
        <f>CA24*9.5</f>
        <v/>
      </c>
      <c r="CD24" s="27" t="n"/>
      <c r="CE24" s="28">
        <f>SUM(BS24,BJ24,BA24,AR24,AI24,Z24,Q24,H24)</f>
        <v/>
      </c>
      <c r="CF24" s="28">
        <f>(CE24/800)*100</f>
        <v/>
      </c>
      <c r="CG24" s="27" t="n"/>
      <c r="CH24" s="27" t="n"/>
      <c r="CI24" s="27">
        <f>IF(CA24&lt;=4,"F",IF(CA24&lt;=6,"PASS",IF(CA24&lt;=6.5,"SC",IF(CA24&lt;=7.5,"FC",IF(CA24&lt;="10","FCD")))))</f>
        <v/>
      </c>
    </row>
    <row r="25" ht="15.75" customHeight="1">
      <c r="A25" s="35">
        <f>A24+1</f>
        <v/>
      </c>
      <c r="B25" s="37" t="inlineStr">
        <is>
          <t>1BI22CD047</t>
        </is>
      </c>
      <c r="C25" s="44" t="inlineStr">
        <is>
          <t>SHARAD KRISHNA J S</t>
        </is>
      </c>
      <c r="D25" s="47" t="inlineStr">
        <is>
          <t>D</t>
        </is>
      </c>
      <c r="E25" s="9" t="n">
        <v>49</v>
      </c>
      <c r="F25" s="9" t="n">
        <v>42</v>
      </c>
      <c r="G25" s="9" t="n"/>
      <c r="H25" s="18">
        <f>SUM(E25:F25)</f>
        <v/>
      </c>
      <c r="I25" s="18" t="n">
        <v>4</v>
      </c>
      <c r="J25" s="18">
        <f>IF(F25&lt;=17,"0",IF(H25&lt;=39,"0",IF(H25&lt;=49,"4",IF(H25&lt;=54,"5",IF(H25&lt;=59,"6",IF(H25&lt;=69,"7",IF(H25&lt;=79,"8",IF(H25&lt;=89,"9","10"))))))))</f>
        <v/>
      </c>
      <c r="K25" s="18">
        <f>IF(F25&lt;=17,"F",IF(H25&lt;=39,"F",IF(H25&lt;=49,"P",IF(H25&lt;=54,"C",IF(H25&lt;=59,"B",IF(H25&lt;=69,"B+",IF(H25&lt;=79,"A",IF(H25&lt;=89,"A+","O"))))))))</f>
        <v/>
      </c>
      <c r="L25" s="18">
        <f>I25*J25</f>
        <v/>
      </c>
      <c r="M25" s="18" t="n"/>
      <c r="N25" s="9" t="n">
        <v>50</v>
      </c>
      <c r="O25" s="9" t="n">
        <v>33</v>
      </c>
      <c r="P25" s="9" t="n"/>
      <c r="Q25" s="18">
        <f>SUM(N25:O25)</f>
        <v/>
      </c>
      <c r="R25" s="18" t="n">
        <v>4</v>
      </c>
      <c r="S25" s="18">
        <f>IF(O25&lt;=17,"0",IF(Q25&lt;=39,"4",IF(Q25&lt;=49,"4",IF(Q25&lt;=54,"5",IF(Q25&lt;=59,"6",IF(Q25&lt;=69,"7",IF(Q25&lt;=79,"8",IF(Q25&lt;=89,"9","10"))))))))</f>
        <v/>
      </c>
      <c r="T25" s="18">
        <f>IF(O25&lt;=17,"F",IF(Q25&lt;=39,"F",IF(Q25&lt;=49,"P",IF(Q25&lt;=54,"C",IF(Q25&lt;=59,"B",IF(Q25&lt;=69,"B+",IF(Q25&lt;=79,"A",IF(Q25&lt;=89,"A+","O"))))))))</f>
        <v/>
      </c>
      <c r="U25" s="18">
        <f>R25*S25</f>
        <v/>
      </c>
      <c r="V25" s="18" t="n"/>
      <c r="W25" s="9" t="n">
        <v>48</v>
      </c>
      <c r="X25" s="9" t="n">
        <v>48</v>
      </c>
      <c r="Y25" s="18" t="n"/>
      <c r="Z25" s="18">
        <f>SUM(W25:X25)</f>
        <v/>
      </c>
      <c r="AA25" s="18" t="n">
        <v>3</v>
      </c>
      <c r="AB25" s="18">
        <f>IF(X25&lt;=17,"0",IF(Z25&lt;=39,"0",IF(Z25&lt;=49,"4",IF(Z25&lt;=54,"5",IF(Z25&lt;=59,"6",IF(Z25&lt;=69,"7",IF(Z25&lt;=79,"8",IF(Z25&lt;=89,"9","10"))))))))</f>
        <v/>
      </c>
      <c r="AC25" s="18">
        <f>IF(X25&lt;=17,"F",IF(Z25&lt;=39,"F",IF(Z25&lt;=49,"P",IF(Z25&lt;=54,"C",IF(Z25&lt;=59,"B",IF(Z25&lt;=69,"B+",IF(Z25&lt;=79,"A",IF(Z25&lt;=89,"A+","O"))))))))</f>
        <v/>
      </c>
      <c r="AD25" s="18">
        <f>AA25*AB25</f>
        <v/>
      </c>
      <c r="AE25" s="18" t="n"/>
      <c r="AF25" s="46" t="n">
        <v>44</v>
      </c>
      <c r="AG25" s="46" t="n">
        <v>33</v>
      </c>
      <c r="AH25" s="9" t="n"/>
      <c r="AI25" s="18">
        <f>SUM(AF25:AG25)</f>
        <v/>
      </c>
      <c r="AJ25" s="18" t="n">
        <v>3</v>
      </c>
      <c r="AK25" s="18">
        <f>IF(AG25&lt;=17,"0",IF(AI25&lt;=39,"0",IF(AI25&lt;=49,"4",IF(AI25&lt;=54,"5",IF(AI25&lt;=59,"6",IF(AI25&lt;=69,"7",IF(AI25&lt;=79,"8",IF(AI25&lt;=89,"9","10"))))))))</f>
        <v/>
      </c>
      <c r="AL25" s="18">
        <f>IF(AG25&lt;=17,"F",IF(AI25&lt;=39,"F",IF(AI25&lt;=49,"P",IF(AI25&lt;=54,"C",IF(AI25&lt;=59,"B",IF(AI25&lt;=69,"B+",IF(AI25&lt;=79,"A",IF(AI25&lt;=89,"A+","O"))))))))</f>
        <v/>
      </c>
      <c r="AM25" s="18">
        <f>AJ25*AK25</f>
        <v/>
      </c>
      <c r="AN25" s="18" t="n"/>
      <c r="AO25" s="46" t="n">
        <v>50</v>
      </c>
      <c r="AP25" s="46" t="n">
        <v>30</v>
      </c>
      <c r="AQ25" s="9" t="n"/>
      <c r="AR25" s="18">
        <f>(AO25+AP25)</f>
        <v/>
      </c>
      <c r="AS25" s="18" t="n">
        <v>3</v>
      </c>
      <c r="AT25" s="18">
        <f>IF(AP25&lt;=17,"0",IF(AR25&lt;=39,"0",IF(AR25&lt;=49,"4",IF(AR25&lt;=54,"5",IF(AR25&lt;=59,"6",IF(AR25&lt;=69,"7",IF(AR25&lt;=79,"8",IF(AR25&lt;=89,"9","10"))))))))</f>
        <v/>
      </c>
      <c r="AU25" s="18">
        <f>IF(AP25&lt;=17,"F",IF(AR25&lt;=39,"F",IF(AR25&lt;=49,"P",IF(AR25&lt;=54,"C",IF(AR25&lt;=59,"B",IF(AR25&lt;=69,"B+",IF(AR25&lt;=79,"A",IF(AR25&lt;=89,"A+","O"))))))))</f>
        <v/>
      </c>
      <c r="AV25" s="18">
        <f>AS25*AT25</f>
        <v/>
      </c>
      <c r="AW25" s="18" t="n"/>
      <c r="AX25" s="9" t="n">
        <v>48</v>
      </c>
      <c r="AY25" s="9" t="n">
        <v>36</v>
      </c>
      <c r="AZ25" s="9" t="n"/>
      <c r="BA25" s="18">
        <f>(AX25+AY25)</f>
        <v/>
      </c>
      <c r="BB25" s="18" t="n">
        <v>1</v>
      </c>
      <c r="BC25" s="18">
        <f>IF(AY25&lt;=17,"0",IF(BA25&lt;=39,"0",IF(BA25&lt;=49,"4",IF(BA25&lt;=54,"5",IF(BA25&lt;=59,"6",IF(BA25&lt;=69,"7",IF(BA25&lt;=79,"8",IF(BA25&lt;=89,"9","10"))))))))</f>
        <v/>
      </c>
      <c r="BD25" s="18">
        <f>IF(AY25&lt;=17,"F",IF(BA25&lt;=39,"F",IF(BA25&lt;=49,"P",IF(BA25&lt;=54,"C",IF(BA25&lt;=59,"B",IF(BA25&lt;=69,"B+",IF(BA25&lt;=79,"A",IF(BA25&lt;=89,"A+","O"))))))))</f>
        <v/>
      </c>
      <c r="BE25" s="18">
        <f>BB25*BC25</f>
        <v/>
      </c>
      <c r="BF25" s="43" t="inlineStr">
        <is>
          <t>Samskrutika Kannada</t>
        </is>
      </c>
      <c r="BG25" s="9" t="n">
        <v>43</v>
      </c>
      <c r="BH25" s="9" t="n">
        <v>36</v>
      </c>
      <c r="BI25" s="9" t="n"/>
      <c r="BJ25" s="18">
        <f>(BG25+BH25)</f>
        <v/>
      </c>
      <c r="BK25" s="18" t="n">
        <v>1</v>
      </c>
      <c r="BL25" s="18">
        <f>IF(BH25&lt;=17,"0",IF(BJ25&lt;=39,"0",IF(BJ25&lt;=49,"4",IF(BJ25&lt;=54,"5",IF(BJ25&lt;=59,"6",IF(BJ25&lt;=69,"7",IF(BJ25&lt;=79,"8",IF(BJ25&lt;=89,"9","10"))))))))</f>
        <v/>
      </c>
      <c r="BM25" s="18">
        <f>IF(BH25&lt;=17,"F",IF(BJ25&lt;=39,"F",IF(BJ25&lt;=49,"P",IF(BJ25&lt;=54,"C",IF(BJ25&lt;=59,"B",IF(BJ25&lt;=69,"B+",IF(BJ25&lt;=79,"A",IF(BJ25&lt;=89,"A+","O"))))))))</f>
        <v/>
      </c>
      <c r="BN25" s="18">
        <f>BK25*BL25</f>
        <v/>
      </c>
      <c r="BO25" s="18" t="n"/>
      <c r="BP25" s="9" t="n">
        <v>44</v>
      </c>
      <c r="BQ25" s="9" t="n">
        <v>42</v>
      </c>
      <c r="BR25" s="9" t="n"/>
      <c r="BS25" s="18">
        <f>(BP25+BQ25)</f>
        <v/>
      </c>
      <c r="BT25" s="18" t="n">
        <v>1</v>
      </c>
      <c r="BU25" s="18">
        <f>IF(BQ25&lt;=17,"0",IF(BS25&lt;=39,"0",IF(BS25&lt;=49,"4",IF(BS25&lt;=54,"5",IF(BS25&lt;=59,"6",IF(BS25&lt;=69,"7",IF(BS25&lt;=79,"8",IF(BS25&lt;=89,"9","10"))))))))</f>
        <v/>
      </c>
      <c r="BV25" s="18">
        <f>IF(BQ25&lt;=17,"F",IF(BS25&lt;=39,"F",IF(BS25&lt;=49,"P",IF(BS25&lt;=54,"C",IF(BS25&lt;=59,"B",IF(BS25&lt;=69,"B+",IF(BS25&lt;=79,"A",IF(BS25&lt;=89,"A+","O"))))))))</f>
        <v/>
      </c>
      <c r="BW25" s="18">
        <f>BT25*BU25</f>
        <v/>
      </c>
      <c r="BX25" s="18" t="n"/>
      <c r="BY25" s="18" t="n"/>
      <c r="BZ25" s="18">
        <f>L25+U25+AD25+AM25+AV25+BE25+BN25+BW25</f>
        <v/>
      </c>
      <c r="CA25" s="19">
        <f>BZ25/20</f>
        <v/>
      </c>
      <c r="CB25" s="28">
        <f>IF(CA25&lt;4,"F",IF(BV25="F","F",IF(BM25="F","F",IF(BD25="F","F",IF(AU25="F","F",IF(AL25="F","F",IF(AC25="F","F",IF(T25="F","F",IF(K25="F","F",IF(CA25&lt;=5,"C",IF(CA25&lt;6,"B",IF(CA25&lt;7,"B+",IF(CA25&lt;8,"A",IF(CA25&lt;=9,"A+","O"))))))))))))))</f>
        <v/>
      </c>
      <c r="CC25" s="27">
        <f>CA25*9.5</f>
        <v/>
      </c>
      <c r="CD25" s="27" t="n"/>
      <c r="CE25" s="28">
        <f>SUM(BS25,BJ25,BA25,AR25,AI25,Z25,Q25,H25)</f>
        <v/>
      </c>
      <c r="CF25" s="28">
        <f>(CE25/800)*100</f>
        <v/>
      </c>
      <c r="CG25" s="27" t="n"/>
      <c r="CH25" s="27" t="n"/>
      <c r="CI25" s="27">
        <f>IF(CA25&lt;=4,"F",IF(CA25&lt;=6,"PASS",IF(CA25&lt;=6.5,"SC",IF(CA25&lt;=7.5,"FC",IF(CA25&lt;="10","FCD")))))</f>
        <v/>
      </c>
    </row>
    <row r="26" ht="15.75" customHeight="1">
      <c r="A26" s="35">
        <f>A25+1</f>
        <v/>
      </c>
      <c r="B26" s="37" t="inlineStr">
        <is>
          <t>1BI22CD027</t>
        </is>
      </c>
      <c r="C26" s="44" t="inlineStr">
        <is>
          <t>NAGASUPRIYA BANDLAMUDI</t>
        </is>
      </c>
      <c r="D26" s="47" t="inlineStr">
        <is>
          <t>D</t>
        </is>
      </c>
      <c r="E26" s="9" t="n">
        <v>50</v>
      </c>
      <c r="F26" s="9" t="n">
        <v>36</v>
      </c>
      <c r="G26" s="9" t="n"/>
      <c r="H26" s="18">
        <f>SUM(E26:F26)</f>
        <v/>
      </c>
      <c r="I26" s="18" t="n">
        <v>4</v>
      </c>
      <c r="J26" s="18">
        <f>IF(F26&lt;=17,"0",IF(H26&lt;=39,"0",IF(H26&lt;=49,"4",IF(H26&lt;=54,"5",IF(H26&lt;=59,"6",IF(H26&lt;=69,"7",IF(H26&lt;=79,"8",IF(H26&lt;=89,"9","10"))))))))</f>
        <v/>
      </c>
      <c r="K26" s="18">
        <f>IF(F26&lt;=17,"F",IF(H26&lt;=39,"F",IF(H26&lt;=49,"P",IF(H26&lt;=54,"C",IF(H26&lt;=59,"B",IF(H26&lt;=69,"B+",IF(H26&lt;=79,"A",IF(H26&lt;=89,"A+","O"))))))))</f>
        <v/>
      </c>
      <c r="L26" s="18">
        <f>I26*J26</f>
        <v/>
      </c>
      <c r="M26" s="18" t="n"/>
      <c r="N26" s="9" t="n">
        <v>50</v>
      </c>
      <c r="O26" s="9" t="n">
        <v>35</v>
      </c>
      <c r="P26" s="9" t="n"/>
      <c r="Q26" s="18">
        <f>SUM(N26:O26)</f>
        <v/>
      </c>
      <c r="R26" s="18" t="n">
        <v>4</v>
      </c>
      <c r="S26" s="18">
        <f>IF(O26&lt;=17,"0",IF(Q26&lt;=39,"4",IF(Q26&lt;=49,"4",IF(Q26&lt;=54,"5",IF(Q26&lt;=59,"6",IF(Q26&lt;=69,"7",IF(Q26&lt;=79,"8",IF(Q26&lt;=89,"9","10"))))))))</f>
        <v/>
      </c>
      <c r="T26" s="18">
        <f>IF(O26&lt;=17,"F",IF(Q26&lt;=39,"F",IF(Q26&lt;=49,"P",IF(Q26&lt;=54,"C",IF(Q26&lt;=59,"B",IF(Q26&lt;=69,"B+",IF(Q26&lt;=79,"A",IF(Q26&lt;=89,"A+","O"))))))))</f>
        <v/>
      </c>
      <c r="U26" s="18">
        <f>R26*S26</f>
        <v/>
      </c>
      <c r="V26" s="18" t="n"/>
      <c r="W26" s="9" t="n">
        <v>50</v>
      </c>
      <c r="X26" s="9" t="n">
        <v>41</v>
      </c>
      <c r="Y26" s="18" t="n"/>
      <c r="Z26" s="18">
        <f>SUM(W26:X26)</f>
        <v/>
      </c>
      <c r="AA26" s="18" t="n">
        <v>3</v>
      </c>
      <c r="AB26" s="18">
        <f>IF(X26&lt;=17,"0",IF(Z26&lt;=39,"0",IF(Z26&lt;=49,"4",IF(Z26&lt;=54,"5",IF(Z26&lt;=59,"6",IF(Z26&lt;=69,"7",IF(Z26&lt;=79,"8",IF(Z26&lt;=89,"9","10"))))))))</f>
        <v/>
      </c>
      <c r="AC26" s="18">
        <f>IF(X26&lt;=17,"F",IF(Z26&lt;=39,"F",IF(Z26&lt;=49,"P",IF(Z26&lt;=54,"C",IF(Z26&lt;=59,"B",IF(Z26&lt;=69,"B+",IF(Z26&lt;=79,"A",IF(Z26&lt;=89,"A+","O"))))))))</f>
        <v/>
      </c>
      <c r="AD26" s="18">
        <f>AA26*AB26</f>
        <v/>
      </c>
      <c r="AE26" s="18" t="n"/>
      <c r="AF26" s="46" t="n">
        <v>50</v>
      </c>
      <c r="AG26" s="46" t="n">
        <v>39</v>
      </c>
      <c r="AH26" s="9" t="n"/>
      <c r="AI26" s="18">
        <f>SUM(AF26:AG26)</f>
        <v/>
      </c>
      <c r="AJ26" s="18" t="n">
        <v>3</v>
      </c>
      <c r="AK26" s="18">
        <f>IF(AG26&lt;=17,"0",IF(AI26&lt;=39,"0",IF(AI26&lt;=49,"4",IF(AI26&lt;=54,"5",IF(AI26&lt;=59,"6",IF(AI26&lt;=69,"7",IF(AI26&lt;=79,"8",IF(AI26&lt;=89,"9","10"))))))))</f>
        <v/>
      </c>
      <c r="AL26" s="18">
        <f>IF(AG26&lt;=17,"F",IF(AI26&lt;=39,"F",IF(AI26&lt;=49,"P",IF(AI26&lt;=54,"C",IF(AI26&lt;=59,"B",IF(AI26&lt;=69,"B+",IF(AI26&lt;=79,"A",IF(AI26&lt;=89,"A+","O"))))))))</f>
        <v/>
      </c>
      <c r="AM26" s="18">
        <f>AJ26*AK26</f>
        <v/>
      </c>
      <c r="AN26" s="18" t="n"/>
      <c r="AO26" s="46" t="n">
        <v>50</v>
      </c>
      <c r="AP26" s="46" t="n">
        <v>29</v>
      </c>
      <c r="AQ26" s="9" t="n"/>
      <c r="AR26" s="18">
        <f>(AO26+AP26)</f>
        <v/>
      </c>
      <c r="AS26" s="18" t="n">
        <v>3</v>
      </c>
      <c r="AT26" s="18">
        <f>IF(AP26&lt;=17,"0",IF(AR26&lt;=39,"0",IF(AR26&lt;=49,"4",IF(AR26&lt;=54,"5",IF(AR26&lt;=59,"6",IF(AR26&lt;=69,"7",IF(AR26&lt;=79,"8",IF(AR26&lt;=89,"9","10"))))))))</f>
        <v/>
      </c>
      <c r="AU26" s="18">
        <f>IF(AP26&lt;=17,"F",IF(AR26&lt;=39,"F",IF(AR26&lt;=49,"P",IF(AR26&lt;=54,"C",IF(AR26&lt;=59,"B",IF(AR26&lt;=69,"B+",IF(AR26&lt;=79,"A",IF(AR26&lt;=89,"A+","O"))))))))</f>
        <v/>
      </c>
      <c r="AV26" s="18">
        <f>AS26*AT26</f>
        <v/>
      </c>
      <c r="AW26" s="18" t="n"/>
      <c r="AX26" s="9" t="n">
        <v>50</v>
      </c>
      <c r="AY26" s="9" t="n">
        <v>33</v>
      </c>
      <c r="AZ26" s="9" t="n"/>
      <c r="BA26" s="18">
        <f>(AX26+AY26)</f>
        <v/>
      </c>
      <c r="BB26" s="18" t="n">
        <v>1</v>
      </c>
      <c r="BC26" s="18">
        <f>IF(AY26&lt;=17,"0",IF(BA26&lt;=39,"0",IF(BA26&lt;=49,"4",IF(BA26&lt;=54,"5",IF(BA26&lt;=59,"6",IF(BA26&lt;=69,"7",IF(BA26&lt;=79,"8",IF(BA26&lt;=89,"9","10"))))))))</f>
        <v/>
      </c>
      <c r="BD26" s="18">
        <f>IF(AY26&lt;=17,"F",IF(BA26&lt;=39,"F",IF(BA26&lt;=49,"P",IF(BA26&lt;=54,"C",IF(BA26&lt;=59,"B",IF(BA26&lt;=69,"B+",IF(BA26&lt;=79,"A",IF(BA26&lt;=89,"A+","O"))))))))</f>
        <v/>
      </c>
      <c r="BE26" s="18">
        <f>BB26*BC26</f>
        <v/>
      </c>
      <c r="BF26" s="43" t="inlineStr">
        <is>
          <t>Balake Kannada</t>
        </is>
      </c>
      <c r="BG26" s="9" t="n">
        <v>50</v>
      </c>
      <c r="BH26" s="9" t="n">
        <v>49</v>
      </c>
      <c r="BI26" s="9" t="n"/>
      <c r="BJ26" s="18">
        <f>(BG26+BH26)</f>
        <v/>
      </c>
      <c r="BK26" s="18" t="n">
        <v>1</v>
      </c>
      <c r="BL26" s="18">
        <f>IF(BH26&lt;=17,"0",IF(BJ26&lt;=39,"0",IF(BJ26&lt;=49,"4",IF(BJ26&lt;=54,"5",IF(BJ26&lt;=59,"6",IF(BJ26&lt;=69,"7",IF(BJ26&lt;=79,"8",IF(BJ26&lt;=89,"9","10"))))))))</f>
        <v/>
      </c>
      <c r="BM26" s="18">
        <f>IF(BH26&lt;=17,"F",IF(BJ26&lt;=39,"F",IF(BJ26&lt;=49,"P",IF(BJ26&lt;=54,"C",IF(BJ26&lt;=59,"B",IF(BJ26&lt;=69,"B+",IF(BJ26&lt;=79,"A",IF(BJ26&lt;=89,"A+","O"))))))))</f>
        <v/>
      </c>
      <c r="BN26" s="18">
        <f>BK26*BL26</f>
        <v/>
      </c>
      <c r="BO26" s="18" t="n"/>
      <c r="BP26" s="9" t="n">
        <v>50</v>
      </c>
      <c r="BQ26" s="9" t="n">
        <v>38</v>
      </c>
      <c r="BR26" s="9" t="n"/>
      <c r="BS26" s="18">
        <f>(BP26+BQ26)</f>
        <v/>
      </c>
      <c r="BT26" s="18" t="n">
        <v>1</v>
      </c>
      <c r="BU26" s="18">
        <f>IF(BQ26&lt;=17,"0",IF(BS26&lt;=39,"0",IF(BS26&lt;=49,"4",IF(BS26&lt;=54,"5",IF(BS26&lt;=59,"6",IF(BS26&lt;=69,"7",IF(BS26&lt;=79,"8",IF(BS26&lt;=89,"9","10"))))))))</f>
        <v/>
      </c>
      <c r="BV26" s="18">
        <f>IF(BQ26&lt;=17,"F",IF(BS26&lt;=39,"F",IF(BS26&lt;=49,"P",IF(BS26&lt;=54,"C",IF(BS26&lt;=59,"B",IF(BS26&lt;=69,"B+",IF(BS26&lt;=79,"A",IF(BS26&lt;=89,"A+","O"))))))))</f>
        <v/>
      </c>
      <c r="BW26" s="18">
        <f>BT26*BU26</f>
        <v/>
      </c>
      <c r="BX26" s="18" t="n"/>
      <c r="BY26" s="18" t="n"/>
      <c r="BZ26" s="18">
        <f>L26+U26+AD26+AM26+AV26+BE26+BN26+BW26</f>
        <v/>
      </c>
      <c r="CA26" s="19">
        <f>BZ26/20</f>
        <v/>
      </c>
      <c r="CB26" s="28">
        <f>IF(CA26&lt;4,"F",IF(BV26="F","F",IF(BM26="F","F",IF(BD26="F","F",IF(AU26="F","F",IF(AL26="F","F",IF(AC26="F","F",IF(T26="F","F",IF(K26="F","F",IF(CA26&lt;=5,"C",IF(CA26&lt;6,"B",IF(CA26&lt;7,"B+",IF(CA26&lt;8,"A",IF(CA26&lt;=9,"A+","O"))))))))))))))</f>
        <v/>
      </c>
      <c r="CC26" s="27">
        <f>CA26*9.5</f>
        <v/>
      </c>
      <c r="CD26" s="27" t="n"/>
      <c r="CE26" s="28">
        <f>SUM(BS26,BJ26,BA26,AR26,AI26,Z26,Q26,H26)</f>
        <v/>
      </c>
      <c r="CF26" s="28">
        <f>(CE26/800)*100</f>
        <v/>
      </c>
      <c r="CG26" s="27" t="n"/>
      <c r="CH26" s="27" t="n"/>
      <c r="CI26" s="27">
        <f>IF(CA26&lt;=4,"F",IF(CA26&lt;=6,"PASS",IF(CA26&lt;=6.5,"SC",IF(CA26&lt;=7.5,"FC",IF(CA26&lt;="10","FCD")))))</f>
        <v/>
      </c>
      <c r="CJ26" s="1" t="n">
        <v>9.050000000000001</v>
      </c>
      <c r="CK26" s="1" t="n">
        <v>9.050000000000001</v>
      </c>
    </row>
    <row r="27" ht="15.75" customHeight="1">
      <c r="A27" s="35">
        <f>A26+1</f>
        <v/>
      </c>
      <c r="B27" s="37" t="inlineStr">
        <is>
          <t>1BI22CD035</t>
        </is>
      </c>
      <c r="C27" s="44" t="inlineStr">
        <is>
          <t>PUNITH S</t>
        </is>
      </c>
      <c r="D27" s="47" t="inlineStr">
        <is>
          <t>D</t>
        </is>
      </c>
      <c r="E27" s="9" t="n">
        <v>47</v>
      </c>
      <c r="F27" s="9" t="n">
        <v>38</v>
      </c>
      <c r="G27" s="9" t="n"/>
      <c r="H27" s="18">
        <f>SUM(E27:F27)</f>
        <v/>
      </c>
      <c r="I27" s="18" t="n">
        <v>4</v>
      </c>
      <c r="J27" s="18">
        <f>IF(F27&lt;=17,"0",IF(H27&lt;=39,"0",IF(H27&lt;=49,"4",IF(H27&lt;=54,"5",IF(H27&lt;=59,"6",IF(H27&lt;=69,"7",IF(H27&lt;=79,"8",IF(H27&lt;=89,"9","10"))))))))</f>
        <v/>
      </c>
      <c r="K27" s="18">
        <f>IF(F27&lt;=17,"F",IF(H27&lt;=39,"F",IF(H27&lt;=49,"P",IF(H27&lt;=54,"C",IF(H27&lt;=59,"B",IF(H27&lt;=69,"B+",IF(H27&lt;=79,"A",IF(H27&lt;=89,"A+","O"))))))))</f>
        <v/>
      </c>
      <c r="L27" s="18">
        <f>I27*J27</f>
        <v/>
      </c>
      <c r="M27" s="18" t="n"/>
      <c r="N27" s="9" t="n">
        <v>47</v>
      </c>
      <c r="O27" s="9" t="n">
        <v>38</v>
      </c>
      <c r="P27" s="9" t="n"/>
      <c r="Q27" s="18">
        <f>SUM(N27:O27)</f>
        <v/>
      </c>
      <c r="R27" s="18" t="n">
        <v>4</v>
      </c>
      <c r="S27" s="18">
        <f>IF(O27&lt;=17,"0",IF(Q27&lt;=39,"4",IF(Q27&lt;=49,"4",IF(Q27&lt;=54,"5",IF(Q27&lt;=59,"6",IF(Q27&lt;=69,"7",IF(Q27&lt;=79,"8",IF(Q27&lt;=89,"9","10"))))))))</f>
        <v/>
      </c>
      <c r="T27" s="18">
        <f>IF(O27&lt;=17,"F",IF(Q27&lt;=39,"F",IF(Q27&lt;=49,"P",IF(Q27&lt;=54,"C",IF(Q27&lt;=59,"B",IF(Q27&lt;=69,"B+",IF(Q27&lt;=79,"A",IF(Q27&lt;=89,"A+","O"))))))))</f>
        <v/>
      </c>
      <c r="U27" s="18">
        <f>R27*S27</f>
        <v/>
      </c>
      <c r="V27" s="18" t="n"/>
      <c r="W27" s="9" t="n">
        <v>47</v>
      </c>
      <c r="X27" s="9" t="n">
        <v>48</v>
      </c>
      <c r="Y27" s="18" t="n"/>
      <c r="Z27" s="18">
        <f>SUM(W27:X27)</f>
        <v/>
      </c>
      <c r="AA27" s="18" t="n">
        <v>3</v>
      </c>
      <c r="AB27" s="18">
        <f>IF(X27&lt;=17,"0",IF(Z27&lt;=39,"0",IF(Z27&lt;=49,"4",IF(Z27&lt;=54,"5",IF(Z27&lt;=59,"6",IF(Z27&lt;=69,"7",IF(Z27&lt;=79,"8",IF(Z27&lt;=89,"9","10"))))))))</f>
        <v/>
      </c>
      <c r="AC27" s="18">
        <f>IF(X27&lt;=17,"F",IF(Z27&lt;=39,"F",IF(Z27&lt;=49,"P",IF(Z27&lt;=54,"C",IF(Z27&lt;=59,"B",IF(Z27&lt;=69,"B+",IF(Z27&lt;=79,"A",IF(Z27&lt;=89,"A+","O"))))))))</f>
        <v/>
      </c>
      <c r="AD27" s="18">
        <f>AA27*AB27</f>
        <v/>
      </c>
      <c r="AE27" s="18" t="n"/>
      <c r="AF27" s="46" t="n">
        <v>48</v>
      </c>
      <c r="AG27" s="46" t="n">
        <v>34</v>
      </c>
      <c r="AH27" s="9" t="n"/>
      <c r="AI27" s="18">
        <f>SUM(AF27:AG27)</f>
        <v/>
      </c>
      <c r="AJ27" s="18" t="n">
        <v>3</v>
      </c>
      <c r="AK27" s="18">
        <f>IF(AG27&lt;=17,"0",IF(AI27&lt;=39,"0",IF(AI27&lt;=49,"4",IF(AI27&lt;=54,"5",IF(AI27&lt;=59,"6",IF(AI27&lt;=69,"7",IF(AI27&lt;=79,"8",IF(AI27&lt;=89,"9","10"))))))))</f>
        <v/>
      </c>
      <c r="AL27" s="18">
        <f>IF(AG27&lt;=17,"F",IF(AI27&lt;=39,"F",IF(AI27&lt;=49,"P",IF(AI27&lt;=54,"C",IF(AI27&lt;=59,"B",IF(AI27&lt;=69,"B+",IF(AI27&lt;=79,"A",IF(AI27&lt;=89,"A+","O"))))))))</f>
        <v/>
      </c>
      <c r="AM27" s="18">
        <f>AJ27*AK27</f>
        <v/>
      </c>
      <c r="AN27" s="18" t="n"/>
      <c r="AO27" s="46" t="n">
        <v>49</v>
      </c>
      <c r="AP27" s="46" t="n">
        <v>29</v>
      </c>
      <c r="AQ27" s="9" t="n"/>
      <c r="AR27" s="18">
        <f>(AO27+AP27)</f>
        <v/>
      </c>
      <c r="AS27" s="18" t="n">
        <v>3</v>
      </c>
      <c r="AT27" s="18">
        <f>IF(AP27&lt;=17,"0",IF(AR27&lt;=39,"0",IF(AR27&lt;=49,"4",IF(AR27&lt;=54,"5",IF(AR27&lt;=59,"6",IF(AR27&lt;=69,"7",IF(AR27&lt;=79,"8",IF(AR27&lt;=89,"9","10"))))))))</f>
        <v/>
      </c>
      <c r="AU27" s="18">
        <f>IF(AP27&lt;=17,"F",IF(AR27&lt;=39,"F",IF(AR27&lt;=49,"P",IF(AR27&lt;=54,"C",IF(AR27&lt;=59,"B",IF(AR27&lt;=69,"B+",IF(AR27&lt;=79,"A",IF(AR27&lt;=89,"A+","O"))))))))</f>
        <v/>
      </c>
      <c r="AV27" s="18">
        <f>AS27*AT27</f>
        <v/>
      </c>
      <c r="AW27" s="18" t="n"/>
      <c r="AX27" s="9" t="n">
        <v>47</v>
      </c>
      <c r="AY27" s="9" t="n">
        <v>29</v>
      </c>
      <c r="AZ27" s="9" t="n"/>
      <c r="BA27" s="18">
        <f>(AX27+AY27)</f>
        <v/>
      </c>
      <c r="BB27" s="18" t="n">
        <v>1</v>
      </c>
      <c r="BC27" s="18">
        <f>IF(AY27&lt;=17,"0",IF(BA27&lt;=39,"0",IF(BA27&lt;=49,"4",IF(BA27&lt;=54,"5",IF(BA27&lt;=59,"6",IF(BA27&lt;=69,"7",IF(BA27&lt;=79,"8",IF(BA27&lt;=89,"9","10"))))))))</f>
        <v/>
      </c>
      <c r="BD27" s="18">
        <f>IF(AY27&lt;=17,"F",IF(BA27&lt;=39,"F",IF(BA27&lt;=49,"P",IF(BA27&lt;=54,"C",IF(BA27&lt;=59,"B",IF(BA27&lt;=69,"B+",IF(BA27&lt;=79,"A",IF(BA27&lt;=89,"A+","O"))))))))</f>
        <v/>
      </c>
      <c r="BE27" s="18">
        <f>BB27*BC27</f>
        <v/>
      </c>
      <c r="BF27" s="43" t="inlineStr">
        <is>
          <t>Samskrutika Kannada</t>
        </is>
      </c>
      <c r="BG27" s="9" t="n">
        <v>46</v>
      </c>
      <c r="BH27" s="9" t="n">
        <v>42</v>
      </c>
      <c r="BI27" s="9" t="n"/>
      <c r="BJ27" s="18">
        <f>(BG27+BH27)</f>
        <v/>
      </c>
      <c r="BK27" s="18" t="n">
        <v>1</v>
      </c>
      <c r="BL27" s="18">
        <f>IF(BH27&lt;=17,"0",IF(BJ27&lt;=39,"0",IF(BJ27&lt;=49,"4",IF(BJ27&lt;=54,"5",IF(BJ27&lt;=59,"6",IF(BJ27&lt;=69,"7",IF(BJ27&lt;=79,"8",IF(BJ27&lt;=89,"9","10"))))))))</f>
        <v/>
      </c>
      <c r="BM27" s="18">
        <f>IF(BH27&lt;=17,"F",IF(BJ27&lt;=39,"F",IF(BJ27&lt;=49,"P",IF(BJ27&lt;=54,"C",IF(BJ27&lt;=59,"B",IF(BJ27&lt;=69,"B+",IF(BJ27&lt;=79,"A",IF(BJ27&lt;=89,"A+","O"))))))))</f>
        <v/>
      </c>
      <c r="BN27" s="18">
        <f>BK27*BL27</f>
        <v/>
      </c>
      <c r="BO27" s="18" t="n"/>
      <c r="BP27" s="9" t="n">
        <v>45</v>
      </c>
      <c r="BQ27" s="9" t="n">
        <v>40</v>
      </c>
      <c r="BR27" s="9" t="n"/>
      <c r="BS27" s="18">
        <f>(BP27+BQ27)</f>
        <v/>
      </c>
      <c r="BT27" s="18" t="n">
        <v>1</v>
      </c>
      <c r="BU27" s="18">
        <f>IF(BQ27&lt;=17,"0",IF(BS27&lt;=39,"0",IF(BS27&lt;=49,"4",IF(BS27&lt;=54,"5",IF(BS27&lt;=59,"6",IF(BS27&lt;=69,"7",IF(BS27&lt;=79,"8",IF(BS27&lt;=89,"9","10"))))))))</f>
        <v/>
      </c>
      <c r="BV27" s="18">
        <f>IF(BQ27&lt;=17,"F",IF(BS27&lt;=39,"F",IF(BS27&lt;=49,"P",IF(BS27&lt;=54,"C",IF(BS27&lt;=59,"B",IF(BS27&lt;=69,"B+",IF(BS27&lt;=79,"A",IF(BS27&lt;=89,"A+","O"))))))))</f>
        <v/>
      </c>
      <c r="BW27" s="18">
        <f>BT27*BU27</f>
        <v/>
      </c>
      <c r="BX27" s="18" t="n"/>
      <c r="BY27" s="18" t="n"/>
      <c r="BZ27" s="18">
        <f>L27+U27+AD27+AM27+AV27+BE27+BN27+BW27</f>
        <v/>
      </c>
      <c r="CA27" s="19">
        <f>BZ27/20</f>
        <v/>
      </c>
      <c r="CB27" s="28">
        <f>IF(CA27&lt;4,"F",IF(BV27="F","F",IF(BM27="F","F",IF(BD27="F","F",IF(AU27="F","F",IF(AL27="F","F",IF(AC27="F","F",IF(T27="F","F",IF(K27="F","F",IF(CA27&lt;=5,"C",IF(CA27&lt;6,"B",IF(CA27&lt;7,"B+",IF(CA27&lt;8,"A",IF(CA27&lt;=9,"A+","O"))))))))))))))</f>
        <v/>
      </c>
      <c r="CC27" s="27">
        <f>CA27*9.5</f>
        <v/>
      </c>
      <c r="CD27" s="27" t="n"/>
      <c r="CE27" s="28">
        <f>SUM(BS27,BJ27,BA27,AR27,AI27,Z27,Q27,H27)</f>
        <v/>
      </c>
      <c r="CF27" s="28">
        <f>(CE27/800)*100</f>
        <v/>
      </c>
      <c r="CG27" s="27" t="n"/>
      <c r="CH27" s="27" t="n"/>
      <c r="CI27" s="27">
        <f>IF(CA27&lt;=4,"F",IF(CA27&lt;=6,"PASS",IF(CA27&lt;=6.5,"SC",IF(CA27&lt;=7.5,"FC",IF(CA27&lt;="10","FCD")))))</f>
        <v/>
      </c>
    </row>
    <row r="28" ht="15.75" customHeight="1">
      <c r="A28" s="35" t="n">
        <v>57</v>
      </c>
      <c r="B28" s="37" t="inlineStr">
        <is>
          <t>1BI22CD057</t>
        </is>
      </c>
      <c r="C28" s="44" t="inlineStr">
        <is>
          <t>THANUSH J</t>
        </is>
      </c>
      <c r="D28" s="47" t="inlineStr">
        <is>
          <t>D</t>
        </is>
      </c>
      <c r="E28" s="9" t="n">
        <v>47</v>
      </c>
      <c r="F28" s="9" t="n">
        <v>44</v>
      </c>
      <c r="G28" s="9" t="n"/>
      <c r="H28" s="18">
        <f>SUM(E28:F28)</f>
        <v/>
      </c>
      <c r="I28" s="18" t="n">
        <v>4</v>
      </c>
      <c r="J28" s="18">
        <f>IF(F28&lt;=17,"0",IF(H28&lt;=39,"0",IF(H28&lt;=49,"4",IF(H28&lt;=54,"5",IF(H28&lt;=59,"6",IF(H28&lt;=69,"7",IF(H28&lt;=79,"8",IF(H28&lt;=89,"9","10"))))))))</f>
        <v/>
      </c>
      <c r="K28" s="18">
        <f>IF(F28&lt;=17,"F",IF(H28&lt;=39,"F",IF(H28&lt;=49,"P",IF(H28&lt;=54,"C",IF(H28&lt;=59,"B",IF(H28&lt;=69,"B+",IF(H28&lt;=79,"A",IF(H28&lt;=89,"A+","O"))))))))</f>
        <v/>
      </c>
      <c r="L28" s="18">
        <f>I28*J28</f>
        <v/>
      </c>
      <c r="M28" s="18" t="n"/>
      <c r="N28" s="9" t="n">
        <v>47</v>
      </c>
      <c r="O28" s="9" t="n">
        <v>24</v>
      </c>
      <c r="P28" s="9" t="n"/>
      <c r="Q28" s="18">
        <f>SUM(N28:O28)</f>
        <v/>
      </c>
      <c r="R28" s="18" t="n">
        <v>4</v>
      </c>
      <c r="S28" s="18">
        <f>IF(O28&lt;=17,"0",IF(Q28&lt;=39,"4",IF(Q28&lt;=49,"4",IF(Q28&lt;=54,"5",IF(Q28&lt;=59,"6",IF(Q28&lt;=69,"7",IF(Q28&lt;=79,"8",IF(Q28&lt;=89,"9","10"))))))))</f>
        <v/>
      </c>
      <c r="T28" s="18">
        <f>IF(O28&lt;=17,"F",IF(Q28&lt;=39,"F",IF(Q28&lt;=49,"P",IF(Q28&lt;=54,"C",IF(Q28&lt;=59,"B",IF(Q28&lt;=69,"B+",IF(Q28&lt;=79,"A",IF(Q28&lt;=89,"A+","O"))))))))</f>
        <v/>
      </c>
      <c r="U28" s="18">
        <f>R28*S28</f>
        <v/>
      </c>
      <c r="V28" s="18" t="n"/>
      <c r="W28" s="9" t="n">
        <v>47</v>
      </c>
      <c r="X28" s="9" t="n">
        <v>41</v>
      </c>
      <c r="Y28" s="18" t="n"/>
      <c r="Z28" s="18">
        <f>SUM(W28:X28)</f>
        <v/>
      </c>
      <c r="AA28" s="18" t="n">
        <v>3</v>
      </c>
      <c r="AB28" s="18">
        <f>IF(X28&lt;=17,"0",IF(Z28&lt;=39,"0",IF(Z28&lt;=49,"4",IF(Z28&lt;=54,"5",IF(Z28&lt;=59,"6",IF(Z28&lt;=69,"7",IF(Z28&lt;=79,"8",IF(Z28&lt;=89,"9","10"))))))))</f>
        <v/>
      </c>
      <c r="AC28" s="18">
        <f>IF(X28&lt;=17,"F",IF(Z28&lt;=39,"F",IF(Z28&lt;=49,"P",IF(Z28&lt;=54,"C",IF(Z28&lt;=59,"B",IF(Z28&lt;=69,"B+",IF(Z28&lt;=79,"A",IF(Z28&lt;=89,"A+","O"))))))))</f>
        <v/>
      </c>
      <c r="AD28" s="18">
        <f>AA28*AB28</f>
        <v/>
      </c>
      <c r="AE28" s="18" t="n"/>
      <c r="AF28" s="46" t="n">
        <v>47</v>
      </c>
      <c r="AG28" s="46" t="n">
        <v>36</v>
      </c>
      <c r="AH28" s="9" t="n"/>
      <c r="AI28" s="18">
        <f>SUM(AF28:AG28)</f>
        <v/>
      </c>
      <c r="AJ28" s="18" t="n">
        <v>3</v>
      </c>
      <c r="AK28" s="18">
        <f>IF(AG28&lt;=17,"0",IF(AI28&lt;=39,"0",IF(AI28&lt;=49,"4",IF(AI28&lt;=54,"5",IF(AI28&lt;=59,"6",IF(AI28&lt;=69,"7",IF(AI28&lt;=79,"8",IF(AI28&lt;=89,"9","10"))))))))</f>
        <v/>
      </c>
      <c r="AL28" s="18">
        <f>IF(AG28&lt;=17,"F",IF(AI28&lt;=39,"F",IF(AI28&lt;=49,"P",IF(AI28&lt;=54,"C",IF(AI28&lt;=59,"B",IF(AI28&lt;=69,"B+",IF(AI28&lt;=79,"A",IF(AI28&lt;=89,"A+","O"))))))))</f>
        <v/>
      </c>
      <c r="AM28" s="18">
        <f>AJ28*AK28</f>
        <v/>
      </c>
      <c r="AN28" s="18" t="n"/>
      <c r="AO28" s="46" t="n">
        <v>49</v>
      </c>
      <c r="AP28" s="46" t="n">
        <v>38</v>
      </c>
      <c r="AQ28" s="9" t="n"/>
      <c r="AR28" s="18">
        <f>(AO28+AP28)</f>
        <v/>
      </c>
      <c r="AS28" s="18" t="n">
        <v>3</v>
      </c>
      <c r="AT28" s="18">
        <f>IF(AP28&lt;=17,"0",IF(AR28&lt;=39,"0",IF(AR28&lt;=49,"4",IF(AR28&lt;=54,"5",IF(AR28&lt;=59,"6",IF(AR28&lt;=69,"7",IF(AR28&lt;=79,"8",IF(AR28&lt;=89,"9","10"))))))))</f>
        <v/>
      </c>
      <c r="AU28" s="18">
        <f>IF(AP28&lt;=17,"F",IF(AR28&lt;=39,"F",IF(AR28&lt;=49,"P",IF(AR28&lt;=54,"C",IF(AR28&lt;=59,"B",IF(AR28&lt;=69,"B+",IF(AR28&lt;=79,"A",IF(AR28&lt;=89,"A+","O"))))))))</f>
        <v/>
      </c>
      <c r="AV28" s="18">
        <f>AS28*AT28</f>
        <v/>
      </c>
      <c r="AW28" s="18" t="n"/>
      <c r="AX28" s="9" t="n">
        <v>44</v>
      </c>
      <c r="AY28" s="9" t="n">
        <v>35</v>
      </c>
      <c r="AZ28" s="9" t="n"/>
      <c r="BA28" s="18">
        <f>(AX28+AY28)</f>
        <v/>
      </c>
      <c r="BB28" s="18" t="n">
        <v>1</v>
      </c>
      <c r="BC28" s="18">
        <f>IF(AY28&lt;=17,"0",IF(BA28&lt;=39,"0",IF(BA28&lt;=49,"4",IF(BA28&lt;=54,"5",IF(BA28&lt;=59,"6",IF(BA28&lt;=69,"7",IF(BA28&lt;=79,"8",IF(BA28&lt;=89,"9","10"))))))))</f>
        <v/>
      </c>
      <c r="BD28" s="18">
        <f>IF(AY28&lt;=17,"F",IF(BA28&lt;=39,"F",IF(BA28&lt;=49,"P",IF(BA28&lt;=54,"C",IF(BA28&lt;=59,"B",IF(BA28&lt;=69,"B+",IF(BA28&lt;=79,"A",IF(BA28&lt;=89,"A+","O"))))))))</f>
        <v/>
      </c>
      <c r="BE28" s="18">
        <f>BB28*BC28</f>
        <v/>
      </c>
      <c r="BF28" s="43" t="inlineStr">
        <is>
          <t>Samskrutika Kannada</t>
        </is>
      </c>
      <c r="BG28" s="9" t="n">
        <v>47</v>
      </c>
      <c r="BH28" s="9" t="n">
        <v>34</v>
      </c>
      <c r="BI28" s="9" t="n"/>
      <c r="BJ28" s="18">
        <f>(BG28+BH28)</f>
        <v/>
      </c>
      <c r="BK28" s="18" t="n">
        <v>1</v>
      </c>
      <c r="BL28" s="18">
        <f>IF(BH28&lt;=17,"0",IF(BJ28&lt;=39,"0",IF(BJ28&lt;=49,"4",IF(BJ28&lt;=54,"5",IF(BJ28&lt;=59,"6",IF(BJ28&lt;=69,"7",IF(BJ28&lt;=79,"8",IF(BJ28&lt;=89,"9","10"))))))))</f>
        <v/>
      </c>
      <c r="BM28" s="18">
        <f>IF(BH28&lt;=17,"F",IF(BJ28&lt;=39,"F",IF(BJ28&lt;=49,"P",IF(BJ28&lt;=54,"C",IF(BJ28&lt;=59,"B",IF(BJ28&lt;=69,"B+",IF(BJ28&lt;=79,"A",IF(BJ28&lt;=89,"A+","O"))))))))</f>
        <v/>
      </c>
      <c r="BN28" s="18">
        <f>BK28*BL28</f>
        <v/>
      </c>
      <c r="BO28" s="18" t="n"/>
      <c r="BP28" s="9" t="n">
        <v>48</v>
      </c>
      <c r="BQ28" s="9" t="n">
        <v>38</v>
      </c>
      <c r="BR28" s="9" t="n"/>
      <c r="BS28" s="18">
        <f>(BP28+BQ28)</f>
        <v/>
      </c>
      <c r="BT28" s="18" t="n">
        <v>1</v>
      </c>
      <c r="BU28" s="18">
        <f>IF(BQ28&lt;=17,"0",IF(BS28&lt;=39,"0",IF(BS28&lt;=49,"4",IF(BS28&lt;=54,"5",IF(BS28&lt;=59,"6",IF(BS28&lt;=69,"7",IF(BS28&lt;=79,"8",IF(BS28&lt;=89,"9","10"))))))))</f>
        <v/>
      </c>
      <c r="BV28" s="18">
        <f>IF(BQ28&lt;=17,"F",IF(BS28&lt;=39,"F",IF(BS28&lt;=49,"P",IF(BS28&lt;=54,"C",IF(BS28&lt;=59,"B",IF(BS28&lt;=69,"B+",IF(BS28&lt;=79,"A",IF(BS28&lt;=89,"A+","O"))))))))</f>
        <v/>
      </c>
      <c r="BW28" s="18">
        <f>BT28*BU28</f>
        <v/>
      </c>
      <c r="BX28" s="18" t="n"/>
      <c r="BY28" s="18" t="n"/>
      <c r="BZ28" s="18">
        <f>L28+U28+AD28+AM28+AV28+BE28+BN28+BW28</f>
        <v/>
      </c>
      <c r="CA28" s="19">
        <f>BZ28/20</f>
        <v/>
      </c>
      <c r="CB28" s="28">
        <f>IF(CA28&lt;4,"F",IF(BV28="F","F",IF(BM28="F","F",IF(BD28="F","F",IF(AU28="F","F",IF(AL28="F","F",IF(AC28="F","F",IF(T28="F","F",IF(K28="F","F",IF(CA28&lt;=5,"C",IF(CA28&lt;6,"B",IF(CA28&lt;7,"B+",IF(CA28&lt;8,"A",IF(CA28&lt;=9,"A+","O"))))))))))))))</f>
        <v/>
      </c>
      <c r="CC28" s="27">
        <f>CA28*9.5</f>
        <v/>
      </c>
      <c r="CD28" s="27" t="n"/>
      <c r="CE28" s="28">
        <f>SUM(BS28,BJ28,BA28,AR28,AI28,Z28,Q28,H28)</f>
        <v/>
      </c>
      <c r="CF28" s="28">
        <f>(CE28/800)*100</f>
        <v/>
      </c>
      <c r="CG28" s="27" t="n"/>
      <c r="CH28" s="27" t="n"/>
      <c r="CI28" s="27">
        <f>IF(CA28&lt;=4,"F",IF(CA28&lt;=6,"PASS",IF(CA28&lt;=6.5,"SC",IF(CA28&lt;=7.5,"FC",IF(CA28&lt;="10","FCD")))))</f>
        <v/>
      </c>
    </row>
    <row r="29" ht="15.75" customHeight="1">
      <c r="A29" s="35">
        <f>A28+1</f>
        <v/>
      </c>
      <c r="B29" s="37" t="inlineStr">
        <is>
          <t>1BI22CD002</t>
        </is>
      </c>
      <c r="C29" s="44" t="inlineStr">
        <is>
          <t>ARATI</t>
        </is>
      </c>
      <c r="D29" s="47" t="inlineStr">
        <is>
          <t>D</t>
        </is>
      </c>
      <c r="E29" s="9" t="n">
        <v>49</v>
      </c>
      <c r="F29" s="9" t="n">
        <v>46</v>
      </c>
      <c r="G29" s="9" t="n"/>
      <c r="H29" s="18">
        <f>SUM(E29:F29)</f>
        <v/>
      </c>
      <c r="I29" s="18" t="n">
        <v>4</v>
      </c>
      <c r="J29" s="18">
        <f>IF(F29&lt;=17,"0",IF(H29&lt;=39,"0",IF(H29&lt;=49,"4",IF(H29&lt;=54,"5",IF(H29&lt;=59,"6",IF(H29&lt;=69,"7",IF(H29&lt;=79,"8",IF(H29&lt;=89,"9","10"))))))))</f>
        <v/>
      </c>
      <c r="K29" s="18">
        <f>IF(F29&lt;=17,"F",IF(H29&lt;=39,"F",IF(H29&lt;=49,"P",IF(H29&lt;=54,"C",IF(H29&lt;=59,"B",IF(H29&lt;=69,"B+",IF(H29&lt;=79,"A",IF(H29&lt;=89,"A+","O"))))))))</f>
        <v/>
      </c>
      <c r="L29" s="18">
        <f>I29*J29</f>
        <v/>
      </c>
      <c r="M29" s="18" t="n"/>
      <c r="N29" s="9" t="n">
        <v>45</v>
      </c>
      <c r="O29" s="9" t="n">
        <v>33</v>
      </c>
      <c r="P29" s="9" t="n"/>
      <c r="Q29" s="18">
        <f>SUM(N29:O29)</f>
        <v/>
      </c>
      <c r="R29" s="18" t="n">
        <v>4</v>
      </c>
      <c r="S29" s="18">
        <f>IF(O29&lt;=17,"0",IF(Q29&lt;=39,"4",IF(Q29&lt;=49,"4",IF(Q29&lt;=54,"5",IF(Q29&lt;=59,"6",IF(Q29&lt;=69,"7",IF(Q29&lt;=79,"8",IF(Q29&lt;=89,"9","10"))))))))</f>
        <v/>
      </c>
      <c r="T29" s="18">
        <f>IF(O29&lt;=17,"F",IF(Q29&lt;=39,"F",IF(Q29&lt;=49,"P",IF(Q29&lt;=54,"C",IF(Q29&lt;=59,"B",IF(Q29&lt;=69,"B+",IF(Q29&lt;=79,"A",IF(Q29&lt;=89,"A+","O"))))))))</f>
        <v/>
      </c>
      <c r="U29" s="18">
        <f>R29*S29</f>
        <v/>
      </c>
      <c r="V29" s="18" t="n"/>
      <c r="W29" s="9" t="n">
        <v>45</v>
      </c>
      <c r="X29" s="9" t="n">
        <v>46</v>
      </c>
      <c r="Y29" s="18" t="n"/>
      <c r="Z29" s="18">
        <f>SUM(W29:X29)</f>
        <v/>
      </c>
      <c r="AA29" s="18" t="n">
        <v>3</v>
      </c>
      <c r="AB29" s="18">
        <f>IF(X29&lt;=17,"0",IF(Z29&lt;=39,"0",IF(Z29&lt;=49,"4",IF(Z29&lt;=54,"5",IF(Z29&lt;=59,"6",IF(Z29&lt;=69,"7",IF(Z29&lt;=79,"8",IF(Z29&lt;=89,"9","10"))))))))</f>
        <v/>
      </c>
      <c r="AC29" s="18">
        <f>IF(X29&lt;=17,"F",IF(Z29&lt;=39,"F",IF(Z29&lt;=49,"P",IF(Z29&lt;=54,"C",IF(Z29&lt;=59,"B",IF(Z29&lt;=69,"B+",IF(Z29&lt;=79,"A",IF(Z29&lt;=89,"A+","O"))))))))</f>
        <v/>
      </c>
      <c r="AD29" s="18">
        <f>AA29*AB29</f>
        <v/>
      </c>
      <c r="AE29" s="18" t="n"/>
      <c r="AF29" s="46" t="n">
        <v>45</v>
      </c>
      <c r="AG29" s="46" t="n">
        <v>40</v>
      </c>
      <c r="AH29" s="9" t="n"/>
      <c r="AI29" s="18">
        <f>SUM(AF29:AG29)</f>
        <v/>
      </c>
      <c r="AJ29" s="18" t="n">
        <v>3</v>
      </c>
      <c r="AK29" s="18">
        <f>IF(AG29&lt;=17,"0",IF(AI29&lt;=39,"0",IF(AI29&lt;=49,"4",IF(AI29&lt;=54,"5",IF(AI29&lt;=59,"6",IF(AI29&lt;=69,"7",IF(AI29&lt;=79,"8",IF(AI29&lt;=89,"9","10"))))))))</f>
        <v/>
      </c>
      <c r="AL29" s="18">
        <f>IF(AG29&lt;=17,"F",IF(AI29&lt;=39,"F",IF(AI29&lt;=49,"P",IF(AI29&lt;=54,"C",IF(AI29&lt;=59,"B",IF(AI29&lt;=69,"B+",IF(AI29&lt;=79,"A",IF(AI29&lt;=89,"A+","O"))))))))</f>
        <v/>
      </c>
      <c r="AM29" s="18">
        <f>AJ29*AK29</f>
        <v/>
      </c>
      <c r="AN29" s="17" t="n"/>
      <c r="AO29" s="46" t="n">
        <v>43</v>
      </c>
      <c r="AP29" s="46" t="n">
        <v>32</v>
      </c>
      <c r="AQ29" s="9" t="n"/>
      <c r="AR29" s="18">
        <f>(AO29+AP29)</f>
        <v/>
      </c>
      <c r="AS29" s="18" t="n">
        <v>3</v>
      </c>
      <c r="AT29" s="18">
        <f>IF(AP29&lt;=17,"0",IF(AR29&lt;=39,"0",IF(AR29&lt;=49,"4",IF(AR29&lt;=54,"5",IF(AR29&lt;=59,"6",IF(AR29&lt;=69,"7",IF(AR29&lt;=79,"8",IF(AR29&lt;=89,"9","10"))))))))</f>
        <v/>
      </c>
      <c r="AU29" s="18">
        <f>IF(AP29&lt;=17,"F",IF(AR29&lt;=39,"F",IF(AR29&lt;=49,"P",IF(AR29&lt;=54,"C",IF(AR29&lt;=59,"B",IF(AR29&lt;=69,"B+",IF(AR29&lt;=79,"A",IF(AR29&lt;=89,"A+","O"))))))))</f>
        <v/>
      </c>
      <c r="AV29" s="18">
        <f>AS29*AT29</f>
        <v/>
      </c>
      <c r="AW29" s="18" t="n"/>
      <c r="AX29" s="9" t="n">
        <v>44</v>
      </c>
      <c r="AY29" s="9" t="n">
        <v>26</v>
      </c>
      <c r="AZ29" s="9" t="n"/>
      <c r="BA29" s="18">
        <f>(AX29+AY29)</f>
        <v/>
      </c>
      <c r="BB29" s="18" t="n">
        <v>1</v>
      </c>
      <c r="BC29" s="18">
        <f>IF(AY29&lt;=17,"0",IF(BA29&lt;=39,"0",IF(BA29&lt;=49,"4",IF(BA29&lt;=54,"5",IF(BA29&lt;=59,"6",IF(BA29&lt;=69,"7",IF(BA29&lt;=79,"8",IF(BA29&lt;=89,"9","10"))))))))</f>
        <v/>
      </c>
      <c r="BD29" s="18">
        <f>IF(AY29&lt;=17,"F",IF(BA29&lt;=39,"F",IF(BA29&lt;=49,"P",IF(BA29&lt;=54,"C",IF(BA29&lt;=59,"B",IF(BA29&lt;=69,"B+",IF(BA29&lt;=79,"A",IF(BA29&lt;=89,"A+","O"))))))))</f>
        <v/>
      </c>
      <c r="BE29" s="18">
        <f>BB29*BC29</f>
        <v/>
      </c>
      <c r="BF29" s="43" t="inlineStr">
        <is>
          <t>Samskrutika Kannada</t>
        </is>
      </c>
      <c r="BG29" s="9" t="n">
        <v>46</v>
      </c>
      <c r="BH29" s="9" t="n">
        <v>37</v>
      </c>
      <c r="BI29" s="9" t="n"/>
      <c r="BJ29" s="18">
        <f>(BG29+BH29)</f>
        <v/>
      </c>
      <c r="BK29" s="18" t="n">
        <v>1</v>
      </c>
      <c r="BL29" s="18">
        <f>IF(BH29&lt;=17,"0",IF(BJ29&lt;=39,"0",IF(BJ29&lt;=49,"4",IF(BJ29&lt;=54,"5",IF(BJ29&lt;=59,"6",IF(BJ29&lt;=69,"7",IF(BJ29&lt;=79,"8",IF(BJ29&lt;=89,"9","10"))))))))</f>
        <v/>
      </c>
      <c r="BM29" s="18">
        <f>IF(BH29&lt;=17,"F",IF(BJ29&lt;=39,"F",IF(BJ29&lt;=49,"P",IF(BJ29&lt;=54,"C",IF(BJ29&lt;=59,"B",IF(BJ29&lt;=69,"B+",IF(BJ29&lt;=79,"A",IF(BJ29&lt;=89,"A+","O"))))))))</f>
        <v/>
      </c>
      <c r="BN29" s="18">
        <f>BK29*BL29</f>
        <v/>
      </c>
      <c r="BO29" s="18" t="n"/>
      <c r="BP29" s="9" t="n">
        <v>48</v>
      </c>
      <c r="BQ29" s="9" t="n">
        <v>39</v>
      </c>
      <c r="BR29" s="9" t="n"/>
      <c r="BS29" s="18">
        <f>(BP29+BQ29)</f>
        <v/>
      </c>
      <c r="BT29" s="18" t="n">
        <v>1</v>
      </c>
      <c r="BU29" s="18">
        <f>IF(BQ29&lt;=17,"0",IF(BS29&lt;=39,"0",IF(BS29&lt;=49,"4",IF(BS29&lt;=54,"5",IF(BS29&lt;=59,"6",IF(BS29&lt;=69,"7",IF(BS29&lt;=79,"8",IF(BS29&lt;=89,"9","10"))))))))</f>
        <v/>
      </c>
      <c r="BV29" s="18">
        <f>IF(BQ29&lt;=17,"F",IF(BS29&lt;=39,"F",IF(BS29&lt;=49,"P",IF(BS29&lt;=54,"C",IF(BS29&lt;=59,"B",IF(BS29&lt;=69,"B+",IF(BS29&lt;=79,"A",IF(BS29&lt;=89,"A+","O"))))))))</f>
        <v/>
      </c>
      <c r="BW29" s="18">
        <f>BT29*BU29</f>
        <v/>
      </c>
      <c r="BX29" s="18" t="n"/>
      <c r="BY29" s="18" t="n"/>
      <c r="BZ29" s="18">
        <f>L29+U29+AD29+AM29+AV29+BE29+BN29+BW29</f>
        <v/>
      </c>
      <c r="CA29" s="19">
        <f>BZ29/20</f>
        <v/>
      </c>
      <c r="CB29" s="28">
        <f>IF(CA29&lt;4,"F",IF(BV29="F","F",IF(BM29="F","F",IF(BD29="F","F",IF(AU29="F","F",IF(AL29="F","F",IF(AC29="F","F",IF(T29="F","F",IF(K29="F","F",IF(CA29&lt;=5,"C",IF(CA29&lt;6,"B",IF(CA29&lt;7,"B+",IF(CA29&lt;8,"A",IF(CA29&lt;=9,"A+","O"))))))))))))))</f>
        <v/>
      </c>
      <c r="CC29" s="27">
        <f>CA29*9.5</f>
        <v/>
      </c>
      <c r="CD29" s="27" t="n"/>
      <c r="CE29" s="28">
        <f>SUM(BS29,BJ29,BA29,AR29,AI29,Z29,Q29,H29)</f>
        <v/>
      </c>
      <c r="CF29" s="28">
        <f>(CE29/800)*100</f>
        <v/>
      </c>
      <c r="CG29" s="27" t="n"/>
      <c r="CH29" s="27" t="n"/>
      <c r="CI29" s="27">
        <f>IF(CA29&lt;=4,"F",IF(CA29&lt;=6,"PASS",IF(CA29&lt;=6.5,"SC",IF(CA29&lt;=7.5,"FC",IF(CA29&lt;="10","FCD")))))</f>
        <v/>
      </c>
    </row>
    <row r="30" ht="15.75" customHeight="1">
      <c r="A30" s="35">
        <f>A29+1</f>
        <v/>
      </c>
      <c r="B30" s="37" t="inlineStr">
        <is>
          <t>1BI22CD052</t>
        </is>
      </c>
      <c r="C30" s="44" t="inlineStr">
        <is>
          <t>SHRIHARI M V</t>
        </is>
      </c>
      <c r="D30" s="47" t="inlineStr">
        <is>
          <t>D</t>
        </is>
      </c>
      <c r="E30" s="9" t="n">
        <v>48</v>
      </c>
      <c r="F30" s="9" t="n">
        <v>38</v>
      </c>
      <c r="G30" s="9" t="n"/>
      <c r="H30" s="18">
        <f>SUM(E30:F30)</f>
        <v/>
      </c>
      <c r="I30" s="18" t="n">
        <v>4</v>
      </c>
      <c r="J30" s="18">
        <f>IF(F30&lt;=17,"0",IF(H30&lt;=39,"0",IF(H30&lt;=49,"4",IF(H30&lt;=54,"5",IF(H30&lt;=59,"6",IF(H30&lt;=69,"7",IF(H30&lt;=79,"8",IF(H30&lt;=89,"9","10"))))))))</f>
        <v/>
      </c>
      <c r="K30" s="18">
        <f>IF(F30&lt;=17,"F",IF(H30&lt;=39,"F",IF(H30&lt;=49,"P",IF(H30&lt;=54,"C",IF(H30&lt;=59,"B",IF(H30&lt;=69,"B+",IF(H30&lt;=79,"A",IF(H30&lt;=89,"A+","O"))))))))</f>
        <v/>
      </c>
      <c r="L30" s="18">
        <f>I30*J30</f>
        <v/>
      </c>
      <c r="M30" s="18" t="n"/>
      <c r="N30" s="9" t="n">
        <v>44</v>
      </c>
      <c r="O30" s="9" t="n">
        <v>42</v>
      </c>
      <c r="P30" s="9" t="n"/>
      <c r="Q30" s="18">
        <f>SUM(N30:O30)</f>
        <v/>
      </c>
      <c r="R30" s="18" t="n">
        <v>4</v>
      </c>
      <c r="S30" s="18">
        <f>IF(O30&lt;=17,"0",IF(Q30&lt;=39,"4",IF(Q30&lt;=49,"4",IF(Q30&lt;=54,"5",IF(Q30&lt;=59,"6",IF(Q30&lt;=69,"7",IF(Q30&lt;=79,"8",IF(Q30&lt;=89,"9","10"))))))))</f>
        <v/>
      </c>
      <c r="T30" s="18">
        <f>IF(O30&lt;=17,"F",IF(Q30&lt;=39,"F",IF(Q30&lt;=49,"P",IF(Q30&lt;=54,"C",IF(Q30&lt;=59,"B",IF(Q30&lt;=69,"B+",IF(Q30&lt;=79,"A",IF(Q30&lt;=89,"A+","O"))))))))</f>
        <v/>
      </c>
      <c r="U30" s="18">
        <f>R30*S30</f>
        <v/>
      </c>
      <c r="V30" s="18" t="n"/>
      <c r="W30" s="9" t="n">
        <v>41</v>
      </c>
      <c r="X30" s="9" t="n">
        <v>42</v>
      </c>
      <c r="Y30" s="18" t="n"/>
      <c r="Z30" s="18">
        <f>SUM(W30:X30)</f>
        <v/>
      </c>
      <c r="AA30" s="18" t="n">
        <v>3</v>
      </c>
      <c r="AB30" s="18">
        <f>IF(X30&lt;=17,"0",IF(Z30&lt;=39,"0",IF(Z30&lt;=49,"4",IF(Z30&lt;=54,"5",IF(Z30&lt;=59,"6",IF(Z30&lt;=69,"7",IF(Z30&lt;=79,"8",IF(Z30&lt;=89,"9","10"))))))))</f>
        <v/>
      </c>
      <c r="AC30" s="18">
        <f>IF(X30&lt;=17,"F",IF(Z30&lt;=39,"F",IF(Z30&lt;=49,"P",IF(Z30&lt;=54,"C",IF(Z30&lt;=59,"B",IF(Z30&lt;=69,"B+",IF(Z30&lt;=79,"A",IF(Z30&lt;=89,"A+","O"))))))))</f>
        <v/>
      </c>
      <c r="AD30" s="18">
        <f>AA30*AB30</f>
        <v/>
      </c>
      <c r="AE30" s="18" t="n"/>
      <c r="AF30" s="46" t="n">
        <v>48</v>
      </c>
      <c r="AG30" s="46" t="n">
        <v>39</v>
      </c>
      <c r="AH30" s="9" t="n"/>
      <c r="AI30" s="18">
        <f>SUM(AF30:AG30)</f>
        <v/>
      </c>
      <c r="AJ30" s="18" t="n">
        <v>3</v>
      </c>
      <c r="AK30" s="18">
        <f>IF(AG30&lt;=17,"0",IF(AI30&lt;=39,"0",IF(AI30&lt;=49,"4",IF(AI30&lt;=54,"5",IF(AI30&lt;=59,"6",IF(AI30&lt;=69,"7",IF(AI30&lt;=79,"8",IF(AI30&lt;=89,"9","10"))))))))</f>
        <v/>
      </c>
      <c r="AL30" s="18">
        <f>IF(AG30&lt;=17,"F",IF(AI30&lt;=39,"F",IF(AI30&lt;=49,"P",IF(AI30&lt;=54,"C",IF(AI30&lt;=59,"B",IF(AI30&lt;=69,"B+",IF(AI30&lt;=79,"A",IF(AI30&lt;=89,"A+","O"))))))))</f>
        <v/>
      </c>
      <c r="AM30" s="18">
        <f>AJ30*AK30</f>
        <v/>
      </c>
      <c r="AN30" s="18" t="n"/>
      <c r="AO30" s="46" t="n">
        <v>42</v>
      </c>
      <c r="AP30" s="46" t="n">
        <v>33</v>
      </c>
      <c r="AQ30" s="9" t="n"/>
      <c r="AR30" s="18">
        <f>(AO30+AP30)</f>
        <v/>
      </c>
      <c r="AS30" s="18" t="n">
        <v>3</v>
      </c>
      <c r="AT30" s="18">
        <f>IF(AP30&lt;=17,"0",IF(AR30&lt;=39,"0",IF(AR30&lt;=49,"4",IF(AR30&lt;=54,"5",IF(AR30&lt;=59,"6",IF(AR30&lt;=69,"7",IF(AR30&lt;=79,"8",IF(AR30&lt;=89,"9","10"))))))))</f>
        <v/>
      </c>
      <c r="AU30" s="18">
        <f>IF(AP30&lt;=17,"F",IF(AR30&lt;=39,"F",IF(AR30&lt;=49,"P",IF(AR30&lt;=54,"C",IF(AR30&lt;=59,"B",IF(AR30&lt;=69,"B+",IF(AR30&lt;=79,"A",IF(AR30&lt;=89,"A+","O"))))))))</f>
        <v/>
      </c>
      <c r="AV30" s="18">
        <f>AS30*AT30</f>
        <v/>
      </c>
      <c r="AW30" s="18" t="n"/>
      <c r="AX30" s="9" t="n">
        <v>46</v>
      </c>
      <c r="AY30" s="9" t="n">
        <v>35</v>
      </c>
      <c r="AZ30" s="9" t="n"/>
      <c r="BA30" s="18">
        <f>(AX30+AY30)</f>
        <v/>
      </c>
      <c r="BB30" s="18" t="n">
        <v>1</v>
      </c>
      <c r="BC30" s="18">
        <f>IF(AY30&lt;=17,"0",IF(BA30&lt;=39,"0",IF(BA30&lt;=49,"4",IF(BA30&lt;=54,"5",IF(BA30&lt;=59,"6",IF(BA30&lt;=69,"7",IF(BA30&lt;=79,"8",IF(BA30&lt;=89,"9","10"))))))))</f>
        <v/>
      </c>
      <c r="BD30" s="18">
        <f>IF(AY30&lt;=17,"F",IF(BA30&lt;=39,"F",IF(BA30&lt;=49,"P",IF(BA30&lt;=54,"C",IF(BA30&lt;=59,"B",IF(BA30&lt;=69,"B+",IF(BA30&lt;=79,"A",IF(BA30&lt;=89,"A+","O"))))))))</f>
        <v/>
      </c>
      <c r="BE30" s="18">
        <f>BB30*BC30</f>
        <v/>
      </c>
      <c r="BF30" s="43" t="inlineStr">
        <is>
          <t>Samskrutika Kannada</t>
        </is>
      </c>
      <c r="BG30" s="9" t="n">
        <v>45</v>
      </c>
      <c r="BH30" s="9" t="n">
        <v>38</v>
      </c>
      <c r="BI30" s="9" t="n"/>
      <c r="BJ30" s="18">
        <f>(BG30+BH30)</f>
        <v/>
      </c>
      <c r="BK30" s="18" t="n">
        <v>1</v>
      </c>
      <c r="BL30" s="18">
        <f>IF(BH30&lt;=17,"0",IF(BJ30&lt;=39,"0",IF(BJ30&lt;=49,"4",IF(BJ30&lt;=54,"5",IF(BJ30&lt;=59,"6",IF(BJ30&lt;=69,"7",IF(BJ30&lt;=79,"8",IF(BJ30&lt;=89,"9","10"))))))))</f>
        <v/>
      </c>
      <c r="BM30" s="18">
        <f>IF(BH30&lt;=17,"F",IF(BJ30&lt;=39,"F",IF(BJ30&lt;=49,"P",IF(BJ30&lt;=54,"C",IF(BJ30&lt;=59,"B",IF(BJ30&lt;=69,"B+",IF(BJ30&lt;=79,"A",IF(BJ30&lt;=89,"A+","O"))))))))</f>
        <v/>
      </c>
      <c r="BN30" s="18">
        <f>BK30*BL30</f>
        <v/>
      </c>
      <c r="BO30" s="18" t="n"/>
      <c r="BP30" s="9" t="n">
        <v>48</v>
      </c>
      <c r="BQ30" s="9" t="n">
        <v>41</v>
      </c>
      <c r="BR30" s="9" t="n"/>
      <c r="BS30" s="18">
        <f>(BP30+BQ30)</f>
        <v/>
      </c>
      <c r="BT30" s="18" t="n">
        <v>1</v>
      </c>
      <c r="BU30" s="18">
        <f>IF(BQ30&lt;=17,"0",IF(BS30&lt;=39,"0",IF(BS30&lt;=49,"4",IF(BS30&lt;=54,"5",IF(BS30&lt;=59,"6",IF(BS30&lt;=69,"7",IF(BS30&lt;=79,"8",IF(BS30&lt;=89,"9","10"))))))))</f>
        <v/>
      </c>
      <c r="BV30" s="18">
        <f>IF(BQ30&lt;=17,"F",IF(BS30&lt;=39,"F",IF(BS30&lt;=49,"P",IF(BS30&lt;=54,"C",IF(BS30&lt;=59,"B",IF(BS30&lt;=69,"B+",IF(BS30&lt;=79,"A",IF(BS30&lt;=89,"A+","O"))))))))</f>
        <v/>
      </c>
      <c r="BW30" s="18">
        <f>BT30*BU30</f>
        <v/>
      </c>
      <c r="BX30" s="18" t="n"/>
      <c r="BY30" s="18" t="n"/>
      <c r="BZ30" s="18">
        <f>L30+U30+AD30+AM30+AV30+BE30+BN30+BW30</f>
        <v/>
      </c>
      <c r="CA30" s="19">
        <f>BZ30/20</f>
        <v/>
      </c>
      <c r="CB30" s="28">
        <f>IF(CA30&lt;4,"F",IF(BV30="F","F",IF(BM30="F","F",IF(BD30="F","F",IF(AU30="F","F",IF(AL30="F","F",IF(AC30="F","F",IF(T30="F","F",IF(K30="F","F",IF(CA30&lt;=5,"C",IF(CA30&lt;6,"B",IF(CA30&lt;7,"B+",IF(CA30&lt;8,"A",IF(CA30&lt;=9,"A+","O"))))))))))))))</f>
        <v/>
      </c>
      <c r="CC30" s="27">
        <f>CA30*9.5</f>
        <v/>
      </c>
      <c r="CD30" s="27" t="n"/>
      <c r="CE30" s="28">
        <f>SUM(BS30,BJ30,BA30,AR30,AI30,Z30,Q30,H30)</f>
        <v/>
      </c>
      <c r="CF30" s="28">
        <f>(CE30/800)*100</f>
        <v/>
      </c>
      <c r="CG30" s="27" t="n"/>
      <c r="CH30" s="27" t="n"/>
      <c r="CI30" s="27">
        <f>IF(CA30&lt;=4,"F",IF(CA30&lt;=6,"PASS",IF(CA30&lt;=6.5,"SC",IF(CA30&lt;=7.5,"FC",IF(CA30&lt;="10","FCD")))))</f>
        <v/>
      </c>
    </row>
    <row r="31" ht="15.75" customHeight="1">
      <c r="A31" s="35">
        <f>A30+1</f>
        <v/>
      </c>
      <c r="B31" s="37" t="inlineStr">
        <is>
          <t>1BI22CD041</t>
        </is>
      </c>
      <c r="C31" s="44" t="inlineStr">
        <is>
          <t>S MOHAMMED HASNAIN</t>
        </is>
      </c>
      <c r="D31" s="47" t="inlineStr">
        <is>
          <t>D</t>
        </is>
      </c>
      <c r="E31" s="9" t="n">
        <v>50</v>
      </c>
      <c r="F31" s="9" t="n">
        <v>45</v>
      </c>
      <c r="G31" s="9" t="n"/>
      <c r="H31" s="18">
        <f>SUM(E31:F31)</f>
        <v/>
      </c>
      <c r="I31" s="18" t="n">
        <v>4</v>
      </c>
      <c r="J31" s="18">
        <f>IF(F31&lt;=17,"0",IF(H31&lt;=39,"0",IF(H31&lt;=49,"4",IF(H31&lt;=54,"5",IF(H31&lt;=59,"6",IF(H31&lt;=69,"7",IF(H31&lt;=79,"8",IF(H31&lt;=89,"9","10"))))))))</f>
        <v/>
      </c>
      <c r="K31" s="18">
        <f>IF(F31&lt;=17,"F",IF(H31&lt;=39,"F",IF(H31&lt;=49,"P",IF(H31&lt;=54,"C",IF(H31&lt;=59,"B",IF(H31&lt;=69,"B+",IF(H31&lt;=79,"A",IF(H31&lt;=89,"A+","O"))))))))</f>
        <v/>
      </c>
      <c r="L31" s="18">
        <f>I31*J31</f>
        <v/>
      </c>
      <c r="M31" s="18" t="n"/>
      <c r="N31" s="9" t="n">
        <v>41</v>
      </c>
      <c r="O31" s="9" t="n">
        <v>39</v>
      </c>
      <c r="P31" s="9" t="n"/>
      <c r="Q31" s="18">
        <f>SUM(N31:O31)</f>
        <v/>
      </c>
      <c r="R31" s="18" t="n">
        <v>4</v>
      </c>
      <c r="S31" s="18">
        <f>IF(O31&lt;=17,"0",IF(Q31&lt;=39,"4",IF(Q31&lt;=49,"4",IF(Q31&lt;=54,"5",IF(Q31&lt;=59,"6",IF(Q31&lt;=69,"7",IF(Q31&lt;=79,"8",IF(Q31&lt;=89,"9","10"))))))))</f>
        <v/>
      </c>
      <c r="T31" s="18">
        <f>IF(O31&lt;=17,"F",IF(Q31&lt;=39,"F",IF(Q31&lt;=49,"P",IF(Q31&lt;=54,"C",IF(Q31&lt;=59,"B",IF(Q31&lt;=69,"B+",IF(Q31&lt;=79,"A",IF(Q31&lt;=89,"A+","O"))))))))</f>
        <v/>
      </c>
      <c r="U31" s="18">
        <f>R31*S31</f>
        <v/>
      </c>
      <c r="V31" s="18" t="n"/>
      <c r="W31" s="9" t="n">
        <v>48</v>
      </c>
      <c r="X31" s="9" t="n">
        <v>39</v>
      </c>
      <c r="Y31" s="18" t="n"/>
      <c r="Z31" s="18">
        <f>SUM(W31:X31)</f>
        <v/>
      </c>
      <c r="AA31" s="18" t="n">
        <v>3</v>
      </c>
      <c r="AB31" s="18">
        <f>IF(X31&lt;=17,"0",IF(Z31&lt;=39,"0",IF(Z31&lt;=49,"4",IF(Z31&lt;=54,"5",IF(Z31&lt;=59,"6",IF(Z31&lt;=69,"7",IF(Z31&lt;=79,"8",IF(Z31&lt;=89,"9","10"))))))))</f>
        <v/>
      </c>
      <c r="AC31" s="18">
        <f>IF(X31&lt;=17,"F",IF(Z31&lt;=39,"F",IF(Z31&lt;=49,"P",IF(Z31&lt;=54,"C",IF(Z31&lt;=59,"B",IF(Z31&lt;=69,"B+",IF(Z31&lt;=79,"A",IF(Z31&lt;=89,"A+","O"))))))))</f>
        <v/>
      </c>
      <c r="AD31" s="18">
        <f>AA31*AB31</f>
        <v/>
      </c>
      <c r="AE31" s="18" t="n"/>
      <c r="AF31" s="46" t="n">
        <v>45</v>
      </c>
      <c r="AG31" s="46" t="n">
        <v>34</v>
      </c>
      <c r="AH31" s="9" t="n"/>
      <c r="AI31" s="18">
        <f>SUM(AF31:AG31)</f>
        <v/>
      </c>
      <c r="AJ31" s="18" t="n">
        <v>3</v>
      </c>
      <c r="AK31" s="18">
        <f>IF(AG31&lt;=17,"0",IF(AI31&lt;=39,"0",IF(AI31&lt;=49,"4",IF(AI31&lt;=54,"5",IF(AI31&lt;=59,"6",IF(AI31&lt;=69,"7",IF(AI31&lt;=79,"8",IF(AI31&lt;=89,"9","10"))))))))</f>
        <v/>
      </c>
      <c r="AL31" s="18">
        <f>IF(AG31&lt;=17,"F",IF(AI31&lt;=39,"F",IF(AI31&lt;=49,"P",IF(AI31&lt;=54,"C",IF(AI31&lt;=59,"B",IF(AI31&lt;=69,"B+",IF(AI31&lt;=79,"A",IF(AI31&lt;=89,"A+","O"))))))))</f>
        <v/>
      </c>
      <c r="AM31" s="18">
        <f>AJ31*AK31</f>
        <v/>
      </c>
      <c r="AN31" s="18" t="n"/>
      <c r="AO31" s="46" t="n">
        <v>41</v>
      </c>
      <c r="AP31" s="46" t="n">
        <v>32</v>
      </c>
      <c r="AQ31" s="9" t="n"/>
      <c r="AR31" s="18">
        <f>(AO31+AP31)</f>
        <v/>
      </c>
      <c r="AS31" s="18" t="n">
        <v>3</v>
      </c>
      <c r="AT31" s="18">
        <f>IF(AP31&lt;=17,"0",IF(AR31&lt;=39,"0",IF(AR31&lt;=49,"4",IF(AR31&lt;=54,"5",IF(AR31&lt;=59,"6",IF(AR31&lt;=69,"7",IF(AR31&lt;=79,"8",IF(AR31&lt;=89,"9","10"))))))))</f>
        <v/>
      </c>
      <c r="AU31" s="18">
        <f>IF(AP31&lt;=17,"F",IF(AR31&lt;=39,"F",IF(AR31&lt;=49,"P",IF(AR31&lt;=54,"C",IF(AR31&lt;=59,"B",IF(AR31&lt;=69,"B+",IF(AR31&lt;=79,"A",IF(AR31&lt;=89,"A+","O"))))))))</f>
        <v/>
      </c>
      <c r="AV31" s="18">
        <f>AS31*AT31</f>
        <v/>
      </c>
      <c r="AW31" s="18" t="n"/>
      <c r="AX31" s="9" t="n">
        <v>46</v>
      </c>
      <c r="AY31" s="9" t="n">
        <v>32</v>
      </c>
      <c r="AZ31" s="9" t="n"/>
      <c r="BA31" s="18">
        <f>(AX31+AY31)</f>
        <v/>
      </c>
      <c r="BB31" s="18" t="n">
        <v>1</v>
      </c>
      <c r="BC31" s="18">
        <f>IF(AY31&lt;=17,"0",IF(BA31&lt;=39,"0",IF(BA31&lt;=49,"4",IF(BA31&lt;=54,"5",IF(BA31&lt;=59,"6",IF(BA31&lt;=69,"7",IF(BA31&lt;=79,"8",IF(BA31&lt;=89,"9","10"))))))))</f>
        <v/>
      </c>
      <c r="BD31" s="18">
        <f>IF(AY31&lt;=17,"F",IF(BA31&lt;=39,"F",IF(BA31&lt;=49,"P",IF(BA31&lt;=54,"C",IF(BA31&lt;=59,"B",IF(BA31&lt;=69,"B+",IF(BA31&lt;=79,"A",IF(BA31&lt;=89,"A+","O"))))))))</f>
        <v/>
      </c>
      <c r="BE31" s="18">
        <f>BB31*BC31</f>
        <v/>
      </c>
      <c r="BF31" s="43" t="inlineStr">
        <is>
          <t>Balake Kannada</t>
        </is>
      </c>
      <c r="BG31" s="9" t="n">
        <v>44</v>
      </c>
      <c r="BH31" s="9" t="n">
        <v>44</v>
      </c>
      <c r="BI31" s="9" t="n"/>
      <c r="BJ31" s="18">
        <f>(BG31+BH31)</f>
        <v/>
      </c>
      <c r="BK31" s="18" t="n">
        <v>1</v>
      </c>
      <c r="BL31" s="18">
        <f>IF(BH31&lt;=17,"0",IF(BJ31&lt;=39,"0",IF(BJ31&lt;=49,"4",IF(BJ31&lt;=54,"5",IF(BJ31&lt;=59,"6",IF(BJ31&lt;=69,"7",IF(BJ31&lt;=79,"8",IF(BJ31&lt;=89,"9","10"))))))))</f>
        <v/>
      </c>
      <c r="BM31" s="18">
        <f>IF(BH31&lt;=17,"F",IF(BJ31&lt;=39,"F",IF(BJ31&lt;=49,"P",IF(BJ31&lt;=54,"C",IF(BJ31&lt;=59,"B",IF(BJ31&lt;=69,"B+",IF(BJ31&lt;=79,"A",IF(BJ31&lt;=89,"A+","O"))))))))</f>
        <v/>
      </c>
      <c r="BN31" s="18">
        <f>BK31*BL31</f>
        <v/>
      </c>
      <c r="BO31" s="18" t="n"/>
      <c r="BP31" s="9" t="n">
        <v>46</v>
      </c>
      <c r="BQ31" s="9" t="n">
        <v>41</v>
      </c>
      <c r="BR31" s="9" t="n"/>
      <c r="BS31" s="18">
        <f>(BP31+BQ31)</f>
        <v/>
      </c>
      <c r="BT31" s="18" t="n">
        <v>1</v>
      </c>
      <c r="BU31" s="18">
        <f>IF(BQ31&lt;=17,"0",IF(BS31&lt;=39,"0",IF(BS31&lt;=49,"4",IF(BS31&lt;=54,"5",IF(BS31&lt;=59,"6",IF(BS31&lt;=69,"7",IF(BS31&lt;=79,"8",IF(BS31&lt;=89,"9","10"))))))))</f>
        <v/>
      </c>
      <c r="BV31" s="18">
        <f>IF(BQ31&lt;=17,"F",IF(BS31&lt;=39,"F",IF(BS31&lt;=49,"P",IF(BS31&lt;=54,"C",IF(BS31&lt;=59,"B",IF(BS31&lt;=69,"B+",IF(BS31&lt;=79,"A",IF(BS31&lt;=89,"A+","O"))))))))</f>
        <v/>
      </c>
      <c r="BW31" s="18">
        <f>BT31*BU31</f>
        <v/>
      </c>
      <c r="BX31" s="18" t="n"/>
      <c r="BY31" s="18" t="n"/>
      <c r="BZ31" s="18">
        <f>L31+U31+AD31+AM31+AV31+BE31+BN31+BW31</f>
        <v/>
      </c>
      <c r="CA31" s="19">
        <f>BZ31/20</f>
        <v/>
      </c>
      <c r="CB31" s="28">
        <f>IF(CA31&lt;4,"F",IF(BV31="F","F",IF(BM31="F","F",IF(BD31="F","F",IF(AU31="F","F",IF(AL31="F","F",IF(AC31="F","F",IF(T31="F","F",IF(K31="F","F",IF(CA31&lt;=5,"C",IF(CA31&lt;6,"B",IF(CA31&lt;7,"B+",IF(CA31&lt;8,"A",IF(CA31&lt;=9,"A+","O"))))))))))))))</f>
        <v/>
      </c>
      <c r="CC31" s="27">
        <f>CA31*9.5</f>
        <v/>
      </c>
      <c r="CD31" s="27" t="n"/>
      <c r="CE31" s="28">
        <f>SUM(BS31,BJ31,BA31,AR31,AI31,Z31,Q31,H31)</f>
        <v/>
      </c>
      <c r="CF31" s="28">
        <f>(CE31/800)*100</f>
        <v/>
      </c>
      <c r="CG31" s="27" t="n"/>
      <c r="CH31" s="27" t="n"/>
      <c r="CI31" s="27">
        <f>IF(CA31&lt;=4,"F",IF(CA31&lt;=6,"PASS",IF(CA31&lt;=6.5,"SC",IF(CA31&lt;=7.5,"FC",IF(CA31&lt;="10","FCD")))))</f>
        <v/>
      </c>
    </row>
    <row r="32" ht="15.75" customHeight="1">
      <c r="A32" s="35">
        <f>A31+1</f>
        <v/>
      </c>
      <c r="B32" s="37" t="inlineStr">
        <is>
          <t>1BI22CD005</t>
        </is>
      </c>
      <c r="C32" s="44" t="inlineStr">
        <is>
          <t>ARYA B V</t>
        </is>
      </c>
      <c r="D32" s="47" t="inlineStr">
        <is>
          <t>D</t>
        </is>
      </c>
      <c r="E32" s="9" t="n">
        <v>45</v>
      </c>
      <c r="F32" s="9" t="n">
        <v>32</v>
      </c>
      <c r="G32" s="9" t="n"/>
      <c r="H32" s="18">
        <f>SUM(E32:F32)</f>
        <v/>
      </c>
      <c r="I32" s="18" t="n">
        <v>4</v>
      </c>
      <c r="J32" s="18">
        <f>IF(F32&lt;=17,"0",IF(H32&lt;=39,"0",IF(H32&lt;=49,"4",IF(H32&lt;=54,"5",IF(H32&lt;=59,"6",IF(H32&lt;=69,"7",IF(H32&lt;=79,"8",IF(H32&lt;=89,"9","10"))))))))</f>
        <v/>
      </c>
      <c r="K32" s="18">
        <f>IF(F32&lt;=17,"F",IF(H32&lt;=39,"F",IF(H32&lt;=49,"P",IF(H32&lt;=54,"C",IF(H32&lt;=59,"B",IF(H32&lt;=69,"B+",IF(H32&lt;=79,"A",IF(H32&lt;=89,"A+","O"))))))))</f>
        <v/>
      </c>
      <c r="L32" s="18">
        <f>I32*J32</f>
        <v/>
      </c>
      <c r="M32" s="18" t="n"/>
      <c r="N32" s="9" t="n">
        <v>46</v>
      </c>
      <c r="O32" s="9" t="n">
        <v>35</v>
      </c>
      <c r="P32" s="9" t="n"/>
      <c r="Q32" s="18">
        <f>SUM(N32:O32)</f>
        <v/>
      </c>
      <c r="R32" s="18" t="n">
        <v>4</v>
      </c>
      <c r="S32" s="18">
        <f>IF(O32&lt;=17,"0",IF(Q32&lt;=39,"4",IF(Q32&lt;=49,"4",IF(Q32&lt;=54,"5",IF(Q32&lt;=59,"6",IF(Q32&lt;=69,"7",IF(Q32&lt;=79,"8",IF(Q32&lt;=89,"9","10"))))))))</f>
        <v/>
      </c>
      <c r="T32" s="18">
        <f>IF(O32&lt;=17,"F",IF(Q32&lt;=39,"F",IF(Q32&lt;=49,"P",IF(Q32&lt;=54,"C",IF(Q32&lt;=59,"B",IF(Q32&lt;=69,"B+",IF(Q32&lt;=79,"A",IF(Q32&lt;=89,"A+","O"))))))))</f>
        <v/>
      </c>
      <c r="U32" s="18">
        <f>R32*S32</f>
        <v/>
      </c>
      <c r="V32" s="18" t="n"/>
      <c r="W32" s="9" t="n">
        <v>47</v>
      </c>
      <c r="X32" s="9" t="n">
        <v>45</v>
      </c>
      <c r="Y32" s="18" t="n"/>
      <c r="Z32" s="18">
        <f>SUM(W32:X32)</f>
        <v/>
      </c>
      <c r="AA32" s="18" t="n">
        <v>3</v>
      </c>
      <c r="AB32" s="18">
        <f>IF(X32&lt;=17,"0",IF(Z32&lt;=39,"0",IF(Z32&lt;=49,"4",IF(Z32&lt;=54,"5",IF(Z32&lt;=59,"6",IF(Z32&lt;=69,"7",IF(Z32&lt;=79,"8",IF(Z32&lt;=89,"9","10"))))))))</f>
        <v/>
      </c>
      <c r="AC32" s="18">
        <f>IF(X32&lt;=17,"F",IF(Z32&lt;=39,"F",IF(Z32&lt;=49,"P",IF(Z32&lt;=54,"C",IF(Z32&lt;=59,"B",IF(Z32&lt;=69,"B+",IF(Z32&lt;=79,"A",IF(Z32&lt;=89,"A+","O"))))))))</f>
        <v/>
      </c>
      <c r="AD32" s="18">
        <f>AA32*AB32</f>
        <v/>
      </c>
      <c r="AE32" s="18" t="n"/>
      <c r="AF32" s="46" t="n">
        <v>44</v>
      </c>
      <c r="AG32" s="46" t="n">
        <v>36</v>
      </c>
      <c r="AH32" s="9" t="n"/>
      <c r="AI32" s="18">
        <f>SUM(AF32:AG32)</f>
        <v/>
      </c>
      <c r="AJ32" s="18" t="n">
        <v>3</v>
      </c>
      <c r="AK32" s="18">
        <f>IF(AG32&lt;=17,"0",IF(AI32&lt;=39,"0",IF(AI32&lt;=49,"4",IF(AI32&lt;=54,"5",IF(AI32&lt;=59,"6",IF(AI32&lt;=69,"7",IF(AI32&lt;=79,"8",IF(AI32&lt;=89,"9","10"))))))))</f>
        <v/>
      </c>
      <c r="AL32" s="18">
        <f>IF(AG32&lt;=17,"F",IF(AI32&lt;=39,"F",IF(AI32&lt;=49,"P",IF(AI32&lt;=54,"C",IF(AI32&lt;=59,"B",IF(AI32&lt;=69,"B+",IF(AI32&lt;=79,"A",IF(AI32&lt;=89,"A+","O"))))))))</f>
        <v/>
      </c>
      <c r="AM32" s="18">
        <f>AJ32*AK32</f>
        <v/>
      </c>
      <c r="AN32" s="18" t="n"/>
      <c r="AO32" s="46" t="n">
        <v>48</v>
      </c>
      <c r="AP32" s="46" t="n">
        <v>41</v>
      </c>
      <c r="AQ32" s="9" t="n"/>
      <c r="AR32" s="18">
        <f>(AO32+AP32)</f>
        <v/>
      </c>
      <c r="AS32" s="18" t="n">
        <v>3</v>
      </c>
      <c r="AT32" s="18">
        <f>IF(AP32&lt;=17,"0",IF(AR32&lt;=39,"0",IF(AR32&lt;=49,"4",IF(AR32&lt;=54,"5",IF(AR32&lt;=59,"6",IF(AR32&lt;=69,"7",IF(AR32&lt;=79,"8",IF(AR32&lt;=89,"9","10"))))))))</f>
        <v/>
      </c>
      <c r="AU32" s="18">
        <f>IF(AP32&lt;=17,"F",IF(AR32&lt;=39,"F",IF(AR32&lt;=49,"P",IF(AR32&lt;=54,"C",IF(AR32&lt;=59,"B",IF(AR32&lt;=69,"B+",IF(AR32&lt;=79,"A",IF(AR32&lt;=89,"A+","O"))))))))</f>
        <v/>
      </c>
      <c r="AV32" s="18">
        <f>AS32*AT32</f>
        <v/>
      </c>
      <c r="AW32" s="18" t="n"/>
      <c r="AX32" s="9" t="n">
        <v>43</v>
      </c>
      <c r="AY32" s="9" t="n">
        <v>27</v>
      </c>
      <c r="AZ32" s="9" t="n"/>
      <c r="BA32" s="18">
        <f>(AX32+AY32)</f>
        <v/>
      </c>
      <c r="BB32" s="18" t="n">
        <v>1</v>
      </c>
      <c r="BC32" s="18">
        <f>IF(AY32&lt;=17,"0",IF(BA32&lt;=39,"0",IF(BA32&lt;=49,"4",IF(BA32&lt;=54,"5",IF(BA32&lt;=59,"6",IF(BA32&lt;=69,"7",IF(BA32&lt;=79,"8",IF(BA32&lt;=89,"9","10"))))))))</f>
        <v/>
      </c>
      <c r="BD32" s="18">
        <f>IF(AY32&lt;=17,"F",IF(BA32&lt;=39,"F",IF(BA32&lt;=49,"P",IF(BA32&lt;=54,"C",IF(BA32&lt;=59,"B",IF(BA32&lt;=69,"B+",IF(BA32&lt;=79,"A",IF(BA32&lt;=89,"A+","O"))))))))</f>
        <v/>
      </c>
      <c r="BE32" s="18">
        <f>BB32*BC32</f>
        <v/>
      </c>
      <c r="BF32" s="43" t="inlineStr">
        <is>
          <t>Samskrutika Kannada</t>
        </is>
      </c>
      <c r="BG32" s="9" t="n">
        <v>41</v>
      </c>
      <c r="BH32" s="9" t="n">
        <v>35</v>
      </c>
      <c r="BI32" s="9" t="n"/>
      <c r="BJ32" s="18">
        <f>(BG32+BH32)</f>
        <v/>
      </c>
      <c r="BK32" s="18" t="n">
        <v>1</v>
      </c>
      <c r="BL32" s="18">
        <f>IF(BH32&lt;=17,"0",IF(BJ32&lt;=39,"0",IF(BJ32&lt;=49,"4",IF(BJ32&lt;=54,"5",IF(BJ32&lt;=59,"6",IF(BJ32&lt;=69,"7",IF(BJ32&lt;=79,"8",IF(BJ32&lt;=89,"9","10"))))))))</f>
        <v/>
      </c>
      <c r="BM32" s="18">
        <f>IF(BH32&lt;=17,"F",IF(BJ32&lt;=39,"F",IF(BJ32&lt;=49,"P",IF(BJ32&lt;=54,"C",IF(BJ32&lt;=59,"B",IF(BJ32&lt;=69,"B+",IF(BJ32&lt;=79,"A",IF(BJ32&lt;=89,"A+","O"))))))))</f>
        <v/>
      </c>
      <c r="BN32" s="18">
        <f>BK32*BL32</f>
        <v/>
      </c>
      <c r="BO32" s="18" t="n"/>
      <c r="BP32" s="9" t="n">
        <v>44</v>
      </c>
      <c r="BQ32" s="9" t="n">
        <v>37</v>
      </c>
      <c r="BR32" s="9" t="n"/>
      <c r="BS32" s="18">
        <f>(BP32+BQ32)</f>
        <v/>
      </c>
      <c r="BT32" s="18" t="n">
        <v>1</v>
      </c>
      <c r="BU32" s="18">
        <f>IF(BQ32&lt;=17,"0",IF(BS32&lt;=39,"0",IF(BS32&lt;=49,"4",IF(BS32&lt;=54,"5",IF(BS32&lt;=59,"6",IF(BS32&lt;=69,"7",IF(BS32&lt;=79,"8",IF(BS32&lt;=89,"9","10"))))))))</f>
        <v/>
      </c>
      <c r="BV32" s="18">
        <f>IF(BQ32&lt;=17,"F",IF(BS32&lt;=39,"F",IF(BS32&lt;=49,"P",IF(BS32&lt;=54,"C",IF(BS32&lt;=59,"B",IF(BS32&lt;=69,"B+",IF(BS32&lt;=79,"A",IF(BS32&lt;=89,"A+","O"))))))))</f>
        <v/>
      </c>
      <c r="BW32" s="18">
        <f>BT32*BU32</f>
        <v/>
      </c>
      <c r="BX32" s="18" t="n"/>
      <c r="BY32" s="18" t="n"/>
      <c r="BZ32" s="18">
        <f>L32+U32+AD32+AM32+AV32+BE32+BN32+BW32</f>
        <v/>
      </c>
      <c r="CA32" s="19">
        <f>BZ32/20</f>
        <v/>
      </c>
      <c r="CB32" s="28">
        <f>IF(CA32&lt;4,"F",IF(BV32="F","F",IF(BM32="F","F",IF(BD32="F","F",IF(AU32="F","F",IF(AL32="F","F",IF(AC32="F","F",IF(T32="F","F",IF(K32="F","F",IF(CA32&lt;=5,"C",IF(CA32&lt;6,"B",IF(CA32&lt;7,"B+",IF(CA32&lt;8,"A",IF(CA32&lt;=9,"A+","O"))))))))))))))</f>
        <v/>
      </c>
      <c r="CC32" s="27">
        <f>CA32*9.5</f>
        <v/>
      </c>
      <c r="CD32" s="27" t="n"/>
      <c r="CE32" s="28">
        <f>SUM(BS32,BJ32,BA32,AR32,AI32,Z32,Q32,H32)</f>
        <v/>
      </c>
      <c r="CF32" s="28">
        <f>(CE32/800)*100</f>
        <v/>
      </c>
      <c r="CG32" s="27" t="n"/>
      <c r="CH32" s="27" t="n"/>
      <c r="CI32" s="27">
        <f>IF(CA32&lt;=4,"F",IF(CA32&lt;=6,"PASS",IF(CA32&lt;=6.5,"SC",IF(CA32&lt;=7.5,"FC",IF(CA32&lt;="10","FCD")))))</f>
        <v/>
      </c>
    </row>
    <row r="33" ht="15.75" customHeight="1">
      <c r="A33" s="35">
        <f>A32+1</f>
        <v/>
      </c>
      <c r="B33" s="37" t="inlineStr">
        <is>
          <t>1BI22CD053</t>
        </is>
      </c>
      <c r="C33" s="44" t="inlineStr">
        <is>
          <t>SINCHANA R P</t>
        </is>
      </c>
      <c r="D33" s="47" t="inlineStr">
        <is>
          <t>D</t>
        </is>
      </c>
      <c r="E33" s="9" t="n">
        <v>49</v>
      </c>
      <c r="F33" s="9" t="n">
        <v>28</v>
      </c>
      <c r="G33" s="9" t="n"/>
      <c r="H33" s="18">
        <f>SUM(E33:F33)</f>
        <v/>
      </c>
      <c r="I33" s="18" t="n">
        <v>4</v>
      </c>
      <c r="J33" s="18">
        <f>IF(F33&lt;=17,"0",IF(H33&lt;=39,"0",IF(H33&lt;=49,"4",IF(H33&lt;=54,"5",IF(H33&lt;=59,"6",IF(H33&lt;=69,"7",IF(H33&lt;=79,"8",IF(H33&lt;=89,"9","10"))))))))</f>
        <v/>
      </c>
      <c r="K33" s="18">
        <f>IF(F33&lt;=17,"F",IF(H33&lt;=39,"F",IF(H33&lt;=49,"P",IF(H33&lt;=54,"C",IF(H33&lt;=59,"B",IF(H33&lt;=69,"B+",IF(H33&lt;=79,"A",IF(H33&lt;=89,"A+","O"))))))))</f>
        <v/>
      </c>
      <c r="L33" s="18">
        <f>I33*J33</f>
        <v/>
      </c>
      <c r="M33" s="18" t="n"/>
      <c r="N33" s="9" t="n">
        <v>47</v>
      </c>
      <c r="O33" s="9" t="n">
        <v>34</v>
      </c>
      <c r="P33" s="9" t="n"/>
      <c r="Q33" s="18">
        <f>SUM(N33:O33)</f>
        <v/>
      </c>
      <c r="R33" s="18" t="n">
        <v>4</v>
      </c>
      <c r="S33" s="18">
        <f>IF(O33&lt;=17,"0",IF(Q33&lt;=39,"4",IF(Q33&lt;=49,"4",IF(Q33&lt;=54,"5",IF(Q33&lt;=59,"6",IF(Q33&lt;=69,"7",IF(Q33&lt;=79,"8",IF(Q33&lt;=89,"9","10"))))))))</f>
        <v/>
      </c>
      <c r="T33" s="18">
        <f>IF(O33&lt;=17,"F",IF(Q33&lt;=39,"F",IF(Q33&lt;=49,"P",IF(Q33&lt;=54,"C",IF(Q33&lt;=59,"B",IF(Q33&lt;=69,"B+",IF(Q33&lt;=79,"A",IF(Q33&lt;=89,"A+","O"))))))))</f>
        <v/>
      </c>
      <c r="U33" s="18">
        <f>R33*S33</f>
        <v/>
      </c>
      <c r="V33" s="18" t="n"/>
      <c r="W33" s="9" t="n">
        <v>47</v>
      </c>
      <c r="X33" s="9" t="n">
        <v>45</v>
      </c>
      <c r="Y33" s="18" t="n"/>
      <c r="Z33" s="18">
        <f>SUM(W33:X33)</f>
        <v/>
      </c>
      <c r="AA33" s="18" t="n">
        <v>3</v>
      </c>
      <c r="AB33" s="18">
        <f>IF(X33&lt;=17,"0",IF(Z33&lt;=39,"0",IF(Z33&lt;=49,"4",IF(Z33&lt;=54,"5",IF(Z33&lt;=59,"6",IF(Z33&lt;=69,"7",IF(Z33&lt;=79,"8",IF(Z33&lt;=89,"9","10"))))))))</f>
        <v/>
      </c>
      <c r="AC33" s="18">
        <f>IF(X33&lt;=17,"F",IF(Z33&lt;=39,"F",IF(Z33&lt;=49,"P",IF(Z33&lt;=54,"C",IF(Z33&lt;=59,"B",IF(Z33&lt;=69,"B+",IF(Z33&lt;=79,"A",IF(Z33&lt;=89,"A+","O"))))))))</f>
        <v/>
      </c>
      <c r="AD33" s="18">
        <f>AA33*AB33</f>
        <v/>
      </c>
      <c r="AE33" s="18" t="n"/>
      <c r="AF33" s="46" t="n">
        <v>41</v>
      </c>
      <c r="AG33" s="46" t="n">
        <v>33</v>
      </c>
      <c r="AH33" s="9" t="n"/>
      <c r="AI33" s="18">
        <f>SUM(AF33:AG33)</f>
        <v/>
      </c>
      <c r="AJ33" s="18" t="n">
        <v>3</v>
      </c>
      <c r="AK33" s="18">
        <f>IF(AG33&lt;=17,"0",IF(AI33&lt;=39,"0",IF(AI33&lt;=49,"4",IF(AI33&lt;=54,"5",IF(AI33&lt;=59,"6",IF(AI33&lt;=69,"7",IF(AI33&lt;=79,"8",IF(AI33&lt;=89,"9","10"))))))))</f>
        <v/>
      </c>
      <c r="AL33" s="18">
        <f>IF(AG33&lt;=17,"F",IF(AI33&lt;=39,"F",IF(AI33&lt;=49,"P",IF(AI33&lt;=54,"C",IF(AI33&lt;=59,"B",IF(AI33&lt;=69,"B+",IF(AI33&lt;=79,"A",IF(AI33&lt;=89,"A+","O"))))))))</f>
        <v/>
      </c>
      <c r="AM33" s="18">
        <f>AJ33*AK33</f>
        <v/>
      </c>
      <c r="AN33" s="18" t="n"/>
      <c r="AO33" s="46" t="n">
        <v>49</v>
      </c>
      <c r="AP33" s="46" t="n">
        <v>39</v>
      </c>
      <c r="AQ33" s="9" t="n"/>
      <c r="AR33" s="18">
        <f>(AO33+AP33)</f>
        <v/>
      </c>
      <c r="AS33" s="18" t="n">
        <v>3</v>
      </c>
      <c r="AT33" s="18">
        <f>IF(AP33&lt;=17,"0",IF(AR33&lt;=39,"0",IF(AR33&lt;=49,"4",IF(AR33&lt;=54,"5",IF(AR33&lt;=59,"6",IF(AR33&lt;=69,"7",IF(AR33&lt;=79,"8",IF(AR33&lt;=89,"9","10"))))))))</f>
        <v/>
      </c>
      <c r="AU33" s="18">
        <f>IF(AP33&lt;=17,"F",IF(AR33&lt;=39,"F",IF(AR33&lt;=49,"P",IF(AR33&lt;=54,"C",IF(AR33&lt;=59,"B",IF(AR33&lt;=69,"B+",IF(AR33&lt;=79,"A",IF(AR33&lt;=89,"A+","O"))))))))</f>
        <v/>
      </c>
      <c r="AV33" s="18">
        <f>AS33*AT33</f>
        <v/>
      </c>
      <c r="AW33" s="18" t="n"/>
      <c r="AX33" s="9" t="n">
        <v>45</v>
      </c>
      <c r="AY33" s="9" t="n">
        <v>33</v>
      </c>
      <c r="AZ33" s="9" t="n"/>
      <c r="BA33" s="18">
        <f>(AX33+AY33)</f>
        <v/>
      </c>
      <c r="BB33" s="18" t="n">
        <v>1</v>
      </c>
      <c r="BC33" s="18">
        <f>IF(AY33&lt;=17,"0",IF(BA33&lt;=39,"0",IF(BA33&lt;=49,"4",IF(BA33&lt;=54,"5",IF(BA33&lt;=59,"6",IF(BA33&lt;=69,"7",IF(BA33&lt;=79,"8",IF(BA33&lt;=89,"9","10"))))))))</f>
        <v/>
      </c>
      <c r="BD33" s="18">
        <f>IF(AY33&lt;=17,"F",IF(BA33&lt;=39,"F",IF(BA33&lt;=49,"P",IF(BA33&lt;=54,"C",IF(BA33&lt;=59,"B",IF(BA33&lt;=69,"B+",IF(BA33&lt;=79,"A",IF(BA33&lt;=89,"A+","O"))))))))</f>
        <v/>
      </c>
      <c r="BE33" s="18">
        <f>BB33*BC33</f>
        <v/>
      </c>
      <c r="BF33" s="43" t="inlineStr">
        <is>
          <t>Balake Kannada</t>
        </is>
      </c>
      <c r="BG33" s="9" t="n">
        <v>49</v>
      </c>
      <c r="BH33" s="9" t="n">
        <v>50</v>
      </c>
      <c r="BI33" s="9" t="n"/>
      <c r="BJ33" s="18">
        <f>(BG33+BH33)</f>
        <v/>
      </c>
      <c r="BK33" s="18" t="n">
        <v>1</v>
      </c>
      <c r="BL33" s="18">
        <f>IF(BH33&lt;=17,"0",IF(BJ33&lt;=39,"0",IF(BJ33&lt;=49,"4",IF(BJ33&lt;=54,"5",IF(BJ33&lt;=59,"6",IF(BJ33&lt;=69,"7",IF(BJ33&lt;=79,"8",IF(BJ33&lt;=89,"9","10"))))))))</f>
        <v/>
      </c>
      <c r="BM33" s="18">
        <f>IF(BH33&lt;=17,"F",IF(BJ33&lt;=39,"F",IF(BJ33&lt;=49,"P",IF(BJ33&lt;=54,"C",IF(BJ33&lt;=59,"B",IF(BJ33&lt;=69,"B+",IF(BJ33&lt;=79,"A",IF(BJ33&lt;=89,"A+","O"))))))))</f>
        <v/>
      </c>
      <c r="BN33" s="18">
        <f>BK33*BL33</f>
        <v/>
      </c>
      <c r="BO33" s="18" t="n"/>
      <c r="BP33" s="9" t="n">
        <v>48</v>
      </c>
      <c r="BQ33" s="9" t="n">
        <v>40</v>
      </c>
      <c r="BR33" s="9" t="n"/>
      <c r="BS33" s="18">
        <f>(BP33+BQ33)</f>
        <v/>
      </c>
      <c r="BT33" s="18" t="n">
        <v>1</v>
      </c>
      <c r="BU33" s="18">
        <f>IF(BQ33&lt;=17,"0",IF(BS33&lt;=39,"0",IF(BS33&lt;=49,"4",IF(BS33&lt;=54,"5",IF(BS33&lt;=59,"6",IF(BS33&lt;=69,"7",IF(BS33&lt;=79,"8",IF(BS33&lt;=89,"9","10"))))))))</f>
        <v/>
      </c>
      <c r="BV33" s="18">
        <f>IF(BQ33&lt;=17,"F",IF(BS33&lt;=39,"F",IF(BS33&lt;=49,"P",IF(BS33&lt;=54,"C",IF(BS33&lt;=59,"B",IF(BS33&lt;=69,"B+",IF(BS33&lt;=79,"A",IF(BS33&lt;=89,"A+","O"))))))))</f>
        <v/>
      </c>
      <c r="BW33" s="18">
        <f>BT33*BU33</f>
        <v/>
      </c>
      <c r="BX33" s="18" t="n"/>
      <c r="BY33" s="18" t="n"/>
      <c r="BZ33" s="18">
        <f>L33+U33+AD33+AM33+AV33+BE33+BN33+BW33</f>
        <v/>
      </c>
      <c r="CA33" s="19">
        <f>BZ33/20</f>
        <v/>
      </c>
      <c r="CB33" s="28">
        <f>IF(CA33&lt;4,"F",IF(BV33="F","F",IF(BM33="F","F",IF(BD33="F","F",IF(AU33="F","F",IF(AL33="F","F",IF(AC33="F","F",IF(T33="F","F",IF(K33="F","F",IF(CA33&lt;=5,"C",IF(CA33&lt;6,"B",IF(CA33&lt;7,"B+",IF(CA33&lt;8,"A",IF(CA33&lt;=9,"A+","O"))))))))))))))</f>
        <v/>
      </c>
      <c r="CC33" s="27">
        <f>CA33*9.5</f>
        <v/>
      </c>
      <c r="CD33" s="27" t="n"/>
      <c r="CE33" s="28">
        <f>SUM(BS33,BJ33,BA33,AR33,AI33,Z33,Q33,H33)</f>
        <v/>
      </c>
      <c r="CF33" s="28">
        <f>(CE33/800)*100</f>
        <v/>
      </c>
      <c r="CG33" s="27" t="n"/>
      <c r="CH33" s="27" t="n"/>
      <c r="CI33" s="27">
        <f>IF(CA33&lt;=4,"F",IF(CA33&lt;=6,"PASS",IF(CA33&lt;=6.5,"SC",IF(CA33&lt;=7.5,"FC",IF(CA33&lt;="10","FCD")))))</f>
        <v/>
      </c>
    </row>
    <row r="34" ht="15.75" customHeight="1">
      <c r="A34" s="35">
        <f>A33+1</f>
        <v/>
      </c>
      <c r="B34" s="37" t="inlineStr">
        <is>
          <t>1BI22CD033</t>
        </is>
      </c>
      <c r="C34" s="44" t="inlineStr">
        <is>
          <t>PRIYAM KUMARI</t>
        </is>
      </c>
      <c r="D34" s="47" t="inlineStr">
        <is>
          <t>D</t>
        </is>
      </c>
      <c r="E34" s="9" t="n">
        <v>45</v>
      </c>
      <c r="F34" s="9" t="n">
        <v>39</v>
      </c>
      <c r="G34" s="9" t="n"/>
      <c r="H34" s="18">
        <f>SUM(E34:F34)</f>
        <v/>
      </c>
      <c r="I34" s="18" t="n">
        <v>4</v>
      </c>
      <c r="J34" s="18">
        <f>IF(F34&lt;=17,"0",IF(H34&lt;=39,"0",IF(H34&lt;=49,"4",IF(H34&lt;=54,"5",IF(H34&lt;=59,"6",IF(H34&lt;=69,"7",IF(H34&lt;=79,"8",IF(H34&lt;=89,"9","10"))))))))</f>
        <v/>
      </c>
      <c r="K34" s="18">
        <f>IF(F34&lt;=17,"F",IF(H34&lt;=39,"F",IF(H34&lt;=49,"P",IF(H34&lt;=54,"C",IF(H34&lt;=59,"B",IF(H34&lt;=69,"B+",IF(H34&lt;=79,"A",IF(H34&lt;=89,"A+","O"))))))))</f>
        <v/>
      </c>
      <c r="L34" s="18">
        <f>I34*J34</f>
        <v/>
      </c>
      <c r="M34" s="18" t="n"/>
      <c r="N34" s="9" t="n">
        <v>47</v>
      </c>
      <c r="O34" s="9" t="n">
        <v>39</v>
      </c>
      <c r="P34" s="9" t="n"/>
      <c r="Q34" s="18">
        <f>SUM(N34:O34)</f>
        <v/>
      </c>
      <c r="R34" s="18" t="n">
        <v>4</v>
      </c>
      <c r="S34" s="18">
        <f>IF(O34&lt;=17,"0",IF(Q34&lt;=39,"4",IF(Q34&lt;=49,"4",IF(Q34&lt;=54,"5",IF(Q34&lt;=59,"6",IF(Q34&lt;=69,"7",IF(Q34&lt;=79,"8",IF(Q34&lt;=89,"9","10"))))))))</f>
        <v/>
      </c>
      <c r="T34" s="18">
        <f>IF(O34&lt;=17,"F",IF(Q34&lt;=39,"F",IF(Q34&lt;=49,"P",IF(Q34&lt;=54,"C",IF(Q34&lt;=59,"B",IF(Q34&lt;=69,"B+",IF(Q34&lt;=79,"A",IF(Q34&lt;=89,"A+","O"))))))))</f>
        <v/>
      </c>
      <c r="U34" s="18">
        <f>R34*S34</f>
        <v/>
      </c>
      <c r="V34" s="18" t="n"/>
      <c r="W34" s="9" t="n">
        <v>47</v>
      </c>
      <c r="X34" s="9" t="n">
        <v>30</v>
      </c>
      <c r="Y34" s="18" t="n"/>
      <c r="Z34" s="18">
        <f>SUM(W34:X34)</f>
        <v/>
      </c>
      <c r="AA34" s="18" t="n">
        <v>3</v>
      </c>
      <c r="AB34" s="18">
        <f>IF(X34&lt;=17,"0",IF(Z34&lt;=39,"0",IF(Z34&lt;=49,"4",IF(Z34&lt;=54,"5",IF(Z34&lt;=59,"6",IF(Z34&lt;=69,"7",IF(Z34&lt;=79,"8",IF(Z34&lt;=89,"9","10"))))))))</f>
        <v/>
      </c>
      <c r="AC34" s="18">
        <f>IF(X34&lt;=17,"F",IF(Z34&lt;=39,"F",IF(Z34&lt;=49,"P",IF(Z34&lt;=54,"C",IF(Z34&lt;=59,"B",IF(Z34&lt;=69,"B+",IF(Z34&lt;=79,"A",IF(Z34&lt;=89,"A+","O"))))))))</f>
        <v/>
      </c>
      <c r="AD34" s="18">
        <f>AA34*AB34</f>
        <v/>
      </c>
      <c r="AE34" s="18" t="n"/>
      <c r="AF34" s="46" t="n">
        <v>44</v>
      </c>
      <c r="AG34" s="46" t="n">
        <v>32</v>
      </c>
      <c r="AH34" s="9" t="n"/>
      <c r="AI34" s="18">
        <f>SUM(AF34:AG34)</f>
        <v/>
      </c>
      <c r="AJ34" s="18" t="n">
        <v>3</v>
      </c>
      <c r="AK34" s="18">
        <f>IF(AG34&lt;=17,"0",IF(AI34&lt;=39,"0",IF(AI34&lt;=49,"4",IF(AI34&lt;=54,"5",IF(AI34&lt;=59,"6",IF(AI34&lt;=69,"7",IF(AI34&lt;=79,"8",IF(AI34&lt;=89,"9","10"))))))))</f>
        <v/>
      </c>
      <c r="AL34" s="18">
        <f>IF(AG34&lt;=17,"F",IF(AI34&lt;=39,"F",IF(AI34&lt;=49,"P",IF(AI34&lt;=54,"C",IF(AI34&lt;=59,"B",IF(AI34&lt;=69,"B+",IF(AI34&lt;=79,"A",IF(AI34&lt;=89,"A+","O"))))))))</f>
        <v/>
      </c>
      <c r="AM34" s="18">
        <f>AJ34*AK34</f>
        <v/>
      </c>
      <c r="AN34" s="18" t="n"/>
      <c r="AO34" s="46" t="n">
        <v>49</v>
      </c>
      <c r="AP34" s="46" t="n">
        <v>33</v>
      </c>
      <c r="AQ34" s="9" t="n"/>
      <c r="AR34" s="18">
        <f>(AO34+AP34)</f>
        <v/>
      </c>
      <c r="AS34" s="18" t="n">
        <v>3</v>
      </c>
      <c r="AT34" s="18">
        <f>IF(AP34&lt;=17,"0",IF(AR34&lt;=39,"0",IF(AR34&lt;=49,"4",IF(AR34&lt;=54,"5",IF(AR34&lt;=59,"6",IF(AR34&lt;=69,"7",IF(AR34&lt;=79,"8",IF(AR34&lt;=89,"9","10"))))))))</f>
        <v/>
      </c>
      <c r="AU34" s="18">
        <f>IF(AP34&lt;=17,"F",IF(AR34&lt;=39,"F",IF(AR34&lt;=49,"P",IF(AR34&lt;=54,"C",IF(AR34&lt;=59,"B",IF(AR34&lt;=69,"B+",IF(AR34&lt;=79,"A",IF(AR34&lt;=89,"A+","O"))))))))</f>
        <v/>
      </c>
      <c r="AV34" s="18">
        <f>AS34*AT34</f>
        <v/>
      </c>
      <c r="AW34" s="18" t="n"/>
      <c r="AX34" s="9" t="n">
        <v>45</v>
      </c>
      <c r="AY34" s="9" t="n">
        <v>33</v>
      </c>
      <c r="AZ34" s="9" t="n"/>
      <c r="BA34" s="18">
        <f>(AX34+AY34)</f>
        <v/>
      </c>
      <c r="BB34" s="18" t="n">
        <v>1</v>
      </c>
      <c r="BC34" s="18">
        <f>IF(AY34&lt;=17,"0",IF(BA34&lt;=39,"0",IF(BA34&lt;=49,"4",IF(BA34&lt;=54,"5",IF(BA34&lt;=59,"6",IF(BA34&lt;=69,"7",IF(BA34&lt;=79,"8",IF(BA34&lt;=89,"9","10"))))))))</f>
        <v/>
      </c>
      <c r="BD34" s="18">
        <f>IF(AY34&lt;=17,"F",IF(BA34&lt;=39,"F",IF(BA34&lt;=49,"P",IF(BA34&lt;=54,"C",IF(BA34&lt;=59,"B",IF(BA34&lt;=69,"B+",IF(BA34&lt;=79,"A",IF(BA34&lt;=89,"A+","O"))))))))</f>
        <v/>
      </c>
      <c r="BE34" s="18">
        <f>BB34*BC34</f>
        <v/>
      </c>
      <c r="BF34" s="43" t="inlineStr">
        <is>
          <t>Balake Kannada</t>
        </is>
      </c>
      <c r="BG34" s="9" t="n">
        <v>49</v>
      </c>
      <c r="BH34" s="9" t="n">
        <v>41</v>
      </c>
      <c r="BI34" s="9" t="n"/>
      <c r="BJ34" s="18">
        <f>(BG34+BH34)</f>
        <v/>
      </c>
      <c r="BK34" s="18" t="n">
        <v>1</v>
      </c>
      <c r="BL34" s="18">
        <f>IF(BH34&lt;=17,"0",IF(BJ34&lt;=39,"0",IF(BJ34&lt;=49,"4",IF(BJ34&lt;=54,"5",IF(BJ34&lt;=59,"6",IF(BJ34&lt;=69,"7",IF(BJ34&lt;=79,"8",IF(BJ34&lt;=89,"9","10"))))))))</f>
        <v/>
      </c>
      <c r="BM34" s="18">
        <f>IF(BH34&lt;=17,"F",IF(BJ34&lt;=39,"F",IF(BJ34&lt;=49,"P",IF(BJ34&lt;=54,"C",IF(BJ34&lt;=59,"B",IF(BJ34&lt;=69,"B+",IF(BJ34&lt;=79,"A",IF(BJ34&lt;=89,"A+","O"))))))))</f>
        <v/>
      </c>
      <c r="BN34" s="18">
        <f>BK34*BL34</f>
        <v/>
      </c>
      <c r="BO34" s="18" t="n"/>
      <c r="BP34" s="9" t="n">
        <v>49</v>
      </c>
      <c r="BQ34" s="9" t="n">
        <v>42</v>
      </c>
      <c r="BR34" s="9" t="n"/>
      <c r="BS34" s="18">
        <f>(BP34+BQ34)</f>
        <v/>
      </c>
      <c r="BT34" s="18" t="n">
        <v>1</v>
      </c>
      <c r="BU34" s="18">
        <f>IF(BQ34&lt;=17,"0",IF(BS34&lt;=39,"0",IF(BS34&lt;=49,"4",IF(BS34&lt;=54,"5",IF(BS34&lt;=59,"6",IF(BS34&lt;=69,"7",IF(BS34&lt;=79,"8",IF(BS34&lt;=89,"9","10"))))))))</f>
        <v/>
      </c>
      <c r="BV34" s="18">
        <f>IF(BQ34&lt;=17,"F",IF(BS34&lt;=39,"F",IF(BS34&lt;=49,"P",IF(BS34&lt;=54,"C",IF(BS34&lt;=59,"B",IF(BS34&lt;=69,"B+",IF(BS34&lt;=79,"A",IF(BS34&lt;=89,"A+","O"))))))))</f>
        <v/>
      </c>
      <c r="BW34" s="18">
        <f>BT34*BU34</f>
        <v/>
      </c>
      <c r="BX34" s="18" t="n"/>
      <c r="BY34" s="18" t="n"/>
      <c r="BZ34" s="18">
        <f>L34+U34+AD34+AM34+AV34+BE34+BN34+BW34</f>
        <v/>
      </c>
      <c r="CA34" s="19">
        <f>BZ34/20</f>
        <v/>
      </c>
      <c r="CB34" s="28">
        <f>IF(CA34&lt;4,"F",IF(BV34="F","F",IF(BM34="F","F",IF(BD34="F","F",IF(AU34="F","F",IF(AL34="F","F",IF(AC34="F","F",IF(T34="F","F",IF(K34="F","F",IF(CA34&lt;=5,"C",IF(CA34&lt;6,"B",IF(CA34&lt;7,"B+",IF(CA34&lt;8,"A",IF(CA34&lt;=9,"A+","O"))))))))))))))</f>
        <v/>
      </c>
      <c r="CC34" s="27">
        <f>CA34*9.5</f>
        <v/>
      </c>
      <c r="CD34" s="27" t="n"/>
      <c r="CE34" s="28">
        <f>SUM(BS34,BJ34,BA34,AR34,AI34,Z34,Q34,H34)</f>
        <v/>
      </c>
      <c r="CF34" s="28">
        <f>(CE34/800)*100</f>
        <v/>
      </c>
      <c r="CG34" s="27" t="n"/>
      <c r="CH34" s="27" t="n"/>
      <c r="CI34" s="27">
        <f>IF(CA34&lt;=4,"F",IF(CA34&lt;=6,"PASS",IF(CA34&lt;=6.5,"SC",IF(CA34&lt;=7.5,"FC",IF(CA34&lt;="10","FCD")))))</f>
        <v/>
      </c>
    </row>
    <row r="35" ht="15.75" customHeight="1">
      <c r="A35" s="35">
        <f>A34+1</f>
        <v/>
      </c>
      <c r="B35" s="37" t="inlineStr">
        <is>
          <t>1BI22CD038</t>
        </is>
      </c>
      <c r="C35" s="44" t="inlineStr">
        <is>
          <t>RAVIKUMAR L</t>
        </is>
      </c>
      <c r="D35" s="47" t="inlineStr">
        <is>
          <t>D</t>
        </is>
      </c>
      <c r="E35" s="9" t="n">
        <v>47</v>
      </c>
      <c r="F35" s="9" t="n">
        <v>37</v>
      </c>
      <c r="G35" s="9" t="n"/>
      <c r="H35" s="18">
        <f>SUM(E35:F35)</f>
        <v/>
      </c>
      <c r="I35" s="18" t="n">
        <v>4</v>
      </c>
      <c r="J35" s="18">
        <f>IF(F35&lt;=17,"0",IF(H35&lt;=39,"0",IF(H35&lt;=49,"4",IF(H35&lt;=54,"5",IF(H35&lt;=59,"6",IF(H35&lt;=69,"7",IF(H35&lt;=79,"8",IF(H35&lt;=89,"9","10"))))))))</f>
        <v/>
      </c>
      <c r="K35" s="18">
        <f>IF(F35&lt;=17,"F",IF(H35&lt;=39,"F",IF(H35&lt;=49,"P",IF(H35&lt;=54,"C",IF(H35&lt;=59,"B",IF(H35&lt;=69,"B+",IF(H35&lt;=79,"A",IF(H35&lt;=89,"A+","O"))))))))</f>
        <v/>
      </c>
      <c r="L35" s="18">
        <f>I35*J35</f>
        <v/>
      </c>
      <c r="M35" s="18" t="n"/>
      <c r="N35" s="9" t="n">
        <v>45</v>
      </c>
      <c r="O35" s="9" t="n">
        <v>29</v>
      </c>
      <c r="P35" s="9" t="n"/>
      <c r="Q35" s="18">
        <f>SUM(N35:O35)</f>
        <v/>
      </c>
      <c r="R35" s="18" t="n">
        <v>4</v>
      </c>
      <c r="S35" s="18">
        <f>IF(O35&lt;=17,"0",IF(Q35&lt;=39,"4",IF(Q35&lt;=49,"4",IF(Q35&lt;=54,"5",IF(Q35&lt;=59,"6",IF(Q35&lt;=69,"7",IF(Q35&lt;=79,"8",IF(Q35&lt;=89,"9","10"))))))))</f>
        <v/>
      </c>
      <c r="T35" s="18">
        <f>IF(O35&lt;=17,"F",IF(Q35&lt;=39,"F",IF(Q35&lt;=49,"P",IF(Q35&lt;=54,"C",IF(Q35&lt;=59,"B",IF(Q35&lt;=69,"B+",IF(Q35&lt;=79,"A",IF(Q35&lt;=89,"A+","O"))))))))</f>
        <v/>
      </c>
      <c r="U35" s="18">
        <f>R35*S35</f>
        <v/>
      </c>
      <c r="V35" s="18" t="n"/>
      <c r="W35" s="9" t="n">
        <v>42</v>
      </c>
      <c r="X35" s="9" t="n">
        <v>47</v>
      </c>
      <c r="Y35" s="18" t="n"/>
      <c r="Z35" s="18">
        <f>SUM(W35:X35)</f>
        <v/>
      </c>
      <c r="AA35" s="18" t="n">
        <v>3</v>
      </c>
      <c r="AB35" s="18">
        <f>IF(X35&lt;=17,"0",IF(Z35&lt;=39,"0",IF(Z35&lt;=49,"4",IF(Z35&lt;=54,"5",IF(Z35&lt;=59,"6",IF(Z35&lt;=69,"7",IF(Z35&lt;=79,"8",IF(Z35&lt;=89,"9","10"))))))))</f>
        <v/>
      </c>
      <c r="AC35" s="18">
        <f>IF(X35&lt;=17,"F",IF(Z35&lt;=39,"F",IF(Z35&lt;=49,"P",IF(Z35&lt;=54,"C",IF(Z35&lt;=59,"B",IF(Z35&lt;=69,"B+",IF(Z35&lt;=79,"A",IF(Z35&lt;=89,"A+","O"))))))))</f>
        <v/>
      </c>
      <c r="AD35" s="18">
        <f>AA35*AB35</f>
        <v/>
      </c>
      <c r="AE35" s="18" t="n"/>
      <c r="AF35" s="46" t="n">
        <v>43</v>
      </c>
      <c r="AG35" s="46" t="n">
        <v>48</v>
      </c>
      <c r="AH35" s="9" t="n"/>
      <c r="AI35" s="18">
        <f>SUM(AF35:AG35)</f>
        <v/>
      </c>
      <c r="AJ35" s="18" t="n">
        <v>3</v>
      </c>
      <c r="AK35" s="18">
        <f>IF(AG35&lt;=17,"0",IF(AI35&lt;=39,"0",IF(AI35&lt;=49,"4",IF(AI35&lt;=54,"5",IF(AI35&lt;=59,"6",IF(AI35&lt;=69,"7",IF(AI35&lt;=79,"8",IF(AI35&lt;=89,"9","10"))))))))</f>
        <v/>
      </c>
      <c r="AL35" s="18">
        <f>IF(AG35&lt;=17,"F",IF(AI35&lt;=39,"F",IF(AI35&lt;=49,"P",IF(AI35&lt;=54,"C",IF(AI35&lt;=59,"B",IF(AI35&lt;=69,"B+",IF(AI35&lt;=79,"A",IF(AI35&lt;=89,"A+","O"))))))))</f>
        <v/>
      </c>
      <c r="AM35" s="18">
        <f>AJ35*AK35</f>
        <v/>
      </c>
      <c r="AN35" s="18" t="n"/>
      <c r="AO35" s="46" t="n">
        <v>46</v>
      </c>
      <c r="AP35" s="46" t="n">
        <v>26</v>
      </c>
      <c r="AQ35" s="9" t="n"/>
      <c r="AR35" s="18">
        <f>(AO35+AP35)</f>
        <v/>
      </c>
      <c r="AS35" s="18" t="n">
        <v>3</v>
      </c>
      <c r="AT35" s="18">
        <f>IF(AP35&lt;=17,"0",IF(AR35&lt;=39,"0",IF(AR35&lt;=49,"4",IF(AR35&lt;=54,"5",IF(AR35&lt;=59,"6",IF(AR35&lt;=69,"7",IF(AR35&lt;=79,"8",IF(AR35&lt;=89,"9","10"))))))))</f>
        <v/>
      </c>
      <c r="AU35" s="18">
        <f>IF(AP35&lt;=17,"F",IF(AR35&lt;=39,"F",IF(AR35&lt;=49,"P",IF(AR35&lt;=54,"C",IF(AR35&lt;=59,"B",IF(AR35&lt;=69,"B+",IF(AR35&lt;=79,"A",IF(AR35&lt;=89,"A+","O"))))))))</f>
        <v/>
      </c>
      <c r="AV35" s="18">
        <f>AS35*AT35</f>
        <v/>
      </c>
      <c r="AW35" s="18" t="n"/>
      <c r="AX35" s="9" t="n">
        <v>47</v>
      </c>
      <c r="AY35" s="9" t="n">
        <v>28</v>
      </c>
      <c r="AZ35" s="9" t="n"/>
      <c r="BA35" s="18">
        <f>(AX35+AY35)</f>
        <v/>
      </c>
      <c r="BB35" s="18" t="n">
        <v>1</v>
      </c>
      <c r="BC35" s="18">
        <f>IF(AY35&lt;=17,"0",IF(BA35&lt;=39,"0",IF(BA35&lt;=49,"4",IF(BA35&lt;=54,"5",IF(BA35&lt;=59,"6",IF(BA35&lt;=69,"7",IF(BA35&lt;=79,"8",IF(BA35&lt;=89,"9","10"))))))))</f>
        <v/>
      </c>
      <c r="BD35" s="18">
        <f>IF(AY35&lt;=17,"F",IF(BA35&lt;=39,"F",IF(BA35&lt;=49,"P",IF(BA35&lt;=54,"C",IF(BA35&lt;=59,"B",IF(BA35&lt;=69,"B+",IF(BA35&lt;=79,"A",IF(BA35&lt;=89,"A+","O"))))))))</f>
        <v/>
      </c>
      <c r="BE35" s="18">
        <f>BB35*BC35</f>
        <v/>
      </c>
      <c r="BF35" s="43" t="inlineStr">
        <is>
          <t>Samskrutika Kannada</t>
        </is>
      </c>
      <c r="BG35" s="9" t="n">
        <v>47</v>
      </c>
      <c r="BH35" s="9" t="n">
        <v>41</v>
      </c>
      <c r="BI35" s="9" t="n"/>
      <c r="BJ35" s="18">
        <f>(BG35+BH35)</f>
        <v/>
      </c>
      <c r="BK35" s="18" t="n">
        <v>1</v>
      </c>
      <c r="BL35" s="18">
        <f>IF(BH35&lt;=17,"0",IF(BJ35&lt;=39,"0",IF(BJ35&lt;=49,"4",IF(BJ35&lt;=54,"5",IF(BJ35&lt;=59,"6",IF(BJ35&lt;=69,"7",IF(BJ35&lt;=79,"8",IF(BJ35&lt;=89,"9","10"))))))))</f>
        <v/>
      </c>
      <c r="BM35" s="18">
        <f>IF(BH35&lt;=17,"F",IF(BJ35&lt;=39,"F",IF(BJ35&lt;=49,"P",IF(BJ35&lt;=54,"C",IF(BJ35&lt;=59,"B",IF(BJ35&lt;=69,"B+",IF(BJ35&lt;=79,"A",IF(BJ35&lt;=89,"A+","O"))))))))</f>
        <v/>
      </c>
      <c r="BN35" s="18">
        <f>BK35*BL35</f>
        <v/>
      </c>
      <c r="BO35" s="18" t="n"/>
      <c r="BP35" s="9" t="n">
        <v>46</v>
      </c>
      <c r="BQ35" s="9" t="n">
        <v>43</v>
      </c>
      <c r="BR35" s="9" t="n"/>
      <c r="BS35" s="18">
        <f>(BP35+BQ35)</f>
        <v/>
      </c>
      <c r="BT35" s="18" t="n">
        <v>1</v>
      </c>
      <c r="BU35" s="18">
        <f>IF(BQ35&lt;=17,"0",IF(BS35&lt;=39,"0",IF(BS35&lt;=49,"4",IF(BS35&lt;=54,"5",IF(BS35&lt;=59,"6",IF(BS35&lt;=69,"7",IF(BS35&lt;=79,"8",IF(BS35&lt;=89,"9","10"))))))))</f>
        <v/>
      </c>
      <c r="BV35" s="18">
        <f>IF(BQ35&lt;=17,"F",IF(BS35&lt;=39,"F",IF(BS35&lt;=49,"P",IF(BS35&lt;=54,"C",IF(BS35&lt;=59,"B",IF(BS35&lt;=69,"B+",IF(BS35&lt;=79,"A",IF(BS35&lt;=89,"A+","O"))))))))</f>
        <v/>
      </c>
      <c r="BW35" s="18">
        <f>BT35*BU35</f>
        <v/>
      </c>
      <c r="BX35" s="18" t="n"/>
      <c r="BY35" s="18" t="n"/>
      <c r="BZ35" s="18">
        <f>L35+U35+AD35+AM35+AV35+BE35+BN35+BW35</f>
        <v/>
      </c>
      <c r="CA35" s="19">
        <f>BZ35/20</f>
        <v/>
      </c>
      <c r="CB35" s="28">
        <f>IF(CA35&lt;4,"F",IF(BV35="F","F",IF(BM35="F","F",IF(BD35="F","F",IF(AU35="F","F",IF(AL35="F","F",IF(AC35="F","F",IF(T35="F","F",IF(K35="F","F",IF(CA35&lt;=5,"C",IF(CA35&lt;6,"B",IF(CA35&lt;7,"B+",IF(CA35&lt;8,"A",IF(CA35&lt;=9,"A+","O"))))))))))))))</f>
        <v/>
      </c>
      <c r="CC35" s="27">
        <f>CA35*9.5</f>
        <v/>
      </c>
      <c r="CD35" s="27" t="n"/>
      <c r="CE35" s="28">
        <f>SUM(BS35,BJ35,BA35,AR35,AI35,Z35,Q35,H35)</f>
        <v/>
      </c>
      <c r="CF35" s="28">
        <f>(CE35/800)*100</f>
        <v/>
      </c>
      <c r="CG35" s="27" t="n"/>
      <c r="CH35" s="27" t="n"/>
      <c r="CI35" s="27">
        <f>IF(CA35&lt;=4,"F",IF(CA35&lt;=6,"PASS",IF(CA35&lt;=6.5,"SC",IF(CA35&lt;=7.5,"FC",IF(CA35&lt;="10","FCD")))))</f>
        <v/>
      </c>
    </row>
    <row r="36" ht="15.75" customHeight="1">
      <c r="A36" s="35">
        <f>A35+1</f>
        <v/>
      </c>
      <c r="B36" s="37" t="inlineStr">
        <is>
          <t>1BI22CD029</t>
        </is>
      </c>
      <c r="C36" s="44" t="inlineStr">
        <is>
          <t>NITESH N</t>
        </is>
      </c>
      <c r="D36" s="47" t="inlineStr">
        <is>
          <t>D</t>
        </is>
      </c>
      <c r="E36" s="9" t="n">
        <v>46</v>
      </c>
      <c r="F36" s="9" t="n">
        <v>42</v>
      </c>
      <c r="G36" s="9" t="n"/>
      <c r="H36" s="18">
        <f>SUM(E36:F36)</f>
        <v/>
      </c>
      <c r="I36" s="18" t="n">
        <v>4</v>
      </c>
      <c r="J36" s="18">
        <f>IF(F36&lt;=17,"0",IF(H36&lt;=39,"0",IF(H36&lt;=49,"4",IF(H36&lt;=54,"5",IF(H36&lt;=59,"6",IF(H36&lt;=69,"7",IF(H36&lt;=79,"8",IF(H36&lt;=89,"9","10"))))))))</f>
        <v/>
      </c>
      <c r="K36" s="18">
        <f>IF(F36&lt;=17,"F",IF(H36&lt;=39,"F",IF(H36&lt;=49,"P",IF(H36&lt;=54,"C",IF(H36&lt;=59,"B",IF(H36&lt;=69,"B+",IF(H36&lt;=79,"A",IF(H36&lt;=89,"A+","O"))))))))</f>
        <v/>
      </c>
      <c r="L36" s="18">
        <f>I36*J36</f>
        <v/>
      </c>
      <c r="M36" s="18" t="n"/>
      <c r="N36" s="9" t="n">
        <v>44</v>
      </c>
      <c r="O36" s="9" t="n">
        <v>32</v>
      </c>
      <c r="P36" s="9" t="n"/>
      <c r="Q36" s="18">
        <f>SUM(N36:O36)</f>
        <v/>
      </c>
      <c r="R36" s="18" t="n">
        <v>4</v>
      </c>
      <c r="S36" s="18">
        <f>IF(O36&lt;=17,"0",IF(Q36&lt;=39,"4",IF(Q36&lt;=49,"4",IF(Q36&lt;=54,"5",IF(Q36&lt;=59,"6",IF(Q36&lt;=69,"7",IF(Q36&lt;=79,"8",IF(Q36&lt;=89,"9","10"))))))))</f>
        <v/>
      </c>
      <c r="T36" s="18">
        <f>IF(O36&lt;=17,"F",IF(Q36&lt;=39,"F",IF(Q36&lt;=49,"P",IF(Q36&lt;=54,"C",IF(Q36&lt;=59,"B",IF(Q36&lt;=69,"B+",IF(Q36&lt;=79,"A",IF(Q36&lt;=89,"A+","O"))))))))</f>
        <v/>
      </c>
      <c r="U36" s="18">
        <f>R36*S36</f>
        <v/>
      </c>
      <c r="V36" s="18" t="n"/>
      <c r="W36" s="9" t="n">
        <v>48</v>
      </c>
      <c r="X36" s="9" t="n">
        <v>43</v>
      </c>
      <c r="Y36" s="18" t="n"/>
      <c r="Z36" s="18">
        <f>SUM(W36:X36)</f>
        <v/>
      </c>
      <c r="AA36" s="18" t="n">
        <v>3</v>
      </c>
      <c r="AB36" s="18">
        <f>IF(X36&lt;=17,"0",IF(Z36&lt;=39,"0",IF(Z36&lt;=49,"4",IF(Z36&lt;=54,"5",IF(Z36&lt;=59,"6",IF(Z36&lt;=69,"7",IF(Z36&lt;=79,"8",IF(Z36&lt;=89,"9","10"))))))))</f>
        <v/>
      </c>
      <c r="AC36" s="18">
        <f>IF(X36&lt;=17,"F",IF(Z36&lt;=39,"F",IF(Z36&lt;=49,"P",IF(Z36&lt;=54,"C",IF(Z36&lt;=59,"B",IF(Z36&lt;=69,"B+",IF(Z36&lt;=79,"A",IF(Z36&lt;=89,"A+","O"))))))))</f>
        <v/>
      </c>
      <c r="AD36" s="18">
        <f>AA36*AB36</f>
        <v/>
      </c>
      <c r="AE36" s="18" t="n"/>
      <c r="AF36" s="46" t="n">
        <v>40</v>
      </c>
      <c r="AG36" s="46" t="n">
        <v>40</v>
      </c>
      <c r="AH36" s="9" t="n"/>
      <c r="AI36" s="18">
        <f>SUM(AF36:AG36)</f>
        <v/>
      </c>
      <c r="AJ36" s="18" t="n">
        <v>3</v>
      </c>
      <c r="AK36" s="18">
        <f>IF(AG36&lt;=17,"0",IF(AI36&lt;=39,"0",IF(AI36&lt;=49,"4",IF(AI36&lt;=54,"5",IF(AI36&lt;=59,"6",IF(AI36&lt;=69,"7",IF(AI36&lt;=79,"8",IF(AI36&lt;=89,"9","10"))))))))</f>
        <v/>
      </c>
      <c r="AL36" s="18">
        <f>IF(AG36&lt;=17,"F",IF(AI36&lt;=39,"F",IF(AI36&lt;=49,"P",IF(AI36&lt;=54,"C",IF(AI36&lt;=59,"B",IF(AI36&lt;=69,"B+",IF(AI36&lt;=79,"A",IF(AI36&lt;=89,"A+","O"))))))))</f>
        <v/>
      </c>
      <c r="AM36" s="18">
        <f>AJ36*AK36</f>
        <v/>
      </c>
      <c r="AN36" s="18" t="n"/>
      <c r="AO36" s="46" t="n">
        <v>48</v>
      </c>
      <c r="AP36" s="46" t="n">
        <v>30</v>
      </c>
      <c r="AQ36" s="9" t="n"/>
      <c r="AR36" s="18">
        <f>(AO36+AP36)</f>
        <v/>
      </c>
      <c r="AS36" s="18" t="n">
        <v>3</v>
      </c>
      <c r="AT36" s="18">
        <f>IF(AP36&lt;=17,"0",IF(AR36&lt;=39,"0",IF(AR36&lt;=49,"4",IF(AR36&lt;=54,"5",IF(AR36&lt;=59,"6",IF(AR36&lt;=69,"7",IF(AR36&lt;=79,"8",IF(AR36&lt;=89,"9","10"))))))))</f>
        <v/>
      </c>
      <c r="AU36" s="18">
        <f>IF(AP36&lt;=17,"F",IF(AR36&lt;=39,"F",IF(AR36&lt;=49,"P",IF(AR36&lt;=54,"C",IF(AR36&lt;=59,"B",IF(AR36&lt;=69,"B+",IF(AR36&lt;=79,"A",IF(AR36&lt;=89,"A+","O"))))))))</f>
        <v/>
      </c>
      <c r="AV36" s="18">
        <f>AS36*AT36</f>
        <v/>
      </c>
      <c r="AW36" s="18" t="n"/>
      <c r="AX36" s="9" t="n">
        <v>47</v>
      </c>
      <c r="AY36" s="9" t="n">
        <v>29</v>
      </c>
      <c r="AZ36" s="9" t="n"/>
      <c r="BA36" s="18">
        <f>(AX36+AY36)</f>
        <v/>
      </c>
      <c r="BB36" s="18" t="n">
        <v>1</v>
      </c>
      <c r="BC36" s="18">
        <f>IF(AY36&lt;=17,"0",IF(BA36&lt;=39,"0",IF(BA36&lt;=49,"4",IF(BA36&lt;=54,"5",IF(BA36&lt;=59,"6",IF(BA36&lt;=69,"7",IF(BA36&lt;=79,"8",IF(BA36&lt;=89,"9","10"))))))))</f>
        <v/>
      </c>
      <c r="BD36" s="18">
        <f>IF(AY36&lt;=17,"F",IF(BA36&lt;=39,"F",IF(BA36&lt;=49,"P",IF(BA36&lt;=54,"C",IF(BA36&lt;=59,"B",IF(BA36&lt;=69,"B+",IF(BA36&lt;=79,"A",IF(BA36&lt;=89,"A+","O"))))))))</f>
        <v/>
      </c>
      <c r="BE36" s="18">
        <f>BB36*BC36</f>
        <v/>
      </c>
      <c r="BF36" s="43" t="inlineStr">
        <is>
          <t>Samskrutika Kannada</t>
        </is>
      </c>
      <c r="BG36" s="9" t="n">
        <v>42</v>
      </c>
      <c r="BH36" s="9" t="n">
        <v>30</v>
      </c>
      <c r="BI36" s="9" t="n"/>
      <c r="BJ36" s="18">
        <f>(BG36+BH36)</f>
        <v/>
      </c>
      <c r="BK36" s="18" t="n">
        <v>1</v>
      </c>
      <c r="BL36" s="18">
        <f>IF(BH36&lt;=17,"0",IF(BJ36&lt;=39,"0",IF(BJ36&lt;=49,"4",IF(BJ36&lt;=54,"5",IF(BJ36&lt;=59,"6",IF(BJ36&lt;=69,"7",IF(BJ36&lt;=79,"8",IF(BJ36&lt;=89,"9","10"))))))))</f>
        <v/>
      </c>
      <c r="BM36" s="18">
        <f>IF(BH36&lt;=17,"F",IF(BJ36&lt;=39,"F",IF(BJ36&lt;=49,"P",IF(BJ36&lt;=54,"C",IF(BJ36&lt;=59,"B",IF(BJ36&lt;=69,"B+",IF(BJ36&lt;=79,"A",IF(BJ36&lt;=89,"A+","O"))))))))</f>
        <v/>
      </c>
      <c r="BN36" s="18">
        <f>BK36*BL36</f>
        <v/>
      </c>
      <c r="BO36" s="18" t="n"/>
      <c r="BP36" s="9" t="n">
        <v>46</v>
      </c>
      <c r="BQ36" s="9" t="n">
        <v>37</v>
      </c>
      <c r="BR36" s="9" t="n"/>
      <c r="BS36" s="18">
        <f>(BP36+BQ36)</f>
        <v/>
      </c>
      <c r="BT36" s="18" t="n">
        <v>1</v>
      </c>
      <c r="BU36" s="18">
        <f>IF(BQ36&lt;=17,"0",IF(BS36&lt;=39,"0",IF(BS36&lt;=49,"4",IF(BS36&lt;=54,"5",IF(BS36&lt;=59,"6",IF(BS36&lt;=69,"7",IF(BS36&lt;=79,"8",IF(BS36&lt;=89,"9","10"))))))))</f>
        <v/>
      </c>
      <c r="BV36" s="18">
        <f>IF(BQ36&lt;=17,"F",IF(BS36&lt;=39,"F",IF(BS36&lt;=49,"P",IF(BS36&lt;=54,"C",IF(BS36&lt;=59,"B",IF(BS36&lt;=69,"B+",IF(BS36&lt;=79,"A",IF(BS36&lt;=89,"A+","O"))))))))</f>
        <v/>
      </c>
      <c r="BW36" s="18">
        <f>BT36*BU36</f>
        <v/>
      </c>
      <c r="BX36" s="18" t="n"/>
      <c r="BY36" s="18" t="n"/>
      <c r="BZ36" s="18">
        <f>L36+U36+AD36+AM36+AV36+BE36+BN36+BW36</f>
        <v/>
      </c>
      <c r="CA36" s="19">
        <f>BZ36/20</f>
        <v/>
      </c>
      <c r="CB36" s="28">
        <f>IF(CA36&lt;4,"F",IF(BV36="F","F",IF(BM36="F","F",IF(BD36="F","F",IF(AU36="F","F",IF(AL36="F","F",IF(AC36="F","F",IF(T36="F","F",IF(K36="F","F",IF(CA36&lt;=5,"C",IF(CA36&lt;6,"B",IF(CA36&lt;7,"B+",IF(CA36&lt;8,"A",IF(CA36&lt;=9,"A+","O"))))))))))))))</f>
        <v/>
      </c>
      <c r="CC36" s="27">
        <f>CA36*9.5</f>
        <v/>
      </c>
      <c r="CD36" s="27" t="n"/>
      <c r="CE36" s="28">
        <f>SUM(BS36,BJ36,BA36,AR36,AI36,Z36,Q36,H36)</f>
        <v/>
      </c>
      <c r="CF36" s="28">
        <f>(CE36/800)*100</f>
        <v/>
      </c>
      <c r="CG36" s="27" t="n"/>
      <c r="CH36" s="27" t="n"/>
      <c r="CI36" s="27">
        <f>IF(CA36&lt;=4,"F",IF(CA36&lt;=6,"PASS",IF(CA36&lt;=6.5,"SC",IF(CA36&lt;=7.5,"FC",IF(CA36&lt;="10","FCD")))))</f>
        <v/>
      </c>
    </row>
    <row r="37" ht="15.75" customHeight="1">
      <c r="A37" s="35">
        <f>A36+1</f>
        <v/>
      </c>
      <c r="B37" s="37" t="inlineStr">
        <is>
          <t>1BI22CD042</t>
        </is>
      </c>
      <c r="C37" s="44" t="inlineStr">
        <is>
          <t>SAHANA H R</t>
        </is>
      </c>
      <c r="D37" s="47" t="inlineStr">
        <is>
          <t>D</t>
        </is>
      </c>
      <c r="E37" s="9" t="n">
        <v>45</v>
      </c>
      <c r="F37" s="9" t="n">
        <v>28</v>
      </c>
      <c r="G37" s="9" t="n"/>
      <c r="H37" s="18">
        <f>SUM(E37:F37)</f>
        <v/>
      </c>
      <c r="I37" s="18" t="n">
        <v>4</v>
      </c>
      <c r="J37" s="18">
        <f>IF(F37&lt;=17,"0",IF(H37&lt;=39,"0",IF(H37&lt;=49,"4",IF(H37&lt;=54,"5",IF(H37&lt;=59,"6",IF(H37&lt;=69,"7",IF(H37&lt;=79,"8",IF(H37&lt;=89,"9","10"))))))))</f>
        <v/>
      </c>
      <c r="K37" s="18">
        <f>IF(F37&lt;=17,"F",IF(H37&lt;=39,"F",IF(H37&lt;=49,"P",IF(H37&lt;=54,"C",IF(H37&lt;=59,"B",IF(H37&lt;=69,"B+",IF(H37&lt;=79,"A",IF(H37&lt;=89,"A+","O"))))))))</f>
        <v/>
      </c>
      <c r="L37" s="18">
        <f>I37*J37</f>
        <v/>
      </c>
      <c r="M37" s="18" t="n"/>
      <c r="N37" s="9" t="n">
        <v>47</v>
      </c>
      <c r="O37" s="9" t="n">
        <v>31</v>
      </c>
      <c r="P37" s="9" t="n"/>
      <c r="Q37" s="18">
        <f>SUM(N37:O37)</f>
        <v/>
      </c>
      <c r="R37" s="18" t="n">
        <v>4</v>
      </c>
      <c r="S37" s="18">
        <f>IF(O37&lt;=17,"0",IF(Q37&lt;=39,"4",IF(Q37&lt;=49,"4",IF(Q37&lt;=54,"5",IF(Q37&lt;=59,"6",IF(Q37&lt;=69,"7",IF(Q37&lt;=79,"8",IF(Q37&lt;=89,"9","10"))))))))</f>
        <v/>
      </c>
      <c r="T37" s="18">
        <f>IF(O37&lt;=17,"F",IF(Q37&lt;=39,"F",IF(Q37&lt;=49,"P",IF(Q37&lt;=54,"C",IF(Q37&lt;=59,"B",IF(Q37&lt;=69,"B+",IF(Q37&lt;=79,"A",IF(Q37&lt;=89,"A+","O"))))))))</f>
        <v/>
      </c>
      <c r="U37" s="18">
        <f>R37*S37</f>
        <v/>
      </c>
      <c r="V37" s="18" t="n"/>
      <c r="W37" s="9" t="n">
        <v>43</v>
      </c>
      <c r="X37" s="9" t="n">
        <v>48</v>
      </c>
      <c r="Y37" s="18" t="n"/>
      <c r="Z37" s="18">
        <f>SUM(W37:X37)</f>
        <v/>
      </c>
      <c r="AA37" s="18" t="n">
        <v>3</v>
      </c>
      <c r="AB37" s="18">
        <f>IF(X37&lt;=17,"0",IF(Z37&lt;=39,"0",IF(Z37&lt;=49,"4",IF(Z37&lt;=54,"5",IF(Z37&lt;=59,"6",IF(Z37&lt;=69,"7",IF(Z37&lt;=79,"8",IF(Z37&lt;=89,"9","10"))))))))</f>
        <v/>
      </c>
      <c r="AC37" s="18">
        <f>IF(X37&lt;=17,"F",IF(Z37&lt;=39,"F",IF(Z37&lt;=49,"P",IF(Z37&lt;=54,"C",IF(Z37&lt;=59,"B",IF(Z37&lt;=69,"B+",IF(Z37&lt;=79,"A",IF(Z37&lt;=89,"A+","O"))))))))</f>
        <v/>
      </c>
      <c r="AD37" s="18">
        <f>AA37*AB37</f>
        <v/>
      </c>
      <c r="AE37" s="18" t="n"/>
      <c r="AF37" s="46" t="n">
        <v>43</v>
      </c>
      <c r="AG37" s="46" t="n">
        <v>38</v>
      </c>
      <c r="AH37" s="9" t="n"/>
      <c r="AI37" s="18">
        <f>SUM(AF37:AG37)</f>
        <v/>
      </c>
      <c r="AJ37" s="18" t="n">
        <v>3</v>
      </c>
      <c r="AK37" s="18">
        <f>IF(AG37&lt;=17,"0",IF(AI37&lt;=39,"0",IF(AI37&lt;=49,"4",IF(AI37&lt;=54,"5",IF(AI37&lt;=59,"6",IF(AI37&lt;=69,"7",IF(AI37&lt;=79,"8",IF(AI37&lt;=89,"9","10"))))))))</f>
        <v/>
      </c>
      <c r="AL37" s="18">
        <f>IF(AG37&lt;=17,"F",IF(AI37&lt;=39,"F",IF(AI37&lt;=49,"P",IF(AI37&lt;=54,"C",IF(AI37&lt;=59,"B",IF(AI37&lt;=69,"B+",IF(AI37&lt;=79,"A",IF(AI37&lt;=89,"A+","O"))))))))</f>
        <v/>
      </c>
      <c r="AM37" s="18">
        <f>AJ37*AK37</f>
        <v/>
      </c>
      <c r="AN37" s="18" t="n"/>
      <c r="AO37" s="46" t="n">
        <v>46</v>
      </c>
      <c r="AP37" s="46" t="n">
        <v>36</v>
      </c>
      <c r="AQ37" s="9" t="n"/>
      <c r="AR37" s="18">
        <f>(AO37+AP37)</f>
        <v/>
      </c>
      <c r="AS37" s="18" t="n">
        <v>3</v>
      </c>
      <c r="AT37" s="18">
        <f>IF(AP37&lt;=17,"0",IF(AR37&lt;=39,"0",IF(AR37&lt;=49,"4",IF(AR37&lt;=54,"5",IF(AR37&lt;=59,"6",IF(AR37&lt;=69,"7",IF(AR37&lt;=79,"8",IF(AR37&lt;=89,"9","10"))))))))</f>
        <v/>
      </c>
      <c r="AU37" s="18">
        <f>IF(AP37&lt;=17,"F",IF(AR37&lt;=39,"F",IF(AR37&lt;=49,"P",IF(AR37&lt;=54,"C",IF(AR37&lt;=59,"B",IF(AR37&lt;=69,"B+",IF(AR37&lt;=79,"A",IF(AR37&lt;=89,"A+","O"))))))))</f>
        <v/>
      </c>
      <c r="AV37" s="18">
        <f>AS37*AT37</f>
        <v/>
      </c>
      <c r="AW37" s="18" t="n"/>
      <c r="AX37" s="9" t="n">
        <v>45</v>
      </c>
      <c r="AY37" s="9" t="n">
        <v>30</v>
      </c>
      <c r="AZ37" s="9" t="n"/>
      <c r="BA37" s="18">
        <f>(AX37+AY37)</f>
        <v/>
      </c>
      <c r="BB37" s="18" t="n">
        <v>1</v>
      </c>
      <c r="BC37" s="18">
        <f>IF(AY37&lt;=17,"0",IF(BA37&lt;=39,"0",IF(BA37&lt;=49,"4",IF(BA37&lt;=54,"5",IF(BA37&lt;=59,"6",IF(BA37&lt;=69,"7",IF(BA37&lt;=79,"8",IF(BA37&lt;=89,"9","10"))))))))</f>
        <v/>
      </c>
      <c r="BD37" s="18">
        <f>IF(AY37&lt;=17,"F",IF(BA37&lt;=39,"F",IF(BA37&lt;=49,"P",IF(BA37&lt;=54,"C",IF(BA37&lt;=59,"B",IF(BA37&lt;=69,"B+",IF(BA37&lt;=79,"A",IF(BA37&lt;=89,"A+","O"))))))))</f>
        <v/>
      </c>
      <c r="BE37" s="18">
        <f>BB37*BC37</f>
        <v/>
      </c>
      <c r="BF37" s="43" t="inlineStr">
        <is>
          <t>Samskrutika Kannada</t>
        </is>
      </c>
      <c r="BG37" s="9" t="n">
        <v>47</v>
      </c>
      <c r="BH37" s="9" t="n">
        <v>33</v>
      </c>
      <c r="BI37" s="9" t="n"/>
      <c r="BJ37" s="18">
        <f>(BG37+BH37)</f>
        <v/>
      </c>
      <c r="BK37" s="18" t="n">
        <v>1</v>
      </c>
      <c r="BL37" s="18">
        <f>IF(BH37&lt;=17,"0",IF(BJ37&lt;=39,"0",IF(BJ37&lt;=49,"4",IF(BJ37&lt;=54,"5",IF(BJ37&lt;=59,"6",IF(BJ37&lt;=69,"7",IF(BJ37&lt;=79,"8",IF(BJ37&lt;=89,"9","10"))))))))</f>
        <v/>
      </c>
      <c r="BM37" s="18">
        <f>IF(BH37&lt;=17,"F",IF(BJ37&lt;=39,"F",IF(BJ37&lt;=49,"P",IF(BJ37&lt;=54,"C",IF(BJ37&lt;=59,"B",IF(BJ37&lt;=69,"B+",IF(BJ37&lt;=79,"A",IF(BJ37&lt;=89,"A+","O"))))))))</f>
        <v/>
      </c>
      <c r="BN37" s="18">
        <f>BK37*BL37</f>
        <v/>
      </c>
      <c r="BO37" s="18" t="n"/>
      <c r="BP37" s="9" t="n">
        <v>45</v>
      </c>
      <c r="BQ37" s="9" t="n">
        <v>38</v>
      </c>
      <c r="BR37" s="9" t="n"/>
      <c r="BS37" s="18">
        <f>(BP37+BQ37)</f>
        <v/>
      </c>
      <c r="BT37" s="18" t="n">
        <v>1</v>
      </c>
      <c r="BU37" s="18">
        <f>IF(BQ37&lt;=17,"0",IF(BS37&lt;=39,"0",IF(BS37&lt;=49,"4",IF(BS37&lt;=54,"5",IF(BS37&lt;=59,"6",IF(BS37&lt;=69,"7",IF(BS37&lt;=79,"8",IF(BS37&lt;=89,"9","10"))))))))</f>
        <v/>
      </c>
      <c r="BV37" s="18">
        <f>IF(BQ37&lt;=17,"F",IF(BS37&lt;=39,"F",IF(BS37&lt;=49,"P",IF(BS37&lt;=54,"C",IF(BS37&lt;=59,"B",IF(BS37&lt;=69,"B+",IF(BS37&lt;=79,"A",IF(BS37&lt;=89,"A+","O"))))))))</f>
        <v/>
      </c>
      <c r="BW37" s="18">
        <f>BT37*BU37</f>
        <v/>
      </c>
      <c r="BX37" s="18" t="n"/>
      <c r="BY37" s="18" t="n"/>
      <c r="BZ37" s="18">
        <f>L37+U37+AD37+AM37+AV37+BE37+BN37+BW37</f>
        <v/>
      </c>
      <c r="CA37" s="19">
        <f>BZ37/20</f>
        <v/>
      </c>
      <c r="CB37" s="28">
        <f>IF(CA37&lt;4,"F",IF(BV37="F","F",IF(BM37="F","F",IF(BD37="F","F",IF(AU37="F","F",IF(AL37="F","F",IF(AC37="F","F",IF(T37="F","F",IF(K37="F","F",IF(CA37&lt;=5,"C",IF(CA37&lt;6,"B",IF(CA37&lt;7,"B+",IF(CA37&lt;8,"A",IF(CA37&lt;=9,"A+","O"))))))))))))))</f>
        <v/>
      </c>
      <c r="CC37" s="27">
        <f>CA37*9.5</f>
        <v/>
      </c>
      <c r="CD37" s="27" t="n"/>
      <c r="CE37" s="28">
        <f>SUM(BS37,BJ37,BA37,AR37,AI37,Z37,Q37,H37)</f>
        <v/>
      </c>
      <c r="CF37" s="28">
        <f>(CE37/800)*100</f>
        <v/>
      </c>
      <c r="CG37" s="27" t="n"/>
      <c r="CH37" s="27" t="n"/>
      <c r="CI37" s="27">
        <f>IF(CA37&lt;=4,"F",IF(CA37&lt;=6,"PASS",IF(CA37&lt;=6.5,"SC",IF(CA37&lt;=7.5,"FC",IF(CA37&lt;="10","FCD")))))</f>
        <v/>
      </c>
    </row>
    <row r="38" ht="15.75" customHeight="1">
      <c r="A38" s="35">
        <f>A37+1</f>
        <v/>
      </c>
      <c r="B38" s="37" t="inlineStr">
        <is>
          <t>1BI22CD007</t>
        </is>
      </c>
      <c r="C38" s="44" t="inlineStr">
        <is>
          <t>BHUMIKA P</t>
        </is>
      </c>
      <c r="D38" s="47" t="inlineStr">
        <is>
          <t>D</t>
        </is>
      </c>
      <c r="E38" s="9" t="n">
        <v>41</v>
      </c>
      <c r="F38" s="9" t="n">
        <v>29</v>
      </c>
      <c r="G38" s="9" t="n"/>
      <c r="H38" s="18">
        <f>SUM(E38:F38)</f>
        <v/>
      </c>
      <c r="I38" s="18" t="n">
        <v>4</v>
      </c>
      <c r="J38" s="18">
        <f>IF(F38&lt;=17,"0",IF(H38&lt;=39,"0",IF(H38&lt;=49,"4",IF(H38&lt;=54,"5",IF(H38&lt;=59,"6",IF(H38&lt;=69,"7",IF(H38&lt;=79,"8",IF(H38&lt;=89,"9","10"))))))))</f>
        <v/>
      </c>
      <c r="K38" s="18">
        <f>IF(F38&lt;=17,"F",IF(H38&lt;=39,"F",IF(H38&lt;=49,"P",IF(H38&lt;=54,"C",IF(H38&lt;=59,"B",IF(H38&lt;=69,"B+",IF(H38&lt;=79,"A",IF(H38&lt;=89,"A+","O"))))))))</f>
        <v/>
      </c>
      <c r="L38" s="18">
        <f>I38*J38</f>
        <v/>
      </c>
      <c r="M38" s="18" t="n"/>
      <c r="N38" s="9" t="n">
        <v>45</v>
      </c>
      <c r="O38" s="9" t="n">
        <v>38</v>
      </c>
      <c r="P38" s="9" t="n"/>
      <c r="Q38" s="18">
        <f>SUM(N38:O38)</f>
        <v/>
      </c>
      <c r="R38" s="18" t="n">
        <v>4</v>
      </c>
      <c r="S38" s="18">
        <f>IF(O38&lt;=17,"0",IF(Q38&lt;=39,"4",IF(Q38&lt;=49,"4",IF(Q38&lt;=54,"5",IF(Q38&lt;=59,"6",IF(Q38&lt;=69,"7",IF(Q38&lt;=79,"8",IF(Q38&lt;=89,"9","10"))))))))</f>
        <v/>
      </c>
      <c r="T38" s="18">
        <f>IF(O38&lt;=17,"F",IF(Q38&lt;=39,"F",IF(Q38&lt;=49,"P",IF(Q38&lt;=54,"C",IF(Q38&lt;=59,"B",IF(Q38&lt;=69,"B+",IF(Q38&lt;=79,"A",IF(Q38&lt;=89,"A+","O"))))))))</f>
        <v/>
      </c>
      <c r="U38" s="18">
        <f>R38*S38</f>
        <v/>
      </c>
      <c r="V38" s="18" t="n"/>
      <c r="W38" s="9" t="n">
        <v>45</v>
      </c>
      <c r="X38" s="9" t="n">
        <v>46</v>
      </c>
      <c r="Y38" s="18" t="n"/>
      <c r="Z38" s="18">
        <f>SUM(W38:X38)</f>
        <v/>
      </c>
      <c r="AA38" s="18" t="n">
        <v>3</v>
      </c>
      <c r="AB38" s="18">
        <f>IF(X38&lt;=17,"0",IF(Z38&lt;=39,"0",IF(Z38&lt;=49,"4",IF(Z38&lt;=54,"5",IF(Z38&lt;=59,"6",IF(Z38&lt;=69,"7",IF(Z38&lt;=79,"8",IF(Z38&lt;=89,"9","10"))))))))</f>
        <v/>
      </c>
      <c r="AC38" s="18">
        <f>IF(X38&lt;=17,"F",IF(Z38&lt;=39,"F",IF(Z38&lt;=49,"P",IF(Z38&lt;=54,"C",IF(Z38&lt;=59,"B",IF(Z38&lt;=69,"B+",IF(Z38&lt;=79,"A",IF(Z38&lt;=89,"A+","O"))))))))</f>
        <v/>
      </c>
      <c r="AD38" s="18">
        <f>AA38*AB38</f>
        <v/>
      </c>
      <c r="AE38" s="18" t="n"/>
      <c r="AF38" s="46" t="n">
        <v>40</v>
      </c>
      <c r="AG38" s="46" t="n">
        <v>42</v>
      </c>
      <c r="AH38" s="9" t="n"/>
      <c r="AI38" s="18">
        <f>SUM(AF38:AG38)</f>
        <v/>
      </c>
      <c r="AJ38" s="18" t="n">
        <v>3</v>
      </c>
      <c r="AK38" s="18">
        <f>IF(AG38&lt;=17,"0",IF(AI38&lt;=39,"0",IF(AI38&lt;=49,"4",IF(AI38&lt;=54,"5",IF(AI38&lt;=59,"6",IF(AI38&lt;=69,"7",IF(AI38&lt;=79,"8",IF(AI38&lt;=89,"9","10"))))))))</f>
        <v/>
      </c>
      <c r="AL38" s="18">
        <f>IF(AG38&lt;=17,"F",IF(AI38&lt;=39,"F",IF(AI38&lt;=49,"P",IF(AI38&lt;=54,"C",IF(AI38&lt;=59,"B",IF(AI38&lt;=69,"B+",IF(AI38&lt;=79,"A",IF(AI38&lt;=89,"A+","O"))))))))</f>
        <v/>
      </c>
      <c r="AM38" s="18">
        <f>AJ38*AK38</f>
        <v/>
      </c>
      <c r="AN38" s="18" t="n"/>
      <c r="AO38" s="46" t="n">
        <v>48</v>
      </c>
      <c r="AP38" s="46" t="n">
        <v>29</v>
      </c>
      <c r="AQ38" s="9" t="n"/>
      <c r="AR38" s="18">
        <f>(AO38+AP38)</f>
        <v/>
      </c>
      <c r="AS38" s="18" t="n">
        <v>3</v>
      </c>
      <c r="AT38" s="18">
        <f>IF(AP38&lt;=17,"0",IF(AR38&lt;=39,"0",IF(AR38&lt;=49,"4",IF(AR38&lt;=54,"5",IF(AR38&lt;=59,"6",IF(AR38&lt;=69,"7",IF(AR38&lt;=79,"8",IF(AR38&lt;=89,"9","10"))))))))</f>
        <v/>
      </c>
      <c r="AU38" s="18">
        <f>IF(AP38&lt;=17,"F",IF(AR38&lt;=39,"F",IF(AR38&lt;=49,"P",IF(AR38&lt;=54,"C",IF(AR38&lt;=59,"B",IF(AR38&lt;=69,"B+",IF(AR38&lt;=79,"A",IF(AR38&lt;=89,"A+","O"))))))))</f>
        <v/>
      </c>
      <c r="AV38" s="18">
        <f>AS38*AT38</f>
        <v/>
      </c>
      <c r="AW38" s="18" t="n"/>
      <c r="AX38" s="9" t="n">
        <v>46</v>
      </c>
      <c r="AY38" s="9" t="n">
        <v>30</v>
      </c>
      <c r="AZ38" s="9" t="n"/>
      <c r="BA38" s="18">
        <f>(AX38+AY38)</f>
        <v/>
      </c>
      <c r="BB38" s="18" t="n">
        <v>1</v>
      </c>
      <c r="BC38" s="18">
        <f>IF(AY38&lt;=17,"0",IF(BA38&lt;=39,"0",IF(BA38&lt;=49,"4",IF(BA38&lt;=54,"5",IF(BA38&lt;=59,"6",IF(BA38&lt;=69,"7",IF(BA38&lt;=79,"8",IF(BA38&lt;=89,"9","10"))))))))</f>
        <v/>
      </c>
      <c r="BD38" s="18">
        <f>IF(AY38&lt;=17,"F",IF(BA38&lt;=39,"F",IF(BA38&lt;=49,"P",IF(BA38&lt;=54,"C",IF(BA38&lt;=59,"B",IF(BA38&lt;=69,"B+",IF(BA38&lt;=79,"A",IF(BA38&lt;=89,"A+","O"))))))))</f>
        <v/>
      </c>
      <c r="BE38" s="18">
        <f>BB38*BC38</f>
        <v/>
      </c>
      <c r="BF38" s="43" t="inlineStr">
        <is>
          <t>Samskrutika Kannada</t>
        </is>
      </c>
      <c r="BG38" s="9" t="n">
        <v>44</v>
      </c>
      <c r="BH38" s="9" t="n">
        <v>32</v>
      </c>
      <c r="BI38" s="9" t="n"/>
      <c r="BJ38" s="18">
        <f>(BG38+BH38)</f>
        <v/>
      </c>
      <c r="BK38" s="18" t="n">
        <v>1</v>
      </c>
      <c r="BL38" s="18">
        <f>IF(BH38&lt;=17,"0",IF(BJ38&lt;=39,"0",IF(BJ38&lt;=49,"4",IF(BJ38&lt;=54,"5",IF(BJ38&lt;=59,"6",IF(BJ38&lt;=69,"7",IF(BJ38&lt;=79,"8",IF(BJ38&lt;=89,"9","10"))))))))</f>
        <v/>
      </c>
      <c r="BM38" s="18">
        <f>IF(BH38&lt;=17,"F",IF(BJ38&lt;=39,"F",IF(BJ38&lt;=49,"P",IF(BJ38&lt;=54,"C",IF(BJ38&lt;=59,"B",IF(BJ38&lt;=69,"B+",IF(BJ38&lt;=79,"A",IF(BJ38&lt;=89,"A+","O"))))))))</f>
        <v/>
      </c>
      <c r="BN38" s="18">
        <f>BK38*BL38</f>
        <v/>
      </c>
      <c r="BO38" s="18" t="n"/>
      <c r="BP38" s="9" t="n">
        <v>48</v>
      </c>
      <c r="BQ38" s="9" t="n">
        <v>39</v>
      </c>
      <c r="BR38" s="9" t="n"/>
      <c r="BS38" s="18">
        <f>(BP38+BQ38)</f>
        <v/>
      </c>
      <c r="BT38" s="18" t="n">
        <v>1</v>
      </c>
      <c r="BU38" s="18">
        <f>IF(BQ38&lt;=17,"0",IF(BS38&lt;=39,"0",IF(BS38&lt;=49,"4",IF(BS38&lt;=54,"5",IF(BS38&lt;=59,"6",IF(BS38&lt;=69,"7",IF(BS38&lt;=79,"8",IF(BS38&lt;=89,"9","10"))))))))</f>
        <v/>
      </c>
      <c r="BV38" s="18">
        <f>IF(BQ38&lt;=17,"F",IF(BS38&lt;=39,"F",IF(BS38&lt;=49,"P",IF(BS38&lt;=54,"C",IF(BS38&lt;=59,"B",IF(BS38&lt;=69,"B+",IF(BS38&lt;=79,"A",IF(BS38&lt;=89,"A+","O"))))))))</f>
        <v/>
      </c>
      <c r="BW38" s="18">
        <f>BT38*BU38</f>
        <v/>
      </c>
      <c r="BX38" s="18" t="n"/>
      <c r="BY38" s="18" t="n"/>
      <c r="BZ38" s="18">
        <f>L38+U38+AD38+AM38+AV38+BE38+BN38+BW38</f>
        <v/>
      </c>
      <c r="CA38" s="19">
        <f>BZ38/20</f>
        <v/>
      </c>
      <c r="CB38" s="28">
        <f>IF(CA38&lt;4,"F",IF(BV38="F","F",IF(BM38="F","F",IF(BD38="F","F",IF(AU38="F","F",IF(AL38="F","F",IF(AC38="F","F",IF(T38="F","F",IF(K38="F","F",IF(CA38&lt;=5,"C",IF(CA38&lt;6,"B",IF(CA38&lt;7,"B+",IF(CA38&lt;8,"A",IF(CA38&lt;=9,"A+","O"))))))))))))))</f>
        <v/>
      </c>
      <c r="CC38" s="27">
        <f>CA38*9.5</f>
        <v/>
      </c>
      <c r="CD38" s="27" t="n"/>
      <c r="CE38" s="28">
        <f>SUM(BS38,BJ38,BA38,AR38,AI38,Z38,Q38,H38)</f>
        <v/>
      </c>
      <c r="CF38" s="28">
        <f>(CE38/800)*100</f>
        <v/>
      </c>
      <c r="CG38" s="27" t="n"/>
      <c r="CH38" s="27" t="n"/>
      <c r="CI38" s="27">
        <f>IF(CA38&lt;=4,"F",IF(CA38&lt;=6,"PASS",IF(CA38&lt;=6.5,"SC",IF(CA38&lt;=7.5,"FC",IF(CA38&lt;="10","FCD")))))</f>
        <v/>
      </c>
    </row>
    <row r="39" ht="15.75" customHeight="1">
      <c r="A39" s="35">
        <f>A38+1</f>
        <v/>
      </c>
      <c r="B39" s="37" t="inlineStr">
        <is>
          <t>1BI22CD019</t>
        </is>
      </c>
      <c r="C39" s="44" t="inlineStr">
        <is>
          <t>KHUSHI KUMARI</t>
        </is>
      </c>
      <c r="D39" s="47" t="inlineStr">
        <is>
          <t>D</t>
        </is>
      </c>
      <c r="E39" s="9" t="n">
        <v>46</v>
      </c>
      <c r="F39" s="9" t="n">
        <v>37</v>
      </c>
      <c r="G39" s="9" t="n"/>
      <c r="H39" s="18">
        <f>SUM(E39:F39)</f>
        <v/>
      </c>
      <c r="I39" s="18" t="n">
        <v>4</v>
      </c>
      <c r="J39" s="18">
        <f>IF(F39&lt;=17,"0",IF(H39&lt;=39,"0",IF(H39&lt;=49,"4",IF(H39&lt;=54,"5",IF(H39&lt;=59,"6",IF(H39&lt;=69,"7",IF(H39&lt;=79,"8",IF(H39&lt;=89,"9","10"))))))))</f>
        <v/>
      </c>
      <c r="K39" s="18">
        <f>IF(F39&lt;=17,"F",IF(H39&lt;=39,"F",IF(H39&lt;=49,"P",IF(H39&lt;=54,"C",IF(H39&lt;=59,"B",IF(H39&lt;=69,"B+",IF(H39&lt;=79,"A",IF(H39&lt;=89,"A+","O"))))))))</f>
        <v/>
      </c>
      <c r="L39" s="18">
        <f>I39*J39</f>
        <v/>
      </c>
      <c r="M39" s="18" t="n"/>
      <c r="N39" s="9" t="n">
        <v>44</v>
      </c>
      <c r="O39" s="9" t="n">
        <v>31</v>
      </c>
      <c r="P39" s="9" t="n"/>
      <c r="Q39" s="18">
        <f>SUM(N39:O39)</f>
        <v/>
      </c>
      <c r="R39" s="18" t="n">
        <v>4</v>
      </c>
      <c r="S39" s="18">
        <f>IF(O39&lt;=17,"0",IF(Q39&lt;=39,"4",IF(Q39&lt;=49,"4",IF(Q39&lt;=54,"5",IF(Q39&lt;=59,"6",IF(Q39&lt;=69,"7",IF(Q39&lt;=79,"8",IF(Q39&lt;=89,"9","10"))))))))</f>
        <v/>
      </c>
      <c r="T39" s="18">
        <f>IF(O39&lt;=17,"F",IF(Q39&lt;=39,"F",IF(Q39&lt;=49,"P",IF(Q39&lt;=54,"C",IF(Q39&lt;=59,"B",IF(Q39&lt;=69,"B+",IF(Q39&lt;=79,"A",IF(Q39&lt;=89,"A+","O"))))))))</f>
        <v/>
      </c>
      <c r="U39" s="18">
        <f>R39*S39</f>
        <v/>
      </c>
      <c r="V39" s="18" t="n"/>
      <c r="W39" s="9" t="n">
        <v>48</v>
      </c>
      <c r="X39" s="9" t="n">
        <v>45</v>
      </c>
      <c r="Y39" s="18" t="n"/>
      <c r="Z39" s="18">
        <f>SUM(W39:X39)</f>
        <v/>
      </c>
      <c r="AA39" s="18" t="n">
        <v>3</v>
      </c>
      <c r="AB39" s="18">
        <f>IF(X39&lt;=17,"0",IF(Z39&lt;=39,"0",IF(Z39&lt;=49,"4",IF(Z39&lt;=54,"5",IF(Z39&lt;=59,"6",IF(Z39&lt;=69,"7",IF(Z39&lt;=79,"8",IF(Z39&lt;=89,"9","10"))))))))</f>
        <v/>
      </c>
      <c r="AC39" s="18">
        <f>IF(X39&lt;=17,"F",IF(Z39&lt;=39,"F",IF(Z39&lt;=49,"P",IF(Z39&lt;=54,"C",IF(Z39&lt;=59,"B",IF(Z39&lt;=69,"B+",IF(Z39&lt;=79,"A",IF(Z39&lt;=89,"A+","O"))))))))</f>
        <v/>
      </c>
      <c r="AD39" s="18">
        <f>AA39*AB39</f>
        <v/>
      </c>
      <c r="AE39" s="18" t="n"/>
      <c r="AF39" s="46" t="n">
        <v>43</v>
      </c>
      <c r="AG39" s="46" t="n">
        <v>35</v>
      </c>
      <c r="AH39" s="9" t="n"/>
      <c r="AI39" s="18">
        <f>SUM(AF39:AG39)</f>
        <v/>
      </c>
      <c r="AJ39" s="18" t="n">
        <v>3</v>
      </c>
      <c r="AK39" s="18">
        <f>IF(AG39&lt;=17,"0",IF(AI39&lt;=39,"0",IF(AI39&lt;=49,"4",IF(AI39&lt;=54,"5",IF(AI39&lt;=59,"6",IF(AI39&lt;=69,"7",IF(AI39&lt;=79,"8",IF(AI39&lt;=89,"9","10"))))))))</f>
        <v/>
      </c>
      <c r="AL39" s="18">
        <f>IF(AG39&lt;=17,"F",IF(AI39&lt;=39,"F",IF(AI39&lt;=49,"P",IF(AI39&lt;=54,"C",IF(AI39&lt;=59,"B",IF(AI39&lt;=69,"B+",IF(AI39&lt;=79,"A",IF(AI39&lt;=89,"A+","O"))))))))</f>
        <v/>
      </c>
      <c r="AM39" s="18">
        <f>AJ39*AK39</f>
        <v/>
      </c>
      <c r="AN39" s="18" t="n"/>
      <c r="AO39" s="46" t="n">
        <v>50</v>
      </c>
      <c r="AP39" s="46" t="n">
        <v>23</v>
      </c>
      <c r="AQ39" s="9" t="n"/>
      <c r="AR39" s="18">
        <f>(AO39+AP39)</f>
        <v/>
      </c>
      <c r="AS39" s="18" t="n">
        <v>3</v>
      </c>
      <c r="AT39" s="18">
        <f>IF(AP39&lt;=17,"0",IF(AR39&lt;=39,"0",IF(AR39&lt;=49,"4",IF(AR39&lt;=54,"5",IF(AR39&lt;=59,"6",IF(AR39&lt;=69,"7",IF(AR39&lt;=79,"8",IF(AR39&lt;=89,"9","10"))))))))</f>
        <v/>
      </c>
      <c r="AU39" s="18">
        <f>IF(AP39&lt;=17,"F",IF(AR39&lt;=39,"F",IF(AR39&lt;=49,"P",IF(AR39&lt;=54,"C",IF(AR39&lt;=59,"B",IF(AR39&lt;=69,"B+",IF(AR39&lt;=79,"A",IF(AR39&lt;=89,"A+","O"))))))))</f>
        <v/>
      </c>
      <c r="AV39" s="18">
        <f>AS39*AT39</f>
        <v/>
      </c>
      <c r="AW39" s="18" t="n"/>
      <c r="AX39" s="9" t="n">
        <v>45</v>
      </c>
      <c r="AY39" s="9" t="n">
        <v>32</v>
      </c>
      <c r="AZ39" s="9" t="n"/>
      <c r="BA39" s="18">
        <f>(AX39+AY39)</f>
        <v/>
      </c>
      <c r="BB39" s="18" t="n">
        <v>1</v>
      </c>
      <c r="BC39" s="18">
        <f>IF(AY39&lt;=17,"0",IF(BA39&lt;=39,"0",IF(BA39&lt;=49,"4",IF(BA39&lt;=54,"5",IF(BA39&lt;=59,"6",IF(BA39&lt;=69,"7",IF(BA39&lt;=79,"8",IF(BA39&lt;=89,"9","10"))))))))</f>
        <v/>
      </c>
      <c r="BD39" s="18">
        <f>IF(AY39&lt;=17,"F",IF(BA39&lt;=39,"F",IF(BA39&lt;=49,"P",IF(BA39&lt;=54,"C",IF(BA39&lt;=59,"B",IF(BA39&lt;=69,"B+",IF(BA39&lt;=79,"A",IF(BA39&lt;=89,"A+","O"))))))))</f>
        <v/>
      </c>
      <c r="BE39" s="18">
        <f>BB39*BC39</f>
        <v/>
      </c>
      <c r="BF39" s="43" t="inlineStr">
        <is>
          <t>Balake Kannada</t>
        </is>
      </c>
      <c r="BG39" s="9" t="n">
        <v>49</v>
      </c>
      <c r="BH39" s="9" t="n">
        <v>47</v>
      </c>
      <c r="BI39" s="9" t="n"/>
      <c r="BJ39" s="18">
        <f>(BG39+BH39)</f>
        <v/>
      </c>
      <c r="BK39" s="18" t="n">
        <v>1</v>
      </c>
      <c r="BL39" s="18">
        <f>IF(BH39&lt;=17,"0",IF(BJ39&lt;=39,"0",IF(BJ39&lt;=49,"4",IF(BJ39&lt;=54,"5",IF(BJ39&lt;=59,"6",IF(BJ39&lt;=69,"7",IF(BJ39&lt;=79,"8",IF(BJ39&lt;=89,"9","10"))))))))</f>
        <v/>
      </c>
      <c r="BM39" s="18">
        <f>IF(BH39&lt;=17,"F",IF(BJ39&lt;=39,"F",IF(BJ39&lt;=49,"P",IF(BJ39&lt;=54,"C",IF(BJ39&lt;=59,"B",IF(BJ39&lt;=69,"B+",IF(BJ39&lt;=79,"A",IF(BJ39&lt;=89,"A+","O"))))))))</f>
        <v/>
      </c>
      <c r="BN39" s="18">
        <f>BK39*BL39</f>
        <v/>
      </c>
      <c r="BO39" s="18" t="n"/>
      <c r="BP39" s="9" t="n">
        <v>49</v>
      </c>
      <c r="BQ39" s="9" t="n">
        <v>39</v>
      </c>
      <c r="BR39" s="9" t="n"/>
      <c r="BS39" s="18">
        <f>(BP39+BQ39)</f>
        <v/>
      </c>
      <c r="BT39" s="18" t="n">
        <v>1</v>
      </c>
      <c r="BU39" s="18">
        <f>IF(BQ39&lt;=17,"0",IF(BS39&lt;=39,"0",IF(BS39&lt;=49,"4",IF(BS39&lt;=54,"5",IF(BS39&lt;=59,"6",IF(BS39&lt;=69,"7",IF(BS39&lt;=79,"8",IF(BS39&lt;=89,"9","10"))))))))</f>
        <v/>
      </c>
      <c r="BV39" s="18">
        <f>IF(BQ39&lt;=17,"F",IF(BS39&lt;=39,"F",IF(BS39&lt;=49,"P",IF(BS39&lt;=54,"C",IF(BS39&lt;=59,"B",IF(BS39&lt;=69,"B+",IF(BS39&lt;=79,"A",IF(BS39&lt;=89,"A+","O"))))))))</f>
        <v/>
      </c>
      <c r="BW39" s="18">
        <f>BT39*BU39</f>
        <v/>
      </c>
      <c r="BX39" s="18" t="n"/>
      <c r="BY39" s="18" t="n"/>
      <c r="BZ39" s="18">
        <f>L39+U39+AD39+AM39+AV39+BE39+BN39+BW39</f>
        <v/>
      </c>
      <c r="CA39" s="19">
        <f>BZ39/20</f>
        <v/>
      </c>
      <c r="CB39" s="28">
        <f>IF(CA39&lt;4,"F",IF(BV39="F","F",IF(BM39="F","F",IF(BD39="F","F",IF(AU39="F","F",IF(AL39="F","F",IF(AC39="F","F",IF(T39="F","F",IF(K39="F","F",IF(CA39&lt;=5,"C",IF(CA39&lt;6,"B",IF(CA39&lt;7,"B+",IF(CA39&lt;8,"A",IF(CA39&lt;=9,"A+","O"))))))))))))))</f>
        <v/>
      </c>
      <c r="CC39" s="27">
        <f>CA39*9.5</f>
        <v/>
      </c>
      <c r="CD39" s="27" t="n"/>
      <c r="CE39" s="28">
        <f>SUM(BS39,BJ39,BA39,AR39,AI39,Z39,Q39,H39)</f>
        <v/>
      </c>
      <c r="CF39" s="28">
        <f>(CE39/800)*100</f>
        <v/>
      </c>
      <c r="CG39" s="27" t="n"/>
      <c r="CH39" s="27" t="n"/>
      <c r="CI39" s="27">
        <f>IF(CA39&lt;=4,"F",IF(CA39&lt;=6,"PASS",IF(CA39&lt;=6.5,"SC",IF(CA39&lt;=7.5,"FC",IF(CA39&lt;="10","FCD")))))</f>
        <v/>
      </c>
    </row>
    <row r="40" ht="15.75" customHeight="1">
      <c r="A40" s="35" t="n">
        <v>60</v>
      </c>
      <c r="B40" s="37" t="inlineStr">
        <is>
          <t>1BI22CD060</t>
        </is>
      </c>
      <c r="C40" s="44" t="inlineStr">
        <is>
          <t>VARCHAS V</t>
        </is>
      </c>
      <c r="D40" s="47" t="inlineStr">
        <is>
          <t>D</t>
        </is>
      </c>
      <c r="E40" s="9" t="n">
        <v>48</v>
      </c>
      <c r="F40" s="9" t="n">
        <v>18</v>
      </c>
      <c r="G40" s="9" t="n"/>
      <c r="H40" s="18">
        <f>SUM(E40:F40)</f>
        <v/>
      </c>
      <c r="I40" s="18" t="n">
        <v>4</v>
      </c>
      <c r="J40" s="18">
        <f>IF(F40&lt;=17,"0",IF(H40&lt;=39,"0",IF(H40&lt;=49,"4",IF(H40&lt;=54,"5",IF(H40&lt;=59,"6",IF(H40&lt;=69,"7",IF(H40&lt;=79,"8",IF(H40&lt;=89,"9","10"))))))))</f>
        <v/>
      </c>
      <c r="K40" s="18">
        <f>IF(F40&lt;=17,"F",IF(H40&lt;=39,"F",IF(H40&lt;=49,"P",IF(H40&lt;=54,"C",IF(H40&lt;=59,"B",IF(H40&lt;=69,"B+",IF(H40&lt;=79,"A",IF(H40&lt;=89,"A+","O"))))))))</f>
        <v/>
      </c>
      <c r="L40" s="18">
        <f>I40*J40</f>
        <v/>
      </c>
      <c r="M40" s="18" t="n"/>
      <c r="N40" s="9" t="n">
        <v>44</v>
      </c>
      <c r="O40" s="9" t="n">
        <v>45</v>
      </c>
      <c r="P40" s="9" t="n"/>
      <c r="Q40" s="18">
        <f>SUM(N40:O40)</f>
        <v/>
      </c>
      <c r="R40" s="18" t="n">
        <v>4</v>
      </c>
      <c r="S40" s="18">
        <f>IF(O40&lt;=17,"0",IF(Q40&lt;=39,"4",IF(Q40&lt;=49,"4",IF(Q40&lt;=54,"5",IF(Q40&lt;=59,"6",IF(Q40&lt;=69,"7",IF(Q40&lt;=79,"8",IF(Q40&lt;=89,"9","10"))))))))</f>
        <v/>
      </c>
      <c r="T40" s="18">
        <f>IF(O40&lt;=17,"F",IF(Q40&lt;=39,"F",IF(Q40&lt;=49,"P",IF(Q40&lt;=54,"C",IF(Q40&lt;=59,"B",IF(Q40&lt;=69,"B+",IF(Q40&lt;=79,"A",IF(Q40&lt;=89,"A+","O"))))))))</f>
        <v/>
      </c>
      <c r="U40" s="18">
        <f>R40*S40</f>
        <v/>
      </c>
      <c r="V40" s="18" t="n"/>
      <c r="W40" s="9" t="n">
        <v>46</v>
      </c>
      <c r="X40" s="9" t="n">
        <v>44</v>
      </c>
      <c r="Y40" s="18" t="n"/>
      <c r="Z40" s="18">
        <f>SUM(W40:X40)</f>
        <v/>
      </c>
      <c r="AA40" s="18" t="n">
        <v>3</v>
      </c>
      <c r="AB40" s="18">
        <f>IF(X40&lt;=17,"0",IF(Z40&lt;=39,"0",IF(Z40&lt;=49,"4",IF(Z40&lt;=54,"5",IF(Z40&lt;=59,"6",IF(Z40&lt;=69,"7",IF(Z40&lt;=79,"8",IF(Z40&lt;=89,"9","10"))))))))</f>
        <v/>
      </c>
      <c r="AC40" s="18">
        <f>IF(X40&lt;=17,"F",IF(Z40&lt;=39,"F",IF(Z40&lt;=49,"P",IF(Z40&lt;=54,"C",IF(Z40&lt;=59,"B",IF(Z40&lt;=69,"B+",IF(Z40&lt;=79,"A",IF(Z40&lt;=89,"A+","O"))))))))</f>
        <v/>
      </c>
      <c r="AD40" s="18">
        <f>AA40*AB40</f>
        <v/>
      </c>
      <c r="AE40" s="18" t="n"/>
      <c r="AF40" s="46" t="n">
        <v>41</v>
      </c>
      <c r="AG40" s="46" t="n">
        <v>35</v>
      </c>
      <c r="AH40" s="9" t="n"/>
      <c r="AI40" s="18">
        <f>SUM(AF40:AG40)</f>
        <v/>
      </c>
      <c r="AJ40" s="18" t="n">
        <v>3</v>
      </c>
      <c r="AK40" s="18">
        <f>IF(AG40&lt;=17,"0",IF(AI40&lt;=39,"0",IF(AI40&lt;=49,"4",IF(AI40&lt;=54,"5",IF(AI40&lt;=59,"6",IF(AI40&lt;=69,"7",IF(AI40&lt;=79,"8",IF(AI40&lt;=89,"9","10"))))))))</f>
        <v/>
      </c>
      <c r="AL40" s="18">
        <f>IF(AG40&lt;=17,"F",IF(AI40&lt;=39,"F",IF(AI40&lt;=49,"P",IF(AI40&lt;=54,"C",IF(AI40&lt;=59,"B",IF(AI40&lt;=69,"B+",IF(AI40&lt;=79,"A",IF(AI40&lt;=89,"A+","O"))))))))</f>
        <v/>
      </c>
      <c r="AM40" s="18">
        <f>AJ40*AK40</f>
        <v/>
      </c>
      <c r="AN40" s="18" t="n"/>
      <c r="AO40" s="46" t="n">
        <v>43</v>
      </c>
      <c r="AP40" s="46" t="n">
        <v>38</v>
      </c>
      <c r="AQ40" s="9" t="n"/>
      <c r="AR40" s="18">
        <f>(AO40+AP40)</f>
        <v/>
      </c>
      <c r="AS40" s="18" t="n">
        <v>3</v>
      </c>
      <c r="AT40" s="18">
        <f>IF(AP40&lt;=17,"0",IF(AR40&lt;=39,"0",IF(AR40&lt;=49,"4",IF(AR40&lt;=54,"5",IF(AR40&lt;=59,"6",IF(AR40&lt;=69,"7",IF(AR40&lt;=79,"8",IF(AR40&lt;=89,"9","10"))))))))</f>
        <v/>
      </c>
      <c r="AU40" s="18">
        <f>IF(AP40&lt;=17,"F",IF(AR40&lt;=39,"F",IF(AR40&lt;=49,"P",IF(AR40&lt;=54,"C",IF(AR40&lt;=59,"B",IF(AR40&lt;=69,"B+",IF(AR40&lt;=79,"A",IF(AR40&lt;=89,"A+","O"))))))))</f>
        <v/>
      </c>
      <c r="AV40" s="18">
        <f>AS40*AT40</f>
        <v/>
      </c>
      <c r="AW40" s="18" t="n"/>
      <c r="AX40" s="9" t="n">
        <v>46</v>
      </c>
      <c r="AY40" s="9" t="n">
        <v>33</v>
      </c>
      <c r="AZ40" s="9" t="n"/>
      <c r="BA40" s="18">
        <f>(AX40+AY40)</f>
        <v/>
      </c>
      <c r="BB40" s="18" t="n">
        <v>1</v>
      </c>
      <c r="BC40" s="18">
        <f>IF(AY40&lt;=17,"0",IF(BA40&lt;=39,"0",IF(BA40&lt;=49,"4",IF(BA40&lt;=54,"5",IF(BA40&lt;=59,"6",IF(BA40&lt;=69,"7",IF(BA40&lt;=79,"8",IF(BA40&lt;=89,"9","10"))))))))</f>
        <v/>
      </c>
      <c r="BD40" s="18">
        <f>IF(AY40&lt;=17,"F",IF(BA40&lt;=39,"F",IF(BA40&lt;=49,"P",IF(BA40&lt;=54,"C",IF(BA40&lt;=59,"B",IF(BA40&lt;=69,"B+",IF(BA40&lt;=79,"A",IF(BA40&lt;=89,"A+","O"))))))))</f>
        <v/>
      </c>
      <c r="BE40" s="18">
        <f>BB40*BC40</f>
        <v/>
      </c>
      <c r="BF40" s="43" t="inlineStr">
        <is>
          <t>Samskrutika Kannada</t>
        </is>
      </c>
      <c r="BG40" s="9" t="n">
        <v>45</v>
      </c>
      <c r="BH40" s="9" t="n">
        <v>37</v>
      </c>
      <c r="BI40" s="9" t="n"/>
      <c r="BJ40" s="18">
        <f>(BG40+BH40)</f>
        <v/>
      </c>
      <c r="BK40" s="18" t="n">
        <v>1</v>
      </c>
      <c r="BL40" s="18">
        <f>IF(BH40&lt;=17,"0",IF(BJ40&lt;=39,"0",IF(BJ40&lt;=49,"4",IF(BJ40&lt;=54,"5",IF(BJ40&lt;=59,"6",IF(BJ40&lt;=69,"7",IF(BJ40&lt;=79,"8",IF(BJ40&lt;=89,"9","10"))))))))</f>
        <v/>
      </c>
      <c r="BM40" s="18">
        <f>IF(BH40&lt;=17,"F",IF(BJ40&lt;=39,"F",IF(BJ40&lt;=49,"P",IF(BJ40&lt;=54,"C",IF(BJ40&lt;=59,"B",IF(BJ40&lt;=69,"B+",IF(BJ40&lt;=79,"A",IF(BJ40&lt;=89,"A+","O"))))))))</f>
        <v/>
      </c>
      <c r="BN40" s="18">
        <f>BK40*BL40</f>
        <v/>
      </c>
      <c r="BO40" s="18" t="n"/>
      <c r="BP40" s="9" t="n">
        <v>41</v>
      </c>
      <c r="BQ40" s="9" t="n">
        <v>41</v>
      </c>
      <c r="BR40" s="9" t="n"/>
      <c r="BS40" s="18">
        <f>(BP40+BQ40)</f>
        <v/>
      </c>
      <c r="BT40" s="18" t="n">
        <v>1</v>
      </c>
      <c r="BU40" s="18">
        <f>IF(BQ40&lt;=17,"0",IF(BS40&lt;=39,"0",IF(BS40&lt;=49,"4",IF(BS40&lt;=54,"5",IF(BS40&lt;=59,"6",IF(BS40&lt;=69,"7",IF(BS40&lt;=79,"8",IF(BS40&lt;=89,"9","10"))))))))</f>
        <v/>
      </c>
      <c r="BV40" s="18">
        <f>IF(BQ40&lt;=17,"F",IF(BS40&lt;=39,"F",IF(BS40&lt;=49,"P",IF(BS40&lt;=54,"C",IF(BS40&lt;=59,"B",IF(BS40&lt;=69,"B+",IF(BS40&lt;=79,"A",IF(BS40&lt;=89,"A+","O"))))))))</f>
        <v/>
      </c>
      <c r="BW40" s="18">
        <f>BT40*BU40</f>
        <v/>
      </c>
      <c r="BX40" s="18" t="n"/>
      <c r="BY40" s="18" t="n"/>
      <c r="BZ40" s="18">
        <f>L40+U40+AD40+AM40+AV40+BE40+BN40+BW40</f>
        <v/>
      </c>
      <c r="CA40" s="19">
        <f>BZ40/20</f>
        <v/>
      </c>
      <c r="CB40" s="28">
        <f>IF(CA40&lt;4,"F",IF(BV40="F","F",IF(BM40="F","F",IF(BD40="F","F",IF(AU40="F","F",IF(AL40="F","F",IF(AC40="F","F",IF(T40="F","F",IF(K40="F","F",IF(CA40&lt;=5,"C",IF(CA40&lt;6,"B",IF(CA40&lt;7,"B+",IF(CA40&lt;8,"A",IF(CA40&lt;=9,"A+","O"))))))))))))))</f>
        <v/>
      </c>
      <c r="CC40" s="27">
        <f>CA40*9.5</f>
        <v/>
      </c>
      <c r="CD40" s="27" t="n"/>
      <c r="CE40" s="28">
        <f>SUM(BS40,BJ40,BA40,AR40,AI40,Z40,Q40,H40)</f>
        <v/>
      </c>
      <c r="CF40" s="28">
        <f>(CE40/800)*100</f>
        <v/>
      </c>
      <c r="CG40" s="27" t="n"/>
      <c r="CH40" s="27" t="n"/>
      <c r="CI40" s="27">
        <f>IF(CA40&lt;=4,"F",IF(CA40&lt;=6,"PASS",IF(CA40&lt;=6.5,"SC",IF(CA40&lt;=7.5,"FC",IF(CA40&lt;="10","FCD")))))</f>
        <v/>
      </c>
    </row>
    <row r="41" ht="15.75" customHeight="1">
      <c r="A41" s="35">
        <f>A40+1</f>
        <v/>
      </c>
      <c r="B41" s="37" t="inlineStr">
        <is>
          <t>1BI22CD032</t>
        </is>
      </c>
      <c r="C41" s="44" t="inlineStr">
        <is>
          <t>PREETHAM GOWDA R</t>
        </is>
      </c>
      <c r="D41" s="47" t="inlineStr">
        <is>
          <t>D</t>
        </is>
      </c>
      <c r="E41" s="9" t="n">
        <v>49</v>
      </c>
      <c r="F41" s="9" t="n">
        <v>48</v>
      </c>
      <c r="G41" s="9" t="n"/>
      <c r="H41" s="18">
        <f>SUM(E41:F41)</f>
        <v/>
      </c>
      <c r="I41" s="18" t="n">
        <v>4</v>
      </c>
      <c r="J41" s="18">
        <f>IF(F41&lt;=17,"0",IF(H41&lt;=39,"0",IF(H41&lt;=49,"4",IF(H41&lt;=54,"5",IF(H41&lt;=59,"6",IF(H41&lt;=69,"7",IF(H41&lt;=79,"8",IF(H41&lt;=89,"9","10"))))))))</f>
        <v/>
      </c>
      <c r="K41" s="18">
        <f>IF(F41&lt;=17,"F",IF(H41&lt;=39,"F",IF(H41&lt;=49,"P",IF(H41&lt;=54,"C",IF(H41&lt;=59,"B",IF(H41&lt;=69,"B+",IF(H41&lt;=79,"A",IF(H41&lt;=89,"A+","O"))))))))</f>
        <v/>
      </c>
      <c r="L41" s="18">
        <f>I41*J41</f>
        <v/>
      </c>
      <c r="M41" s="18" t="n"/>
      <c r="N41" s="9" t="n">
        <v>45</v>
      </c>
      <c r="O41" s="9" t="n">
        <v>29</v>
      </c>
      <c r="P41" s="9" t="n"/>
      <c r="Q41" s="18">
        <f>SUM(N41:O41)</f>
        <v/>
      </c>
      <c r="R41" s="18" t="n">
        <v>4</v>
      </c>
      <c r="S41" s="18">
        <f>IF(O41&lt;=17,"0",IF(Q41&lt;=39,"4",IF(Q41&lt;=49,"4",IF(Q41&lt;=54,"5",IF(Q41&lt;=59,"6",IF(Q41&lt;=69,"7",IF(Q41&lt;=79,"8",IF(Q41&lt;=89,"9","10"))))))))</f>
        <v/>
      </c>
      <c r="T41" s="18">
        <f>IF(O41&lt;=17,"F",IF(Q41&lt;=39,"F",IF(Q41&lt;=49,"P",IF(Q41&lt;=54,"C",IF(Q41&lt;=59,"B",IF(Q41&lt;=69,"B+",IF(Q41&lt;=79,"A",IF(Q41&lt;=89,"A+","O"))))))))</f>
        <v/>
      </c>
      <c r="U41" s="18">
        <f>R41*S41</f>
        <v/>
      </c>
      <c r="V41" s="18" t="n"/>
      <c r="W41" s="9" t="n">
        <v>47</v>
      </c>
      <c r="X41" s="9" t="n">
        <v>49</v>
      </c>
      <c r="Y41" s="18" t="n"/>
      <c r="Z41" s="18">
        <f>SUM(W41:X41)</f>
        <v/>
      </c>
      <c r="AA41" s="18" t="n">
        <v>3</v>
      </c>
      <c r="AB41" s="18">
        <f>IF(X41&lt;=17,"0",IF(Z41&lt;=39,"0",IF(Z41&lt;=49,"4",IF(Z41&lt;=54,"5",IF(Z41&lt;=59,"6",IF(Z41&lt;=69,"7",IF(Z41&lt;=79,"8",IF(Z41&lt;=89,"9","10"))))))))</f>
        <v/>
      </c>
      <c r="AC41" s="18">
        <f>IF(X41&lt;=17,"F",IF(Z41&lt;=39,"F",IF(Z41&lt;=49,"P",IF(Z41&lt;=54,"C",IF(Z41&lt;=59,"B",IF(Z41&lt;=69,"B+",IF(Z41&lt;=79,"A",IF(Z41&lt;=89,"A+","O"))))))))</f>
        <v/>
      </c>
      <c r="AD41" s="18">
        <f>AA41*AB41</f>
        <v/>
      </c>
      <c r="AE41" s="18" t="n"/>
      <c r="AF41" s="46" t="n">
        <v>40</v>
      </c>
      <c r="AG41" s="46" t="n">
        <v>27</v>
      </c>
      <c r="AH41" s="9" t="n"/>
      <c r="AI41" s="18">
        <f>SUM(AF41:AG41)</f>
        <v/>
      </c>
      <c r="AJ41" s="18" t="n">
        <v>3</v>
      </c>
      <c r="AK41" s="18">
        <f>IF(AG41&lt;=17,"0",IF(AI41&lt;=39,"0",IF(AI41&lt;=49,"4",IF(AI41&lt;=54,"5",IF(AI41&lt;=59,"6",IF(AI41&lt;=69,"7",IF(AI41&lt;=79,"8",IF(AI41&lt;=89,"9","10"))))))))</f>
        <v/>
      </c>
      <c r="AL41" s="18">
        <f>IF(AG41&lt;=17,"F",IF(AI41&lt;=39,"F",IF(AI41&lt;=49,"P",IF(AI41&lt;=54,"C",IF(AI41&lt;=59,"B",IF(AI41&lt;=69,"B+",IF(AI41&lt;=79,"A",IF(AI41&lt;=89,"A+","O"))))))))</f>
        <v/>
      </c>
      <c r="AM41" s="18">
        <f>AJ41*AK41</f>
        <v/>
      </c>
      <c r="AN41" s="18" t="n"/>
      <c r="AO41" s="46" t="n">
        <v>43</v>
      </c>
      <c r="AP41" s="46" t="n">
        <v>23</v>
      </c>
      <c r="AQ41" s="9" t="n"/>
      <c r="AR41" s="18">
        <f>(AO41+AP41)</f>
        <v/>
      </c>
      <c r="AS41" s="18" t="n">
        <v>3</v>
      </c>
      <c r="AT41" s="18">
        <f>IF(AP41&lt;=17,"0",IF(AR41&lt;=39,"0",IF(AR41&lt;=49,"4",IF(AR41&lt;=54,"5",IF(AR41&lt;=59,"6",IF(AR41&lt;=69,"7",IF(AR41&lt;=79,"8",IF(AR41&lt;=89,"9","10"))))))))</f>
        <v/>
      </c>
      <c r="AU41" s="18">
        <f>IF(AP41&lt;=17,"F",IF(AR41&lt;=39,"F",IF(AR41&lt;=49,"P",IF(AR41&lt;=54,"C",IF(AR41&lt;=59,"B",IF(AR41&lt;=69,"B+",IF(AR41&lt;=79,"A",IF(AR41&lt;=89,"A+","O"))))))))</f>
        <v/>
      </c>
      <c r="AV41" s="18">
        <f>AS41*AT41</f>
        <v/>
      </c>
      <c r="AW41" s="18" t="n"/>
      <c r="AX41" s="9" t="n">
        <v>45</v>
      </c>
      <c r="AY41" s="9" t="n">
        <v>30</v>
      </c>
      <c r="AZ41" s="9" t="n"/>
      <c r="BA41" s="18">
        <f>(AX41+AY41)</f>
        <v/>
      </c>
      <c r="BB41" s="18" t="n">
        <v>1</v>
      </c>
      <c r="BC41" s="18">
        <f>IF(AY41&lt;=17,"0",IF(BA41&lt;=39,"0",IF(BA41&lt;=49,"4",IF(BA41&lt;=54,"5",IF(BA41&lt;=59,"6",IF(BA41&lt;=69,"7",IF(BA41&lt;=79,"8",IF(BA41&lt;=89,"9","10"))))))))</f>
        <v/>
      </c>
      <c r="BD41" s="18">
        <f>IF(AY41&lt;=17,"F",IF(BA41&lt;=39,"F",IF(BA41&lt;=49,"P",IF(BA41&lt;=54,"C",IF(BA41&lt;=59,"B",IF(BA41&lt;=69,"B+",IF(BA41&lt;=79,"A",IF(BA41&lt;=89,"A+","O"))))))))</f>
        <v/>
      </c>
      <c r="BE41" s="18">
        <f>BB41*BC41</f>
        <v/>
      </c>
      <c r="BF41" s="43" t="inlineStr">
        <is>
          <t>Samskrutika Kannada</t>
        </is>
      </c>
      <c r="BG41" s="9" t="n">
        <v>44</v>
      </c>
      <c r="BH41" s="9" t="n">
        <v>36</v>
      </c>
      <c r="BI41" s="9" t="n"/>
      <c r="BJ41" s="18">
        <f>(BG41+BH41)</f>
        <v/>
      </c>
      <c r="BK41" s="18" t="n">
        <v>1</v>
      </c>
      <c r="BL41" s="18">
        <f>IF(BH41&lt;=17,"0",IF(BJ41&lt;=39,"0",IF(BJ41&lt;=49,"4",IF(BJ41&lt;=54,"5",IF(BJ41&lt;=59,"6",IF(BJ41&lt;=69,"7",IF(BJ41&lt;=79,"8",IF(BJ41&lt;=89,"9","10"))))))))</f>
        <v/>
      </c>
      <c r="BM41" s="18">
        <f>IF(BH41&lt;=17,"F",IF(BJ41&lt;=39,"F",IF(BJ41&lt;=49,"P",IF(BJ41&lt;=54,"C",IF(BJ41&lt;=59,"B",IF(BJ41&lt;=69,"B+",IF(BJ41&lt;=79,"A",IF(BJ41&lt;=89,"A+","O"))))))))</f>
        <v/>
      </c>
      <c r="BN41" s="18">
        <f>BK41*BL41</f>
        <v/>
      </c>
      <c r="BO41" s="18" t="n"/>
      <c r="BP41" s="9" t="n">
        <v>46</v>
      </c>
      <c r="BQ41" s="9" t="n">
        <v>36</v>
      </c>
      <c r="BR41" s="9" t="n"/>
      <c r="BS41" s="18">
        <f>(BP41+BQ41)</f>
        <v/>
      </c>
      <c r="BT41" s="18" t="n">
        <v>1</v>
      </c>
      <c r="BU41" s="18">
        <f>IF(BQ41&lt;=17,"0",IF(BS41&lt;=39,"0",IF(BS41&lt;=49,"4",IF(BS41&lt;=54,"5",IF(BS41&lt;=59,"6",IF(BS41&lt;=69,"7",IF(BS41&lt;=79,"8",IF(BS41&lt;=89,"9","10"))))))))</f>
        <v/>
      </c>
      <c r="BV41" s="18">
        <f>IF(BQ41&lt;=17,"F",IF(BS41&lt;=39,"F",IF(BS41&lt;=49,"P",IF(BS41&lt;=54,"C",IF(BS41&lt;=59,"B",IF(BS41&lt;=69,"B+",IF(BS41&lt;=79,"A",IF(BS41&lt;=89,"A+","O"))))))))</f>
        <v/>
      </c>
      <c r="BW41" s="18">
        <f>BT41*BU41</f>
        <v/>
      </c>
      <c r="BX41" s="18" t="n"/>
      <c r="BY41" s="18" t="n"/>
      <c r="BZ41" s="18">
        <f>L41+U41+AD41+AM41+AV41+BE41+BN41+BW41</f>
        <v/>
      </c>
      <c r="CA41" s="19">
        <f>BZ41/20</f>
        <v/>
      </c>
      <c r="CB41" s="28">
        <f>IF(CA41&lt;4,"F",IF(BV41="F","F",IF(BM41="F","F",IF(BD41="F","F",IF(AU41="F","F",IF(AL41="F","F",IF(AC41="F","F",IF(T41="F","F",IF(K41="F","F",IF(CA41&lt;=5,"C",IF(CA41&lt;6,"B",IF(CA41&lt;7,"B+",IF(CA41&lt;8,"A",IF(CA41&lt;=9,"A+","O"))))))))))))))</f>
        <v/>
      </c>
      <c r="CC41" s="27">
        <f>CA41*9.5</f>
        <v/>
      </c>
      <c r="CD41" s="27" t="n"/>
      <c r="CE41" s="28">
        <f>SUM(BS41,BJ41,BA41,AR41,AI41,Z41,Q41,H41)</f>
        <v/>
      </c>
      <c r="CF41" s="28">
        <f>(CE41/800)*100</f>
        <v/>
      </c>
      <c r="CG41" s="27" t="n"/>
      <c r="CH41" s="27" t="n"/>
      <c r="CI41" s="27">
        <f>IF(CA41&lt;=4,"F",IF(CA41&lt;=6,"PASS",IF(CA41&lt;=6.5,"SC",IF(CA41&lt;=7.5,"FC",IF(CA41&lt;="10","FCD")))))</f>
        <v/>
      </c>
    </row>
    <row r="42" ht="15.75" customHeight="1">
      <c r="A42" s="35">
        <f>A41+1</f>
        <v/>
      </c>
      <c r="B42" s="37" t="inlineStr">
        <is>
          <t>1BI22CD014</t>
        </is>
      </c>
      <c r="C42" s="44" t="inlineStr">
        <is>
          <t>GOURAV CHAHAR</t>
        </is>
      </c>
      <c r="D42" s="47" t="inlineStr">
        <is>
          <t>D</t>
        </is>
      </c>
      <c r="E42" s="9" t="n">
        <v>49</v>
      </c>
      <c r="F42" s="9" t="n">
        <v>37</v>
      </c>
      <c r="G42" s="9" t="n"/>
      <c r="H42" s="18">
        <f>SUM(E42:F42)</f>
        <v/>
      </c>
      <c r="I42" s="18" t="n">
        <v>4</v>
      </c>
      <c r="J42" s="18">
        <f>IF(F42&lt;=17,"0",IF(H42&lt;=39,"0",IF(H42&lt;=49,"4",IF(H42&lt;=54,"5",IF(H42&lt;=59,"6",IF(H42&lt;=69,"7",IF(H42&lt;=79,"8",IF(H42&lt;=89,"9","10"))))))))</f>
        <v/>
      </c>
      <c r="K42" s="18">
        <f>IF(F42&lt;=17,"F",IF(H42&lt;=39,"F",IF(H42&lt;=49,"P",IF(H42&lt;=54,"C",IF(H42&lt;=59,"B",IF(H42&lt;=69,"B+",IF(H42&lt;=79,"A",IF(H42&lt;=89,"A+","O"))))))))</f>
        <v/>
      </c>
      <c r="L42" s="18">
        <f>I42*J42</f>
        <v/>
      </c>
      <c r="M42" s="18" t="n"/>
      <c r="N42" s="9" t="n">
        <v>46</v>
      </c>
      <c r="O42" s="9" t="n">
        <v>39</v>
      </c>
      <c r="P42" s="9" t="n"/>
      <c r="Q42" s="18">
        <f>SUM(N42:O42)</f>
        <v/>
      </c>
      <c r="R42" s="18" t="n">
        <v>4</v>
      </c>
      <c r="S42" s="18">
        <f>IF(O42&lt;=17,"0",IF(Q42&lt;=39,"4",IF(Q42&lt;=49,"4",IF(Q42&lt;=54,"5",IF(Q42&lt;=59,"6",IF(Q42&lt;=69,"7",IF(Q42&lt;=79,"8",IF(Q42&lt;=89,"9","10"))))))))</f>
        <v/>
      </c>
      <c r="T42" s="18">
        <f>IF(O42&lt;=17,"F",IF(Q42&lt;=39,"F",IF(Q42&lt;=49,"P",IF(Q42&lt;=54,"C",IF(Q42&lt;=59,"B",IF(Q42&lt;=69,"B+",IF(Q42&lt;=79,"A",IF(Q42&lt;=89,"A+","O"))))))))</f>
        <v/>
      </c>
      <c r="U42" s="18">
        <f>R42*S42</f>
        <v/>
      </c>
      <c r="V42" s="18" t="n"/>
      <c r="W42" s="9" t="n">
        <v>45</v>
      </c>
      <c r="X42" s="9" t="n">
        <v>32</v>
      </c>
      <c r="Y42" s="18" t="n"/>
      <c r="Z42" s="18">
        <f>SUM(W42:X42)</f>
        <v/>
      </c>
      <c r="AA42" s="18" t="n">
        <v>3</v>
      </c>
      <c r="AB42" s="18">
        <f>IF(X42&lt;=17,"0",IF(Z42&lt;=39,"0",IF(Z42&lt;=49,"4",IF(Z42&lt;=54,"5",IF(Z42&lt;=59,"6",IF(Z42&lt;=69,"7",IF(Z42&lt;=79,"8",IF(Z42&lt;=89,"9","10"))))))))</f>
        <v/>
      </c>
      <c r="AC42" s="18">
        <f>IF(X42&lt;=17,"F",IF(Z42&lt;=39,"F",IF(Z42&lt;=49,"P",IF(Z42&lt;=54,"C",IF(Z42&lt;=59,"B",IF(Z42&lt;=69,"B+",IF(Z42&lt;=79,"A",IF(Z42&lt;=89,"A+","O"))))))))</f>
        <v/>
      </c>
      <c r="AD42" s="18">
        <f>AA42*AB42</f>
        <v/>
      </c>
      <c r="AE42" s="18" t="n"/>
      <c r="AF42" s="46" t="n">
        <v>41</v>
      </c>
      <c r="AG42" s="46" t="n">
        <v>29</v>
      </c>
      <c r="AH42" s="9" t="n"/>
      <c r="AI42" s="18">
        <f>SUM(AF42:AG42)</f>
        <v/>
      </c>
      <c r="AJ42" s="18" t="n">
        <v>3</v>
      </c>
      <c r="AK42" s="18">
        <f>IF(AG42&lt;=17,"0",IF(AI42&lt;=39,"0",IF(AI42&lt;=49,"4",IF(AI42&lt;=54,"5",IF(AI42&lt;=59,"6",IF(AI42&lt;=69,"7",IF(AI42&lt;=79,"8",IF(AI42&lt;=89,"9","10"))))))))</f>
        <v/>
      </c>
      <c r="AL42" s="18">
        <f>IF(AG42&lt;=17,"F",IF(AI42&lt;=39,"F",IF(AI42&lt;=49,"P",IF(AI42&lt;=54,"C",IF(AI42&lt;=59,"B",IF(AI42&lt;=69,"B+",IF(AI42&lt;=79,"A",IF(AI42&lt;=89,"A+","O"))))))))</f>
        <v/>
      </c>
      <c r="AM42" s="18">
        <f>AJ42*AK42</f>
        <v/>
      </c>
      <c r="AN42" s="18" t="n"/>
      <c r="AO42" s="46" t="n">
        <v>50</v>
      </c>
      <c r="AP42" s="46" t="n">
        <v>18</v>
      </c>
      <c r="AQ42" s="9" t="n"/>
      <c r="AR42" s="18">
        <f>(AO42+AP42)</f>
        <v/>
      </c>
      <c r="AS42" s="18" t="n">
        <v>3</v>
      </c>
      <c r="AT42" s="18">
        <f>IF(AP42&lt;=17,"0",IF(AR42&lt;=39,"0",IF(AR42&lt;=49,"4",IF(AR42&lt;=54,"5",IF(AR42&lt;=59,"6",IF(AR42&lt;=69,"7",IF(AR42&lt;=79,"8",IF(AR42&lt;=89,"9","10"))))))))</f>
        <v/>
      </c>
      <c r="AU42" s="18">
        <f>IF(AP42&lt;=17,"F",IF(AR42&lt;=39,"F",IF(AR42&lt;=49,"P",IF(AR42&lt;=54,"C",IF(AR42&lt;=59,"B",IF(AR42&lt;=69,"B+",IF(AR42&lt;=79,"A",IF(AR42&lt;=89,"A+","O"))))))))</f>
        <v/>
      </c>
      <c r="AV42" s="18">
        <f>AS42*AT42</f>
        <v/>
      </c>
      <c r="AW42" s="18" t="n"/>
      <c r="AX42" s="9" t="n">
        <v>40</v>
      </c>
      <c r="AY42" s="9" t="n">
        <v>34</v>
      </c>
      <c r="AZ42" s="9" t="n"/>
      <c r="BA42" s="18">
        <f>(AX42+AY42)</f>
        <v/>
      </c>
      <c r="BB42" s="18" t="n">
        <v>1</v>
      </c>
      <c r="BC42" s="18">
        <f>IF(AY42&lt;=17,"0",IF(BA42&lt;=39,"0",IF(BA42&lt;=49,"4",IF(BA42&lt;=54,"5",IF(BA42&lt;=59,"6",IF(BA42&lt;=69,"7",IF(BA42&lt;=79,"8",IF(BA42&lt;=89,"9","10"))))))))</f>
        <v/>
      </c>
      <c r="BD42" s="18">
        <f>IF(AY42&lt;=17,"F",IF(BA42&lt;=39,"F",IF(BA42&lt;=49,"P",IF(BA42&lt;=54,"C",IF(BA42&lt;=59,"B",IF(BA42&lt;=69,"B+",IF(BA42&lt;=79,"A",IF(BA42&lt;=89,"A+","O"))))))))</f>
        <v/>
      </c>
      <c r="BE42" s="18">
        <f>BB42*BC42</f>
        <v/>
      </c>
      <c r="BF42" s="43" t="inlineStr">
        <is>
          <t>Balake Kannada</t>
        </is>
      </c>
      <c r="BG42" s="9" t="n">
        <v>50</v>
      </c>
      <c r="BH42" s="9" t="n">
        <v>42</v>
      </c>
      <c r="BI42" s="9" t="n"/>
      <c r="BJ42" s="18">
        <f>(BG42+BH42)</f>
        <v/>
      </c>
      <c r="BK42" s="18" t="n">
        <v>1</v>
      </c>
      <c r="BL42" s="18">
        <f>IF(BH42&lt;=17,"0",IF(BJ42&lt;=39,"0",IF(BJ42&lt;=49,"4",IF(BJ42&lt;=54,"5",IF(BJ42&lt;=59,"6",IF(BJ42&lt;=69,"7",IF(BJ42&lt;=79,"8",IF(BJ42&lt;=89,"9","10"))))))))</f>
        <v/>
      </c>
      <c r="BM42" s="18">
        <f>IF(BH42&lt;=17,"F",IF(BJ42&lt;=39,"F",IF(BJ42&lt;=49,"P",IF(BJ42&lt;=54,"C",IF(BJ42&lt;=59,"B",IF(BJ42&lt;=69,"B+",IF(BJ42&lt;=79,"A",IF(BJ42&lt;=89,"A+","O"))))))))</f>
        <v/>
      </c>
      <c r="BN42" s="18">
        <f>BK42*BL42</f>
        <v/>
      </c>
      <c r="BO42" s="18" t="n"/>
      <c r="BP42" s="9" t="n">
        <v>50</v>
      </c>
      <c r="BQ42" s="9" t="n">
        <v>42</v>
      </c>
      <c r="BR42" s="9" t="n"/>
      <c r="BS42" s="18">
        <f>(BP42+BQ42)</f>
        <v/>
      </c>
      <c r="BT42" s="18" t="n">
        <v>1</v>
      </c>
      <c r="BU42" s="18">
        <f>IF(BQ42&lt;=17,"0",IF(BS42&lt;=39,"0",IF(BS42&lt;=49,"4",IF(BS42&lt;=54,"5",IF(BS42&lt;=59,"6",IF(BS42&lt;=69,"7",IF(BS42&lt;=79,"8",IF(BS42&lt;=89,"9","10"))))))))</f>
        <v/>
      </c>
      <c r="BV42" s="18">
        <f>IF(BQ42&lt;=17,"F",IF(BS42&lt;=39,"F",IF(BS42&lt;=49,"P",IF(BS42&lt;=54,"C",IF(BS42&lt;=59,"B",IF(BS42&lt;=69,"B+",IF(BS42&lt;=79,"A",IF(BS42&lt;=89,"A+","O"))))))))</f>
        <v/>
      </c>
      <c r="BW42" s="18">
        <f>BT42*BU42</f>
        <v/>
      </c>
      <c r="BX42" s="18" t="n"/>
      <c r="BY42" s="18" t="n"/>
      <c r="BZ42" s="18">
        <f>L42+U42+AD42+AM42+AV42+BE42+BN42+BW42</f>
        <v/>
      </c>
      <c r="CA42" s="19">
        <f>BZ42/20</f>
        <v/>
      </c>
      <c r="CB42" s="28">
        <f>IF(CA42&lt;4,"F",IF(BV42="F","F",IF(BM42="F","F",IF(BD42="F","F",IF(AU42="F","F",IF(AL42="F","F",IF(AC42="F","F",IF(T42="F","F",IF(K42="F","F",IF(CA42&lt;=5,"C",IF(CA42&lt;6,"B",IF(CA42&lt;7,"B+",IF(CA42&lt;8,"A",IF(CA42&lt;=9,"A+","O"))))))))))))))</f>
        <v/>
      </c>
      <c r="CC42" s="27">
        <f>CA42*9.5</f>
        <v/>
      </c>
      <c r="CD42" s="27" t="n"/>
      <c r="CE42" s="28">
        <f>SUM(BS42,BJ42,BA42,AR42,AI42,Z42,Q42,H42)</f>
        <v/>
      </c>
      <c r="CF42" s="28">
        <f>(CE42/800)*100</f>
        <v/>
      </c>
      <c r="CG42" s="27" t="n"/>
      <c r="CH42" s="27" t="n"/>
      <c r="CI42" s="27">
        <f>IF(CA42&lt;=4,"F",IF(CA42&lt;=6,"PASS",IF(CA42&lt;=6.5,"SC",IF(CA42&lt;=7.5,"FC",IF(CA42&lt;="10","FCD")))))</f>
        <v/>
      </c>
    </row>
    <row r="43" ht="15.75" customHeight="1">
      <c r="A43" s="35">
        <f>A42+1</f>
        <v/>
      </c>
      <c r="B43" s="37" t="inlineStr">
        <is>
          <t>1BI22CD024</t>
        </is>
      </c>
      <c r="C43" s="44" t="inlineStr">
        <is>
          <t>MANYASHREE P</t>
        </is>
      </c>
      <c r="D43" s="47" t="inlineStr">
        <is>
          <t>D</t>
        </is>
      </c>
      <c r="E43" s="9" t="n">
        <v>44</v>
      </c>
      <c r="F43" s="9" t="n">
        <v>31</v>
      </c>
      <c r="G43" s="9" t="n"/>
      <c r="H43" s="18">
        <f>SUM(E43:F43)</f>
        <v/>
      </c>
      <c r="I43" s="18" t="n">
        <v>4</v>
      </c>
      <c r="J43" s="18">
        <f>IF(F43&lt;=17,"0",IF(H43&lt;=39,"0",IF(H43&lt;=49,"4",IF(H43&lt;=54,"5",IF(H43&lt;=59,"6",IF(H43&lt;=69,"7",IF(H43&lt;=79,"8",IF(H43&lt;=89,"9","10"))))))))</f>
        <v/>
      </c>
      <c r="K43" s="18">
        <f>IF(F43&lt;=17,"F",IF(H43&lt;=39,"F",IF(H43&lt;=49,"P",IF(H43&lt;=54,"C",IF(H43&lt;=59,"B",IF(H43&lt;=69,"B+",IF(H43&lt;=79,"A",IF(H43&lt;=89,"A+","O"))))))))</f>
        <v/>
      </c>
      <c r="L43" s="18">
        <f>I43*J43</f>
        <v/>
      </c>
      <c r="M43" s="18" t="n"/>
      <c r="N43" s="9" t="n">
        <v>45</v>
      </c>
      <c r="O43" s="9" t="n">
        <v>35</v>
      </c>
      <c r="P43" s="9" t="n"/>
      <c r="Q43" s="18">
        <f>SUM(N43:O43)</f>
        <v/>
      </c>
      <c r="R43" s="18" t="n">
        <v>4</v>
      </c>
      <c r="S43" s="18">
        <f>IF(O43&lt;=17,"0",IF(Q43&lt;=39,"4",IF(Q43&lt;=49,"4",IF(Q43&lt;=54,"5",IF(Q43&lt;=59,"6",IF(Q43&lt;=69,"7",IF(Q43&lt;=79,"8",IF(Q43&lt;=89,"9","10"))))))))</f>
        <v/>
      </c>
      <c r="T43" s="18">
        <f>IF(O43&lt;=17,"F",IF(Q43&lt;=39,"F",IF(Q43&lt;=49,"P",IF(Q43&lt;=54,"C",IF(Q43&lt;=59,"B",IF(Q43&lt;=69,"B+",IF(Q43&lt;=79,"A",IF(Q43&lt;=89,"A+","O"))))))))</f>
        <v/>
      </c>
      <c r="U43" s="18">
        <f>R43*S43</f>
        <v/>
      </c>
      <c r="V43" s="18" t="n"/>
      <c r="W43" s="9" t="n">
        <v>45</v>
      </c>
      <c r="X43" s="9" t="n">
        <v>39</v>
      </c>
      <c r="Y43" s="18" t="n"/>
      <c r="Z43" s="18">
        <f>SUM(W43:X43)</f>
        <v/>
      </c>
      <c r="AA43" s="18" t="n">
        <v>3</v>
      </c>
      <c r="AB43" s="18">
        <f>IF(X43&lt;=17,"0",IF(Z43&lt;=39,"0",IF(Z43&lt;=49,"4",IF(Z43&lt;=54,"5",IF(Z43&lt;=59,"6",IF(Z43&lt;=69,"7",IF(Z43&lt;=79,"8",IF(Z43&lt;=89,"9","10"))))))))</f>
        <v/>
      </c>
      <c r="AC43" s="18">
        <f>IF(X43&lt;=17,"F",IF(Z43&lt;=39,"F",IF(Z43&lt;=49,"P",IF(Z43&lt;=54,"C",IF(Z43&lt;=59,"B",IF(Z43&lt;=69,"B+",IF(Z43&lt;=79,"A",IF(Z43&lt;=89,"A+","O"))))))))</f>
        <v/>
      </c>
      <c r="AD43" s="18">
        <f>AA43*AB43</f>
        <v/>
      </c>
      <c r="AE43" s="18" t="n"/>
      <c r="AF43" s="46" t="n">
        <v>48</v>
      </c>
      <c r="AG43" s="46" t="n">
        <v>37</v>
      </c>
      <c r="AH43" s="9" t="n"/>
      <c r="AI43" s="18">
        <f>SUM(AF43:AG43)</f>
        <v/>
      </c>
      <c r="AJ43" s="18" t="n">
        <v>3</v>
      </c>
      <c r="AK43" s="18">
        <f>IF(AG43&lt;=17,"0",IF(AI43&lt;=39,"0",IF(AI43&lt;=49,"4",IF(AI43&lt;=54,"5",IF(AI43&lt;=59,"6",IF(AI43&lt;=69,"7",IF(AI43&lt;=79,"8",IF(AI43&lt;=89,"9","10"))))))))</f>
        <v/>
      </c>
      <c r="AL43" s="18">
        <f>IF(AG43&lt;=17,"F",IF(AI43&lt;=39,"F",IF(AI43&lt;=49,"P",IF(AI43&lt;=54,"C",IF(AI43&lt;=59,"B",IF(AI43&lt;=69,"B+",IF(AI43&lt;=79,"A",IF(AI43&lt;=89,"A+","O"))))))))</f>
        <v/>
      </c>
      <c r="AM43" s="18">
        <f>AJ43*AK43</f>
        <v/>
      </c>
      <c r="AN43" s="18" t="n"/>
      <c r="AO43" s="46" t="n">
        <v>46</v>
      </c>
      <c r="AP43" s="46" t="n">
        <v>18</v>
      </c>
      <c r="AQ43" s="9" t="n"/>
      <c r="AR43" s="18">
        <f>(AO43+AP43)</f>
        <v/>
      </c>
      <c r="AS43" s="18" t="n">
        <v>3</v>
      </c>
      <c r="AT43" s="18">
        <f>IF(AP43&lt;=17,"0",IF(AR43&lt;=39,"0",IF(AR43&lt;=49,"4",IF(AR43&lt;=54,"5",IF(AR43&lt;=59,"6",IF(AR43&lt;=69,"7",IF(AR43&lt;=79,"8",IF(AR43&lt;=89,"9","10"))))))))</f>
        <v/>
      </c>
      <c r="AU43" s="18">
        <f>IF(AP43&lt;=17,"F",IF(AR43&lt;=39,"F",IF(AR43&lt;=49,"P",IF(AR43&lt;=54,"C",IF(AR43&lt;=59,"B",IF(AR43&lt;=69,"B+",IF(AR43&lt;=79,"A",IF(AR43&lt;=89,"A+","O"))))))))</f>
        <v/>
      </c>
      <c r="AV43" s="18">
        <f>AS43*AT43</f>
        <v/>
      </c>
      <c r="AW43" s="18" t="n"/>
      <c r="AX43" s="9" t="n">
        <v>46</v>
      </c>
      <c r="AY43" s="9" t="n">
        <v>29</v>
      </c>
      <c r="AZ43" s="9" t="n"/>
      <c r="BA43" s="18">
        <f>(AX43+AY43)</f>
        <v/>
      </c>
      <c r="BB43" s="18" t="n">
        <v>1</v>
      </c>
      <c r="BC43" s="18">
        <f>IF(AY43&lt;=17,"0",IF(BA43&lt;=39,"0",IF(BA43&lt;=49,"4",IF(BA43&lt;=54,"5",IF(BA43&lt;=59,"6",IF(BA43&lt;=69,"7",IF(BA43&lt;=79,"8",IF(BA43&lt;=89,"9","10"))))))))</f>
        <v/>
      </c>
      <c r="BD43" s="18">
        <f>IF(AY43&lt;=17,"F",IF(BA43&lt;=39,"F",IF(BA43&lt;=49,"P",IF(BA43&lt;=54,"C",IF(BA43&lt;=59,"B",IF(BA43&lt;=69,"B+",IF(BA43&lt;=79,"A",IF(BA43&lt;=89,"A+","O"))))))))</f>
        <v/>
      </c>
      <c r="BE43" s="18">
        <f>BB43*BC43</f>
        <v/>
      </c>
      <c r="BF43" s="43" t="inlineStr">
        <is>
          <t>Samskrutika Kannada</t>
        </is>
      </c>
      <c r="BG43" s="9" t="n">
        <v>47</v>
      </c>
      <c r="BH43" s="9" t="n">
        <v>38</v>
      </c>
      <c r="BI43" s="9" t="n"/>
      <c r="BJ43" s="18">
        <f>(BG43+BH43)</f>
        <v/>
      </c>
      <c r="BK43" s="18" t="n">
        <v>1</v>
      </c>
      <c r="BL43" s="18">
        <f>IF(BH43&lt;=17,"0",IF(BJ43&lt;=39,"0",IF(BJ43&lt;=49,"4",IF(BJ43&lt;=54,"5",IF(BJ43&lt;=59,"6",IF(BJ43&lt;=69,"7",IF(BJ43&lt;=79,"8",IF(BJ43&lt;=89,"9","10"))))))))</f>
        <v/>
      </c>
      <c r="BM43" s="18">
        <f>IF(BH43&lt;=17,"F",IF(BJ43&lt;=39,"F",IF(BJ43&lt;=49,"P",IF(BJ43&lt;=54,"C",IF(BJ43&lt;=59,"B",IF(BJ43&lt;=69,"B+",IF(BJ43&lt;=79,"A",IF(BJ43&lt;=89,"A+","O"))))))))</f>
        <v/>
      </c>
      <c r="BN43" s="18">
        <f>BK43*BL43</f>
        <v/>
      </c>
      <c r="BO43" s="18" t="n"/>
      <c r="BP43" s="9" t="n">
        <v>46</v>
      </c>
      <c r="BQ43" s="9" t="n">
        <v>37</v>
      </c>
      <c r="BR43" s="9" t="n"/>
      <c r="BS43" s="18">
        <f>(BP43+BQ43)</f>
        <v/>
      </c>
      <c r="BT43" s="18" t="n">
        <v>1</v>
      </c>
      <c r="BU43" s="18">
        <f>IF(BQ43&lt;=17,"0",IF(BS43&lt;=39,"0",IF(BS43&lt;=49,"4",IF(BS43&lt;=54,"5",IF(BS43&lt;=59,"6",IF(BS43&lt;=69,"7",IF(BS43&lt;=79,"8",IF(BS43&lt;=89,"9","10"))))))))</f>
        <v/>
      </c>
      <c r="BV43" s="18">
        <f>IF(BQ43&lt;=17,"F",IF(BS43&lt;=39,"F",IF(BS43&lt;=49,"P",IF(BS43&lt;=54,"C",IF(BS43&lt;=59,"B",IF(BS43&lt;=69,"B+",IF(BS43&lt;=79,"A",IF(BS43&lt;=89,"A+","O"))))))))</f>
        <v/>
      </c>
      <c r="BW43" s="18">
        <f>BT43*BU43</f>
        <v/>
      </c>
      <c r="BX43" s="18" t="n"/>
      <c r="BY43" s="18" t="n"/>
      <c r="BZ43" s="18">
        <f>L43+U43+AD43+AM43+AV43+BE43+BN43+BW43</f>
        <v/>
      </c>
      <c r="CA43" s="19">
        <f>BZ43/20</f>
        <v/>
      </c>
      <c r="CB43" s="28">
        <f>IF(CA43&lt;4,"F",IF(BV43="F","F",IF(BM43="F","F",IF(BD43="F","F",IF(AU43="F","F",IF(AL43="F","F",IF(AC43="F","F",IF(T43="F","F",IF(K43="F","F",IF(CA43&lt;=5,"C",IF(CA43&lt;6,"B",IF(CA43&lt;7,"B+",IF(CA43&lt;8,"A",IF(CA43&lt;=9,"A+","O"))))))))))))))</f>
        <v/>
      </c>
      <c r="CC43" s="27">
        <f>CA43*9.5</f>
        <v/>
      </c>
      <c r="CD43" s="27" t="n"/>
      <c r="CE43" s="28">
        <f>SUM(BS43,BJ43,BA43,AR43,AI43,Z43,Q43,H43)</f>
        <v/>
      </c>
      <c r="CF43" s="28">
        <f>(CE43/800)*100</f>
        <v/>
      </c>
      <c r="CG43" s="27" t="n"/>
      <c r="CH43" s="27" t="n"/>
      <c r="CI43" s="27">
        <f>IF(CA43&lt;=4,"F",IF(CA43&lt;=6,"PASS",IF(CA43&lt;=6.5,"SC",IF(CA43&lt;=7.5,"FC",IF(CA43&lt;="10","FCD")))))</f>
        <v/>
      </c>
    </row>
    <row r="44" ht="15.75" customHeight="1">
      <c r="A44" s="35">
        <f>A43+1</f>
        <v/>
      </c>
      <c r="B44" s="37" t="inlineStr">
        <is>
          <t>1BI22CD054</t>
        </is>
      </c>
      <c r="C44" s="44" t="inlineStr">
        <is>
          <t>SRASHTI</t>
        </is>
      </c>
      <c r="D44" s="47" t="inlineStr">
        <is>
          <t>D</t>
        </is>
      </c>
      <c r="E44" s="9" t="n">
        <v>47</v>
      </c>
      <c r="F44" s="9" t="n">
        <v>31</v>
      </c>
      <c r="G44" s="9" t="n"/>
      <c r="H44" s="18">
        <f>SUM(E44:F44)</f>
        <v/>
      </c>
      <c r="I44" s="18" t="n">
        <v>4</v>
      </c>
      <c r="J44" s="18">
        <f>IF(F44&lt;=17,"0",IF(H44&lt;=39,"0",IF(H44&lt;=49,"4",IF(H44&lt;=54,"5",IF(H44&lt;=59,"6",IF(H44&lt;=69,"7",IF(H44&lt;=79,"8",IF(H44&lt;=89,"9","10"))))))))</f>
        <v/>
      </c>
      <c r="K44" s="18">
        <f>IF(F44&lt;=17,"F",IF(H44&lt;=39,"F",IF(H44&lt;=49,"P",IF(H44&lt;=54,"C",IF(H44&lt;=59,"B",IF(H44&lt;=69,"B+",IF(H44&lt;=79,"A",IF(H44&lt;=89,"A+","O"))))))))</f>
        <v/>
      </c>
      <c r="L44" s="18">
        <f>I44*J44</f>
        <v/>
      </c>
      <c r="M44" s="18" t="n"/>
      <c r="N44" s="9" t="n">
        <v>50</v>
      </c>
      <c r="O44" s="9" t="n">
        <v>39</v>
      </c>
      <c r="P44" s="9" t="n"/>
      <c r="Q44" s="18">
        <f>SUM(N44:O44)</f>
        <v/>
      </c>
      <c r="R44" s="18" t="n">
        <v>4</v>
      </c>
      <c r="S44" s="18">
        <f>IF(O44&lt;=17,"0",IF(Q44&lt;=39,"4",IF(Q44&lt;=49,"4",IF(Q44&lt;=54,"5",IF(Q44&lt;=59,"6",IF(Q44&lt;=69,"7",IF(Q44&lt;=79,"8",IF(Q44&lt;=89,"9","10"))))))))</f>
        <v/>
      </c>
      <c r="T44" s="18">
        <f>IF(O44&lt;=17,"F",IF(Q44&lt;=39,"F",IF(Q44&lt;=49,"P",IF(Q44&lt;=54,"C",IF(Q44&lt;=59,"B",IF(Q44&lt;=69,"B+",IF(Q44&lt;=79,"A",IF(Q44&lt;=89,"A+","O"))))))))</f>
        <v/>
      </c>
      <c r="U44" s="18">
        <f>R44*S44</f>
        <v/>
      </c>
      <c r="V44" s="18" t="n"/>
      <c r="W44" s="9" t="n">
        <v>46</v>
      </c>
      <c r="X44" s="9" t="n">
        <v>42</v>
      </c>
      <c r="Y44" s="18" t="n"/>
      <c r="Z44" s="18">
        <f>SUM(W44:X44)</f>
        <v/>
      </c>
      <c r="AA44" s="18" t="n">
        <v>3</v>
      </c>
      <c r="AB44" s="18">
        <f>IF(X44&lt;=17,"0",IF(Z44&lt;=39,"0",IF(Z44&lt;=49,"4",IF(Z44&lt;=54,"5",IF(Z44&lt;=59,"6",IF(Z44&lt;=69,"7",IF(Z44&lt;=79,"8",IF(Z44&lt;=89,"9","10"))))))))</f>
        <v/>
      </c>
      <c r="AC44" s="18">
        <f>IF(X44&lt;=17,"F",IF(Z44&lt;=39,"F",IF(Z44&lt;=49,"P",IF(Z44&lt;=54,"C",IF(Z44&lt;=59,"B",IF(Z44&lt;=69,"B+",IF(Z44&lt;=79,"A",IF(Z44&lt;=89,"A+","O"))))))))</f>
        <v/>
      </c>
      <c r="AD44" s="18">
        <f>AA44*AB44</f>
        <v/>
      </c>
      <c r="AE44" s="18" t="n"/>
      <c r="AF44" s="46" t="n">
        <v>45</v>
      </c>
      <c r="AG44" s="46" t="n">
        <v>27</v>
      </c>
      <c r="AH44" s="9" t="n"/>
      <c r="AI44" s="18">
        <f>SUM(AF44:AG44)</f>
        <v/>
      </c>
      <c r="AJ44" s="18" t="n">
        <v>3</v>
      </c>
      <c r="AK44" s="18">
        <f>IF(AG44&lt;=17,"0",IF(AI44&lt;=39,"0",IF(AI44&lt;=49,"4",IF(AI44&lt;=54,"5",IF(AI44&lt;=59,"6",IF(AI44&lt;=69,"7",IF(AI44&lt;=79,"8",IF(AI44&lt;=89,"9","10"))))))))</f>
        <v/>
      </c>
      <c r="AL44" s="18">
        <f>IF(AG44&lt;=17,"F",IF(AI44&lt;=39,"F",IF(AI44&lt;=49,"P",IF(AI44&lt;=54,"C",IF(AI44&lt;=59,"B",IF(AI44&lt;=69,"B+",IF(AI44&lt;=79,"A",IF(AI44&lt;=89,"A+","O"))))))))</f>
        <v/>
      </c>
      <c r="AM44" s="18">
        <f>AJ44*AK44</f>
        <v/>
      </c>
      <c r="AN44" s="18" t="n"/>
      <c r="AO44" s="46" t="n">
        <v>45</v>
      </c>
      <c r="AP44" s="46" t="n">
        <v>32</v>
      </c>
      <c r="AQ44" s="9" t="n"/>
      <c r="AR44" s="18">
        <f>(AO44+AP44)</f>
        <v/>
      </c>
      <c r="AS44" s="18" t="n">
        <v>3</v>
      </c>
      <c r="AT44" s="18">
        <f>IF(AP44&lt;=17,"0",IF(AR44&lt;=39,"0",IF(AR44&lt;=49,"4",IF(AR44&lt;=54,"5",IF(AR44&lt;=59,"6",IF(AR44&lt;=69,"7",IF(AR44&lt;=79,"8",IF(AR44&lt;=89,"9","10"))))))))</f>
        <v/>
      </c>
      <c r="AU44" s="18">
        <f>IF(AP44&lt;=17,"F",IF(AR44&lt;=39,"F",IF(AR44&lt;=49,"P",IF(AR44&lt;=54,"C",IF(AR44&lt;=59,"B",IF(AR44&lt;=69,"B+",IF(AR44&lt;=79,"A",IF(AR44&lt;=89,"A+","O"))))))))</f>
        <v/>
      </c>
      <c r="AV44" s="18">
        <f>AS44*AT44</f>
        <v/>
      </c>
      <c r="AW44" s="18" t="n"/>
      <c r="AX44" s="9" t="n">
        <v>44</v>
      </c>
      <c r="AY44" s="9" t="n">
        <v>32</v>
      </c>
      <c r="AZ44" s="9" t="n"/>
      <c r="BA44" s="18">
        <f>(AX44+AY44)</f>
        <v/>
      </c>
      <c r="BB44" s="18" t="n">
        <v>1</v>
      </c>
      <c r="BC44" s="18">
        <f>IF(AY44&lt;=17,"0",IF(BA44&lt;=39,"0",IF(BA44&lt;=49,"4",IF(BA44&lt;=54,"5",IF(BA44&lt;=59,"6",IF(BA44&lt;=69,"7",IF(BA44&lt;=79,"8",IF(BA44&lt;=89,"9","10"))))))))</f>
        <v/>
      </c>
      <c r="BD44" s="18">
        <f>IF(AY44&lt;=17,"F",IF(BA44&lt;=39,"F",IF(BA44&lt;=49,"P",IF(BA44&lt;=54,"C",IF(BA44&lt;=59,"B",IF(BA44&lt;=69,"B+",IF(BA44&lt;=79,"A",IF(BA44&lt;=89,"A+","O"))))))))</f>
        <v/>
      </c>
      <c r="BE44" s="18">
        <f>BB44*BC44</f>
        <v/>
      </c>
      <c r="BF44" s="43" t="inlineStr">
        <is>
          <t>Samskrutika Kannada</t>
        </is>
      </c>
      <c r="BG44" s="9" t="n">
        <v>43</v>
      </c>
      <c r="BH44" s="9" t="n">
        <v>36</v>
      </c>
      <c r="BI44" s="9" t="n"/>
      <c r="BJ44" s="18">
        <f>(BG44+BH44)</f>
        <v/>
      </c>
      <c r="BK44" s="18" t="n">
        <v>1</v>
      </c>
      <c r="BL44" s="18">
        <f>IF(BH44&lt;=17,"0",IF(BJ44&lt;=39,"0",IF(BJ44&lt;=49,"4",IF(BJ44&lt;=54,"5",IF(BJ44&lt;=59,"6",IF(BJ44&lt;=69,"7",IF(BJ44&lt;=79,"8",IF(BJ44&lt;=89,"9","10"))))))))</f>
        <v/>
      </c>
      <c r="BM44" s="18">
        <f>IF(BH44&lt;=17,"F",IF(BJ44&lt;=39,"F",IF(BJ44&lt;=49,"P",IF(BJ44&lt;=54,"C",IF(BJ44&lt;=59,"B",IF(BJ44&lt;=69,"B+",IF(BJ44&lt;=79,"A",IF(BJ44&lt;=89,"A+","O"))))))))</f>
        <v/>
      </c>
      <c r="BN44" s="18">
        <f>BK44*BL44</f>
        <v/>
      </c>
      <c r="BO44" s="18" t="n"/>
      <c r="BP44" s="9" t="n">
        <v>42</v>
      </c>
      <c r="BQ44" s="9" t="n">
        <v>39</v>
      </c>
      <c r="BR44" s="9" t="n"/>
      <c r="BS44" s="18">
        <f>(BP44+BQ44)</f>
        <v/>
      </c>
      <c r="BT44" s="18" t="n">
        <v>1</v>
      </c>
      <c r="BU44" s="18">
        <f>IF(BQ44&lt;=17,"0",IF(BS44&lt;=39,"0",IF(BS44&lt;=49,"4",IF(BS44&lt;=54,"5",IF(BS44&lt;=59,"6",IF(BS44&lt;=69,"7",IF(BS44&lt;=79,"8",IF(BS44&lt;=89,"9","10"))))))))</f>
        <v/>
      </c>
      <c r="BV44" s="18">
        <f>IF(BQ44&lt;=17,"F",IF(BS44&lt;=39,"F",IF(BS44&lt;=49,"P",IF(BS44&lt;=54,"C",IF(BS44&lt;=59,"B",IF(BS44&lt;=69,"B+",IF(BS44&lt;=79,"A",IF(BS44&lt;=89,"A+","O"))))))))</f>
        <v/>
      </c>
      <c r="BW44" s="18">
        <f>BT44*BU44</f>
        <v/>
      </c>
      <c r="BX44" s="18" t="n"/>
      <c r="BY44" s="18" t="n"/>
      <c r="BZ44" s="18">
        <f>L44+U44+AD44+AM44+AV44+BE44+BN44+BW44</f>
        <v/>
      </c>
      <c r="CA44" s="19">
        <f>BZ44/20</f>
        <v/>
      </c>
      <c r="CB44" s="28">
        <f>IF(CA44&lt;4,"F",IF(BV44="F","F",IF(BM44="F","F",IF(BD44="F","F",IF(AU44="F","F",IF(AL44="F","F",IF(AC44="F","F",IF(T44="F","F",IF(K44="F","F",IF(CA44&lt;=5,"C",IF(CA44&lt;6,"B",IF(CA44&lt;7,"B+",IF(CA44&lt;8,"A",IF(CA44&lt;=9,"A+","O"))))))))))))))</f>
        <v/>
      </c>
      <c r="CC44" s="27">
        <f>CA44*9.5</f>
        <v/>
      </c>
      <c r="CD44" s="27" t="n"/>
      <c r="CE44" s="28">
        <f>SUM(BS44,BJ44,BA44,AR44,AI44,Z44,Q44,H44)</f>
        <v/>
      </c>
      <c r="CF44" s="28">
        <f>(CE44/800)*100</f>
        <v/>
      </c>
      <c r="CG44" s="27" t="n"/>
      <c r="CH44" s="27" t="n"/>
      <c r="CI44" s="27">
        <f>IF(CA44&lt;=4,"F",IF(CA44&lt;=6,"PASS",IF(CA44&lt;=6.5,"SC",IF(CA44&lt;=7.5,"FC",IF(CA44&lt;="10","FCD")))))</f>
        <v/>
      </c>
    </row>
    <row r="45" ht="15.75" customHeight="1">
      <c r="A45" s="35" t="n">
        <v>59</v>
      </c>
      <c r="B45" s="37" t="inlineStr">
        <is>
          <t>1BI22CD059</t>
        </is>
      </c>
      <c r="C45" s="44" t="inlineStr">
        <is>
          <t>VAIBHAV KUMAR</t>
        </is>
      </c>
      <c r="D45" s="47" t="inlineStr">
        <is>
          <t>D</t>
        </is>
      </c>
      <c r="E45" s="9" t="n">
        <v>48</v>
      </c>
      <c r="F45" s="9" t="n">
        <v>29</v>
      </c>
      <c r="G45" s="9" t="n"/>
      <c r="H45" s="18">
        <f>SUM(E45:F45)</f>
        <v/>
      </c>
      <c r="I45" s="18" t="n">
        <v>4</v>
      </c>
      <c r="J45" s="18">
        <f>IF(F45&lt;=17,"0",IF(H45&lt;=39,"0",IF(H45&lt;=49,"4",IF(H45&lt;=54,"5",IF(H45&lt;=59,"6",IF(H45&lt;=69,"7",IF(H45&lt;=79,"8",IF(H45&lt;=89,"9","10"))))))))</f>
        <v/>
      </c>
      <c r="K45" s="18">
        <f>IF(F45&lt;=17,"F",IF(H45&lt;=39,"F",IF(H45&lt;=49,"P",IF(H45&lt;=54,"C",IF(H45&lt;=59,"B",IF(H45&lt;=69,"B+",IF(H45&lt;=79,"A",IF(H45&lt;=89,"A+","O"))))))))</f>
        <v/>
      </c>
      <c r="L45" s="18">
        <f>I45*J45</f>
        <v/>
      </c>
      <c r="M45" s="18" t="n"/>
      <c r="N45" s="9" t="n">
        <v>42</v>
      </c>
      <c r="O45" s="9" t="n">
        <v>28</v>
      </c>
      <c r="P45" s="9" t="n"/>
      <c r="Q45" s="18">
        <f>SUM(N45:O45)</f>
        <v/>
      </c>
      <c r="R45" s="18" t="n">
        <v>4</v>
      </c>
      <c r="S45" s="18">
        <f>IF(O45&lt;=17,"0",IF(Q45&lt;=39,"4",IF(Q45&lt;=49,"4",IF(Q45&lt;=54,"5",IF(Q45&lt;=59,"6",IF(Q45&lt;=69,"7",IF(Q45&lt;=79,"8",IF(Q45&lt;=89,"9","10"))))))))</f>
        <v/>
      </c>
      <c r="T45" s="18">
        <f>IF(O45&lt;=17,"F",IF(Q45&lt;=39,"F",IF(Q45&lt;=49,"P",IF(Q45&lt;=54,"C",IF(Q45&lt;=59,"B",IF(Q45&lt;=69,"B+",IF(Q45&lt;=79,"A",IF(Q45&lt;=89,"A+","O"))))))))</f>
        <v/>
      </c>
      <c r="U45" s="18">
        <f>R45*S45</f>
        <v/>
      </c>
      <c r="V45" s="18" t="n"/>
      <c r="W45" s="9" t="n">
        <v>47</v>
      </c>
      <c r="X45" s="9" t="n">
        <v>44</v>
      </c>
      <c r="Y45" s="18" t="n"/>
      <c r="Z45" s="18">
        <f>SUM(W45:X45)</f>
        <v/>
      </c>
      <c r="AA45" s="18" t="n">
        <v>3</v>
      </c>
      <c r="AB45" s="18">
        <f>IF(X45&lt;=17,"0",IF(Z45&lt;=39,"0",IF(Z45&lt;=49,"4",IF(Z45&lt;=54,"5",IF(Z45&lt;=59,"6",IF(Z45&lt;=69,"7",IF(Z45&lt;=79,"8",IF(Z45&lt;=89,"9","10"))))))))</f>
        <v/>
      </c>
      <c r="AC45" s="18">
        <f>IF(X45&lt;=17,"F",IF(Z45&lt;=39,"F",IF(Z45&lt;=49,"P",IF(Z45&lt;=54,"C",IF(Z45&lt;=59,"B",IF(Z45&lt;=69,"B+",IF(Z45&lt;=79,"A",IF(Z45&lt;=89,"A+","O"))))))))</f>
        <v/>
      </c>
      <c r="AD45" s="18">
        <f>AA45*AB45</f>
        <v/>
      </c>
      <c r="AE45" s="18" t="n"/>
      <c r="AF45" s="46" t="n">
        <v>41</v>
      </c>
      <c r="AG45" s="46" t="n">
        <v>26</v>
      </c>
      <c r="AH45" s="9" t="n"/>
      <c r="AI45" s="18">
        <f>SUM(AF45:AG45)</f>
        <v/>
      </c>
      <c r="AJ45" s="18" t="n">
        <v>3</v>
      </c>
      <c r="AK45" s="18">
        <f>IF(AG45&lt;=17,"0",IF(AI45&lt;=39,"0",IF(AI45&lt;=49,"4",IF(AI45&lt;=54,"5",IF(AI45&lt;=59,"6",IF(AI45&lt;=69,"7",IF(AI45&lt;=79,"8",IF(AI45&lt;=89,"9","10"))))))))</f>
        <v/>
      </c>
      <c r="AL45" s="18">
        <f>IF(AG45&lt;=17,"F",IF(AI45&lt;=39,"F",IF(AI45&lt;=49,"P",IF(AI45&lt;=54,"C",IF(AI45&lt;=59,"B",IF(AI45&lt;=69,"B+",IF(AI45&lt;=79,"A",IF(AI45&lt;=89,"A+","O"))))))))</f>
        <v/>
      </c>
      <c r="AM45" s="18">
        <f>AJ45*AK45</f>
        <v/>
      </c>
      <c r="AN45" s="18" t="n"/>
      <c r="AO45" s="46" t="n">
        <v>46</v>
      </c>
      <c r="AP45" s="46" t="n">
        <v>30</v>
      </c>
      <c r="AQ45" s="9" t="n"/>
      <c r="AR45" s="18">
        <f>(AO45+AP45)</f>
        <v/>
      </c>
      <c r="AS45" s="18" t="n">
        <v>3</v>
      </c>
      <c r="AT45" s="18">
        <f>IF(AP45&lt;=17,"0",IF(AR45&lt;=39,"0",IF(AR45&lt;=49,"4",IF(AR45&lt;=54,"5",IF(AR45&lt;=59,"6",IF(AR45&lt;=69,"7",IF(AR45&lt;=79,"8",IF(AR45&lt;=89,"9","10"))))))))</f>
        <v/>
      </c>
      <c r="AU45" s="18">
        <f>IF(AP45&lt;=17,"F",IF(AR45&lt;=39,"F",IF(AR45&lt;=49,"P",IF(AR45&lt;=54,"C",IF(AR45&lt;=59,"B",IF(AR45&lt;=69,"B+",IF(AR45&lt;=79,"A",IF(AR45&lt;=89,"A+","O"))))))))</f>
        <v/>
      </c>
      <c r="AV45" s="18">
        <f>AS45*AT45</f>
        <v/>
      </c>
      <c r="AW45" s="18" t="n"/>
      <c r="AX45" s="9" t="n">
        <v>46</v>
      </c>
      <c r="AY45" s="9" t="n">
        <v>38</v>
      </c>
      <c r="AZ45" s="9" t="n"/>
      <c r="BA45" s="18">
        <f>(AX45+AY45)</f>
        <v/>
      </c>
      <c r="BB45" s="18" t="n">
        <v>1</v>
      </c>
      <c r="BC45" s="18">
        <f>IF(AY45&lt;=17,"0",IF(BA45&lt;=39,"0",IF(BA45&lt;=49,"4",IF(BA45&lt;=54,"5",IF(BA45&lt;=59,"6",IF(BA45&lt;=69,"7",IF(BA45&lt;=79,"8",IF(BA45&lt;=89,"9","10"))))))))</f>
        <v/>
      </c>
      <c r="BD45" s="18">
        <f>IF(AY45&lt;=17,"F",IF(BA45&lt;=39,"F",IF(BA45&lt;=49,"P",IF(BA45&lt;=54,"C",IF(BA45&lt;=59,"B",IF(BA45&lt;=69,"B+",IF(BA45&lt;=79,"A",IF(BA45&lt;=89,"A+","O"))))))))</f>
        <v/>
      </c>
      <c r="BE45" s="18">
        <f>BB45*BC45</f>
        <v/>
      </c>
      <c r="BF45" s="43" t="inlineStr">
        <is>
          <t>Balake Kannada</t>
        </is>
      </c>
      <c r="BG45" s="9" t="n">
        <v>48</v>
      </c>
      <c r="BH45" s="9" t="n">
        <v>48</v>
      </c>
      <c r="BI45" s="9" t="n"/>
      <c r="BJ45" s="18">
        <f>(BG45+BH45)</f>
        <v/>
      </c>
      <c r="BK45" s="18" t="n">
        <v>1</v>
      </c>
      <c r="BL45" s="18">
        <f>IF(BH45&lt;=17,"0",IF(BJ45&lt;=39,"0",IF(BJ45&lt;=49,"4",IF(BJ45&lt;=54,"5",IF(BJ45&lt;=59,"6",IF(BJ45&lt;=69,"7",IF(BJ45&lt;=79,"8",IF(BJ45&lt;=89,"9","10"))))))))</f>
        <v/>
      </c>
      <c r="BM45" s="18">
        <f>IF(BH45&lt;=17,"F",IF(BJ45&lt;=39,"F",IF(BJ45&lt;=49,"P",IF(BJ45&lt;=54,"C",IF(BJ45&lt;=59,"B",IF(BJ45&lt;=69,"B+",IF(BJ45&lt;=79,"A",IF(BJ45&lt;=89,"A+","O"))))))))</f>
        <v/>
      </c>
      <c r="BN45" s="18">
        <f>BK45*BL45</f>
        <v/>
      </c>
      <c r="BO45" s="18" t="n"/>
      <c r="BP45" s="9" t="n">
        <v>46</v>
      </c>
      <c r="BQ45" s="9" t="n">
        <v>42</v>
      </c>
      <c r="BR45" s="9" t="n"/>
      <c r="BS45" s="18">
        <f>(BP45+BQ45)</f>
        <v/>
      </c>
      <c r="BT45" s="18" t="n">
        <v>1</v>
      </c>
      <c r="BU45" s="18">
        <f>IF(BQ45&lt;=17,"0",IF(BS45&lt;=39,"0",IF(BS45&lt;=49,"4",IF(BS45&lt;=54,"5",IF(BS45&lt;=59,"6",IF(BS45&lt;=69,"7",IF(BS45&lt;=79,"8",IF(BS45&lt;=89,"9","10"))))))))</f>
        <v/>
      </c>
      <c r="BV45" s="18">
        <f>IF(BQ45&lt;=17,"F",IF(BS45&lt;=39,"F",IF(BS45&lt;=49,"P",IF(BS45&lt;=54,"C",IF(BS45&lt;=59,"B",IF(BS45&lt;=69,"B+",IF(BS45&lt;=79,"A",IF(BS45&lt;=89,"A+","O"))))))))</f>
        <v/>
      </c>
      <c r="BW45" s="18">
        <f>BT45*BU45</f>
        <v/>
      </c>
      <c r="BX45" s="18" t="n"/>
      <c r="BY45" s="18" t="n"/>
      <c r="BZ45" s="18">
        <f>L45+U45+AD45+AM45+AV45+BE45+BN45+BW45</f>
        <v/>
      </c>
      <c r="CA45" s="19">
        <f>BZ45/20</f>
        <v/>
      </c>
      <c r="CB45" s="28">
        <f>IF(CA45&lt;4,"F",IF(BV45="F","F",IF(BM45="F","F",IF(BD45="F","F",IF(AU45="F","F",IF(AL45="F","F",IF(AC45="F","F",IF(T45="F","F",IF(K45="F","F",IF(CA45&lt;=5,"C",IF(CA45&lt;6,"B",IF(CA45&lt;7,"B+",IF(CA45&lt;8,"A",IF(CA45&lt;=9,"A+","O"))))))))))))))</f>
        <v/>
      </c>
      <c r="CC45" s="27">
        <f>CA45*9.5</f>
        <v/>
      </c>
      <c r="CD45" s="27" t="n"/>
      <c r="CE45" s="28">
        <f>SUM(BS45,BJ45,BA45,AR45,AI45,Z45,Q45,H45)</f>
        <v/>
      </c>
      <c r="CF45" s="28">
        <f>(CE45/800)*100</f>
        <v/>
      </c>
      <c r="CG45" s="27" t="n"/>
      <c r="CH45" s="27" t="n"/>
      <c r="CI45" s="27">
        <f>IF(CA45&lt;=4,"F",IF(CA45&lt;=6,"PASS",IF(CA45&lt;=6.5,"SC",IF(CA45&lt;=7.5,"FC",IF(CA45&lt;="10","FCD")))))</f>
        <v/>
      </c>
    </row>
    <row r="46" ht="15.75" customHeight="1">
      <c r="A46" s="35">
        <f>A45+1</f>
        <v/>
      </c>
      <c r="B46" s="37" t="inlineStr">
        <is>
          <t>1BI22CD028</t>
        </is>
      </c>
      <c r="C46" s="44" t="inlineStr">
        <is>
          <t>NISHANT BHARDWAJ</t>
        </is>
      </c>
      <c r="D46" s="47" t="inlineStr">
        <is>
          <t>D</t>
        </is>
      </c>
      <c r="E46" s="9" t="n">
        <v>45</v>
      </c>
      <c r="F46" s="9" t="n">
        <v>27</v>
      </c>
      <c r="G46" s="9" t="n"/>
      <c r="H46" s="18">
        <f>SUM(E46:F46)</f>
        <v/>
      </c>
      <c r="I46" s="18" t="n">
        <v>4</v>
      </c>
      <c r="J46" s="18">
        <f>IF(F46&lt;=17,"0",IF(H46&lt;=39,"0",IF(H46&lt;=49,"4",IF(H46&lt;=54,"5",IF(H46&lt;=59,"6",IF(H46&lt;=69,"7",IF(H46&lt;=79,"8",IF(H46&lt;=89,"9","10"))))))))</f>
        <v/>
      </c>
      <c r="K46" s="18">
        <f>IF(F46&lt;=17,"F",IF(H46&lt;=39,"F",IF(H46&lt;=49,"P",IF(H46&lt;=54,"C",IF(H46&lt;=59,"B",IF(H46&lt;=69,"B+",IF(H46&lt;=79,"A",IF(H46&lt;=89,"A+","O"))))))))</f>
        <v/>
      </c>
      <c r="L46" s="18">
        <f>I46*J46</f>
        <v/>
      </c>
      <c r="M46" s="18" t="n"/>
      <c r="N46" s="9" t="n">
        <v>45</v>
      </c>
      <c r="O46" s="9" t="n">
        <v>28</v>
      </c>
      <c r="P46" s="9" t="n"/>
      <c r="Q46" s="18">
        <f>SUM(N46:O46)</f>
        <v/>
      </c>
      <c r="R46" s="18" t="n">
        <v>4</v>
      </c>
      <c r="S46" s="18">
        <f>IF(O46&lt;=17,"0",IF(Q46&lt;=39,"4",IF(Q46&lt;=49,"4",IF(Q46&lt;=54,"5",IF(Q46&lt;=59,"6",IF(Q46&lt;=69,"7",IF(Q46&lt;=79,"8",IF(Q46&lt;=89,"9","10"))))))))</f>
        <v/>
      </c>
      <c r="T46" s="18">
        <f>IF(O46&lt;=17,"F",IF(Q46&lt;=39,"F",IF(Q46&lt;=49,"P",IF(Q46&lt;=54,"C",IF(Q46&lt;=59,"B",IF(Q46&lt;=69,"B+",IF(Q46&lt;=79,"A",IF(Q46&lt;=89,"A+","O"))))))))</f>
        <v/>
      </c>
      <c r="U46" s="18">
        <f>R46*S46</f>
        <v/>
      </c>
      <c r="V46" s="18" t="n"/>
      <c r="W46" s="9" t="n">
        <v>43</v>
      </c>
      <c r="X46" s="9" t="n">
        <v>42</v>
      </c>
      <c r="Y46" s="18" t="n"/>
      <c r="Z46" s="18">
        <f>SUM(W46:X46)</f>
        <v/>
      </c>
      <c r="AA46" s="18" t="n">
        <v>3</v>
      </c>
      <c r="AB46" s="18">
        <f>IF(X46&lt;=17,"0",IF(Z46&lt;=39,"0",IF(Z46&lt;=49,"4",IF(Z46&lt;=54,"5",IF(Z46&lt;=59,"6",IF(Z46&lt;=69,"7",IF(Z46&lt;=79,"8",IF(Z46&lt;=89,"9","10"))))))))</f>
        <v/>
      </c>
      <c r="AC46" s="18">
        <f>IF(X46&lt;=17,"F",IF(Z46&lt;=39,"F",IF(Z46&lt;=49,"P",IF(Z46&lt;=54,"C",IF(Z46&lt;=59,"B",IF(Z46&lt;=69,"B+",IF(Z46&lt;=79,"A",IF(Z46&lt;=89,"A+","O"))))))))</f>
        <v/>
      </c>
      <c r="AD46" s="18">
        <f>AA46*AB46</f>
        <v/>
      </c>
      <c r="AE46" s="18" t="n"/>
      <c r="AF46" s="46" t="n">
        <v>40</v>
      </c>
      <c r="AG46" s="46" t="n">
        <v>36</v>
      </c>
      <c r="AH46" s="9" t="n"/>
      <c r="AI46" s="18">
        <f>SUM(AF46:AG46)</f>
        <v/>
      </c>
      <c r="AJ46" s="18" t="n">
        <v>3</v>
      </c>
      <c r="AK46" s="18">
        <f>IF(AG46&lt;=17,"0",IF(AI46&lt;=39,"0",IF(AI46&lt;=49,"4",IF(AI46&lt;=54,"5",IF(AI46&lt;=59,"6",IF(AI46&lt;=69,"7",IF(AI46&lt;=79,"8",IF(AI46&lt;=89,"9","10"))))))))</f>
        <v/>
      </c>
      <c r="AL46" s="18">
        <f>IF(AG46&lt;=17,"F",IF(AI46&lt;=39,"F",IF(AI46&lt;=49,"P",IF(AI46&lt;=54,"C",IF(AI46&lt;=59,"B",IF(AI46&lt;=69,"B+",IF(AI46&lt;=79,"A",IF(AI46&lt;=89,"A+","O"))))))))</f>
        <v/>
      </c>
      <c r="AM46" s="18">
        <f>AJ46*AK46</f>
        <v/>
      </c>
      <c r="AN46" s="18" t="n"/>
      <c r="AO46" s="46" t="n">
        <v>45</v>
      </c>
      <c r="AP46" s="46" t="n">
        <v>29</v>
      </c>
      <c r="AQ46" s="9" t="n"/>
      <c r="AR46" s="18">
        <f>(AO46+AP46)</f>
        <v/>
      </c>
      <c r="AS46" s="18" t="n">
        <v>3</v>
      </c>
      <c r="AT46" s="18">
        <f>IF(AP46&lt;=17,"0",IF(AR46&lt;=39,"0",IF(AR46&lt;=49,"4",IF(AR46&lt;=54,"5",IF(AR46&lt;=59,"6",IF(AR46&lt;=69,"7",IF(AR46&lt;=79,"8",IF(AR46&lt;=89,"9","10"))))))))</f>
        <v/>
      </c>
      <c r="AU46" s="18">
        <f>IF(AP46&lt;=17,"F",IF(AR46&lt;=39,"F",IF(AR46&lt;=49,"P",IF(AR46&lt;=54,"C",IF(AR46&lt;=59,"B",IF(AR46&lt;=69,"B+",IF(AR46&lt;=79,"A",IF(AR46&lt;=89,"A+","O"))))))))</f>
        <v/>
      </c>
      <c r="AV46" s="18">
        <f>AS46*AT46</f>
        <v/>
      </c>
      <c r="AW46" s="18" t="n"/>
      <c r="AX46" s="9" t="n">
        <v>46</v>
      </c>
      <c r="AY46" s="9" t="n">
        <v>36</v>
      </c>
      <c r="AZ46" s="9" t="n"/>
      <c r="BA46" s="18">
        <f>(AX46+AY46)</f>
        <v/>
      </c>
      <c r="BB46" s="18" t="n">
        <v>1</v>
      </c>
      <c r="BC46" s="18">
        <f>IF(AY46&lt;=17,"0",IF(BA46&lt;=39,"0",IF(BA46&lt;=49,"4",IF(BA46&lt;=54,"5",IF(BA46&lt;=59,"6",IF(BA46&lt;=69,"7",IF(BA46&lt;=79,"8",IF(BA46&lt;=89,"9","10"))))))))</f>
        <v/>
      </c>
      <c r="BD46" s="18">
        <f>IF(AY46&lt;=17,"F",IF(BA46&lt;=39,"F",IF(BA46&lt;=49,"P",IF(BA46&lt;=54,"C",IF(BA46&lt;=59,"B",IF(BA46&lt;=69,"B+",IF(BA46&lt;=79,"A",IF(BA46&lt;=89,"A+","O"))))))))</f>
        <v/>
      </c>
      <c r="BE46" s="18">
        <f>BB46*BC46</f>
        <v/>
      </c>
      <c r="BF46" s="43" t="inlineStr">
        <is>
          <t>Balake Kannada</t>
        </is>
      </c>
      <c r="BG46" s="9" t="n">
        <v>48</v>
      </c>
      <c r="BH46" s="9" t="n">
        <v>42</v>
      </c>
      <c r="BI46" s="9" t="n"/>
      <c r="BJ46" s="18">
        <f>(BG46+BH46)</f>
        <v/>
      </c>
      <c r="BK46" s="18" t="n">
        <v>1</v>
      </c>
      <c r="BL46" s="18">
        <f>IF(BH46&lt;=17,"0",IF(BJ46&lt;=39,"0",IF(BJ46&lt;=49,"4",IF(BJ46&lt;=54,"5",IF(BJ46&lt;=59,"6",IF(BJ46&lt;=69,"7",IF(BJ46&lt;=79,"8",IF(BJ46&lt;=89,"9","10"))))))))</f>
        <v/>
      </c>
      <c r="BM46" s="18">
        <f>IF(BH46&lt;=17,"F",IF(BJ46&lt;=39,"F",IF(BJ46&lt;=49,"P",IF(BJ46&lt;=54,"C",IF(BJ46&lt;=59,"B",IF(BJ46&lt;=69,"B+",IF(BJ46&lt;=79,"A",IF(BJ46&lt;=89,"A+","O"))))))))</f>
        <v/>
      </c>
      <c r="BN46" s="18">
        <f>BK46*BL46</f>
        <v/>
      </c>
      <c r="BO46" s="18" t="n"/>
      <c r="BP46" s="9" t="n">
        <v>48</v>
      </c>
      <c r="BQ46" s="9" t="n">
        <v>39</v>
      </c>
      <c r="BR46" s="9" t="n"/>
      <c r="BS46" s="18">
        <f>(BP46+BQ46)</f>
        <v/>
      </c>
      <c r="BT46" s="18" t="n">
        <v>1</v>
      </c>
      <c r="BU46" s="18">
        <f>IF(BQ46&lt;=17,"0",IF(BS46&lt;=39,"0",IF(BS46&lt;=49,"4",IF(BS46&lt;=54,"5",IF(BS46&lt;=59,"6",IF(BS46&lt;=69,"7",IF(BS46&lt;=79,"8",IF(BS46&lt;=89,"9","10"))))))))</f>
        <v/>
      </c>
      <c r="BV46" s="18">
        <f>IF(BQ46&lt;=17,"F",IF(BS46&lt;=39,"F",IF(BS46&lt;=49,"P",IF(BS46&lt;=54,"C",IF(BS46&lt;=59,"B",IF(BS46&lt;=69,"B+",IF(BS46&lt;=79,"A",IF(BS46&lt;=89,"A+","O"))))))))</f>
        <v/>
      </c>
      <c r="BW46" s="18">
        <f>BT46*BU46</f>
        <v/>
      </c>
      <c r="BX46" s="18" t="n"/>
      <c r="BY46" s="18" t="n"/>
      <c r="BZ46" s="18">
        <f>L46+U46+AD46+AM46+AV46+BE46+BN46+BW46</f>
        <v/>
      </c>
      <c r="CA46" s="19">
        <f>BZ46/20</f>
        <v/>
      </c>
      <c r="CB46" s="28">
        <f>IF(CA46&lt;4,"F",IF(BV46="F","F",IF(BM46="F","F",IF(BD46="F","F",IF(AU46="F","F",IF(AL46="F","F",IF(AC46="F","F",IF(T46="F","F",IF(K46="F","F",IF(CA46&lt;=5,"C",IF(CA46&lt;6,"B",IF(CA46&lt;7,"B+",IF(CA46&lt;8,"A",IF(CA46&lt;=9,"A+","O"))))))))))))))</f>
        <v/>
      </c>
      <c r="CC46" s="27">
        <f>CA46*9.5</f>
        <v/>
      </c>
      <c r="CD46" s="27" t="n"/>
      <c r="CE46" s="28">
        <f>SUM(BS46,BJ46,BA46,AR46,AI46,Z46,Q46,H46)</f>
        <v/>
      </c>
      <c r="CF46" s="28">
        <f>(CE46/800)*100</f>
        <v/>
      </c>
      <c r="CG46" s="27" t="n"/>
      <c r="CH46" s="27" t="n"/>
      <c r="CI46" s="27">
        <f>IF(CA46&lt;=4,"F",IF(CA46&lt;=6,"PASS",IF(CA46&lt;=6.5,"SC",IF(CA46&lt;=7.5,"FC",IF(CA46&lt;="10","FCD")))))</f>
        <v/>
      </c>
    </row>
    <row r="47" ht="15.75" customHeight="1">
      <c r="A47" s="35">
        <f>A46+1</f>
        <v/>
      </c>
      <c r="B47" s="37" t="inlineStr">
        <is>
          <t>1BI22CD021</t>
        </is>
      </c>
      <c r="C47" s="44" t="inlineStr">
        <is>
          <t>KRUTHIKA S S</t>
        </is>
      </c>
      <c r="D47" s="47" t="inlineStr">
        <is>
          <t>D</t>
        </is>
      </c>
      <c r="E47" s="9" t="n">
        <v>46</v>
      </c>
      <c r="F47" s="9" t="n">
        <v>28</v>
      </c>
      <c r="G47" s="9" t="n"/>
      <c r="H47" s="18">
        <f>SUM(E47:F47)</f>
        <v/>
      </c>
      <c r="I47" s="18" t="n">
        <v>4</v>
      </c>
      <c r="J47" s="18">
        <f>IF(F47&lt;=17,"0",IF(H47&lt;=39,"0",IF(H47&lt;=49,"4",IF(H47&lt;=54,"5",IF(H47&lt;=59,"6",IF(H47&lt;=69,"7",IF(H47&lt;=79,"8",IF(H47&lt;=89,"9","10"))))))))</f>
        <v/>
      </c>
      <c r="K47" s="18">
        <f>IF(F47&lt;=17,"F",IF(H47&lt;=39,"F",IF(H47&lt;=49,"P",IF(H47&lt;=54,"C",IF(H47&lt;=59,"B",IF(H47&lt;=69,"B+",IF(H47&lt;=79,"A",IF(H47&lt;=89,"A+","O"))))))))</f>
        <v/>
      </c>
      <c r="L47" s="18">
        <f>I47*J47</f>
        <v/>
      </c>
      <c r="M47" s="18" t="n"/>
      <c r="N47" s="9" t="n">
        <v>43</v>
      </c>
      <c r="O47" s="9" t="n">
        <v>30</v>
      </c>
      <c r="P47" s="9" t="n"/>
      <c r="Q47" s="18">
        <f>SUM(N47:O47)</f>
        <v/>
      </c>
      <c r="R47" s="18" t="n">
        <v>4</v>
      </c>
      <c r="S47" s="18">
        <f>IF(O47&lt;=17,"0",IF(Q47&lt;=39,"4",IF(Q47&lt;=49,"4",IF(Q47&lt;=54,"5",IF(Q47&lt;=59,"6",IF(Q47&lt;=69,"7",IF(Q47&lt;=79,"8",IF(Q47&lt;=89,"9","10"))))))))</f>
        <v/>
      </c>
      <c r="T47" s="18">
        <f>IF(O47&lt;=17,"F",IF(Q47&lt;=39,"F",IF(Q47&lt;=49,"P",IF(Q47&lt;=54,"C",IF(Q47&lt;=59,"B",IF(Q47&lt;=69,"B+",IF(Q47&lt;=79,"A",IF(Q47&lt;=89,"A+","O"))))))))</f>
        <v/>
      </c>
      <c r="U47" s="18">
        <f>R47*S47</f>
        <v/>
      </c>
      <c r="V47" s="18" t="n"/>
      <c r="W47" s="9" t="n">
        <v>48</v>
      </c>
      <c r="X47" s="9" t="n">
        <v>38</v>
      </c>
      <c r="Y47" s="18" t="n"/>
      <c r="Z47" s="18">
        <f>SUM(W47:X47)</f>
        <v/>
      </c>
      <c r="AA47" s="18" t="n">
        <v>3</v>
      </c>
      <c r="AB47" s="18">
        <f>IF(X47&lt;=17,"0",IF(Z47&lt;=39,"0",IF(Z47&lt;=49,"4",IF(Z47&lt;=54,"5",IF(Z47&lt;=59,"6",IF(Z47&lt;=69,"7",IF(Z47&lt;=79,"8",IF(Z47&lt;=89,"9","10"))))))))</f>
        <v/>
      </c>
      <c r="AC47" s="18">
        <f>IF(X47&lt;=17,"F",IF(Z47&lt;=39,"F",IF(Z47&lt;=49,"P",IF(Z47&lt;=54,"C",IF(Z47&lt;=59,"B",IF(Z47&lt;=69,"B+",IF(Z47&lt;=79,"A",IF(Z47&lt;=89,"A+","O"))))))))</f>
        <v/>
      </c>
      <c r="AD47" s="18">
        <f>AA47*AB47</f>
        <v/>
      </c>
      <c r="AE47" s="18" t="n"/>
      <c r="AF47" s="46" t="n">
        <v>45</v>
      </c>
      <c r="AG47" s="46" t="n">
        <v>37</v>
      </c>
      <c r="AH47" s="9" t="n"/>
      <c r="AI47" s="18">
        <f>SUM(AF47:AG47)</f>
        <v/>
      </c>
      <c r="AJ47" s="18" t="n">
        <v>3</v>
      </c>
      <c r="AK47" s="18">
        <f>IF(AG47&lt;=17,"0",IF(AI47&lt;=39,"0",IF(AI47&lt;=49,"4",IF(AI47&lt;=54,"5",IF(AI47&lt;=59,"6",IF(AI47&lt;=69,"7",IF(AI47&lt;=79,"8",IF(AI47&lt;=89,"9","10"))))))))</f>
        <v/>
      </c>
      <c r="AL47" s="18">
        <f>IF(AG47&lt;=17,"F",IF(AI47&lt;=39,"F",IF(AI47&lt;=49,"P",IF(AI47&lt;=54,"C",IF(AI47&lt;=59,"B",IF(AI47&lt;=69,"B+",IF(AI47&lt;=79,"A",IF(AI47&lt;=89,"A+","O"))))))))</f>
        <v/>
      </c>
      <c r="AM47" s="18">
        <f>AJ47*AK47</f>
        <v/>
      </c>
      <c r="AN47" s="18" t="n"/>
      <c r="AO47" s="46" t="n">
        <v>49</v>
      </c>
      <c r="AP47" s="46" t="n">
        <v>25</v>
      </c>
      <c r="AQ47" s="9" t="n"/>
      <c r="AR47" s="18">
        <f>(AO47+AP47)</f>
        <v/>
      </c>
      <c r="AS47" s="18" t="n">
        <v>3</v>
      </c>
      <c r="AT47" s="18">
        <f>IF(AP47&lt;=17,"0",IF(AR47&lt;=39,"0",IF(AR47&lt;=49,"4",IF(AR47&lt;=54,"5",IF(AR47&lt;=59,"6",IF(AR47&lt;=69,"7",IF(AR47&lt;=79,"8",IF(AR47&lt;=89,"9","10"))))))))</f>
        <v/>
      </c>
      <c r="AU47" s="18">
        <f>IF(AP47&lt;=17,"F",IF(AR47&lt;=39,"F",IF(AR47&lt;=49,"P",IF(AR47&lt;=54,"C",IF(AR47&lt;=59,"B",IF(AR47&lt;=69,"B+",IF(AR47&lt;=79,"A",IF(AR47&lt;=89,"A+","O"))))))))</f>
        <v/>
      </c>
      <c r="AV47" s="18">
        <f>AS47*AT47</f>
        <v/>
      </c>
      <c r="AW47" s="18" t="n"/>
      <c r="AX47" s="9" t="n">
        <v>46</v>
      </c>
      <c r="AY47" s="9" t="n">
        <v>23</v>
      </c>
      <c r="AZ47" s="9" t="n"/>
      <c r="BA47" s="18">
        <f>(AX47+AY47)</f>
        <v/>
      </c>
      <c r="BB47" s="18" t="n">
        <v>1</v>
      </c>
      <c r="BC47" s="18">
        <f>IF(AY47&lt;=17,"0",IF(BA47&lt;=39,"0",IF(BA47&lt;=49,"4",IF(BA47&lt;=54,"5",IF(BA47&lt;=59,"6",IF(BA47&lt;=69,"7",IF(BA47&lt;=79,"8",IF(BA47&lt;=89,"9","10"))))))))</f>
        <v/>
      </c>
      <c r="BD47" s="18">
        <f>IF(AY47&lt;=17,"F",IF(BA47&lt;=39,"F",IF(BA47&lt;=49,"P",IF(BA47&lt;=54,"C",IF(BA47&lt;=59,"B",IF(BA47&lt;=69,"B+",IF(BA47&lt;=79,"A",IF(BA47&lt;=89,"A+","O"))))))))</f>
        <v/>
      </c>
      <c r="BE47" s="18">
        <f>BB47*BC47</f>
        <v/>
      </c>
      <c r="BF47" s="43" t="inlineStr">
        <is>
          <t>Samskrutika Kannada</t>
        </is>
      </c>
      <c r="BG47" s="9" t="n">
        <v>49</v>
      </c>
      <c r="BH47" s="9" t="n">
        <v>40</v>
      </c>
      <c r="BI47" s="9" t="n"/>
      <c r="BJ47" s="18">
        <f>(BG47+BH47)</f>
        <v/>
      </c>
      <c r="BK47" s="18" t="n">
        <v>1</v>
      </c>
      <c r="BL47" s="18">
        <f>IF(BH47&lt;=17,"0",IF(BJ47&lt;=39,"0",IF(BJ47&lt;=49,"4",IF(BJ47&lt;=54,"5",IF(BJ47&lt;=59,"6",IF(BJ47&lt;=69,"7",IF(BJ47&lt;=79,"8",IF(BJ47&lt;=89,"9","10"))))))))</f>
        <v/>
      </c>
      <c r="BM47" s="18">
        <f>IF(BH47&lt;=17,"F",IF(BJ47&lt;=39,"F",IF(BJ47&lt;=49,"P",IF(BJ47&lt;=54,"C",IF(BJ47&lt;=59,"B",IF(BJ47&lt;=69,"B+",IF(BJ47&lt;=79,"A",IF(BJ47&lt;=89,"A+","O"))))))))</f>
        <v/>
      </c>
      <c r="BN47" s="18">
        <f>BK47*BL47</f>
        <v/>
      </c>
      <c r="BO47" s="18" t="n"/>
      <c r="BP47" s="9" t="n">
        <v>49</v>
      </c>
      <c r="BQ47" s="9" t="n">
        <v>37</v>
      </c>
      <c r="BR47" s="9" t="n"/>
      <c r="BS47" s="18">
        <f>(BP47+BQ47)</f>
        <v/>
      </c>
      <c r="BT47" s="18" t="n">
        <v>1</v>
      </c>
      <c r="BU47" s="18">
        <f>IF(BQ47&lt;=17,"0",IF(BS47&lt;=39,"0",IF(BS47&lt;=49,"4",IF(BS47&lt;=54,"5",IF(BS47&lt;=59,"6",IF(BS47&lt;=69,"7",IF(BS47&lt;=79,"8",IF(BS47&lt;=89,"9","10"))))))))</f>
        <v/>
      </c>
      <c r="BV47" s="18">
        <f>IF(BQ47&lt;=17,"F",IF(BS47&lt;=39,"F",IF(BS47&lt;=49,"P",IF(BS47&lt;=54,"C",IF(BS47&lt;=59,"B",IF(BS47&lt;=69,"B+",IF(BS47&lt;=79,"A",IF(BS47&lt;=89,"A+","O"))))))))</f>
        <v/>
      </c>
      <c r="BW47" s="18">
        <f>BT47*BU47</f>
        <v/>
      </c>
      <c r="BX47" s="18" t="n"/>
      <c r="BY47" s="18" t="n"/>
      <c r="BZ47" s="18">
        <f>L47+U47+AD47+AM47+AV47+BE47+BN47+BW47</f>
        <v/>
      </c>
      <c r="CA47" s="19">
        <f>BZ47/20</f>
        <v/>
      </c>
      <c r="CB47" s="28">
        <f>IF(CA47&lt;4,"F",IF(BV47="F","F",IF(BM47="F","F",IF(BD47="F","F",IF(AU47="F","F",IF(AL47="F","F",IF(AC47="F","F",IF(T47="F","F",IF(K47="F","F",IF(CA47&lt;=5,"C",IF(CA47&lt;6,"B",IF(CA47&lt;7,"B+",IF(CA47&lt;8,"A",IF(CA47&lt;=9,"A+","O"))))))))))))))</f>
        <v/>
      </c>
      <c r="CC47" s="27">
        <f>CA47*9.5</f>
        <v/>
      </c>
      <c r="CD47" s="27" t="n"/>
      <c r="CE47" s="28">
        <f>SUM(BS47,BJ47,BA47,AR47,AI47,Z47,Q47,H47)</f>
        <v/>
      </c>
      <c r="CF47" s="28">
        <f>(CE47/800)*100</f>
        <v/>
      </c>
      <c r="CG47" s="27" t="n"/>
      <c r="CH47" s="27" t="n"/>
      <c r="CI47" s="27">
        <f>IF(CA47&lt;=4,"F",IF(CA47&lt;=6,"PASS",IF(CA47&lt;=6.5,"SC",IF(CA47&lt;=7.5,"FC",IF(CA47&lt;="10","FCD")))))</f>
        <v/>
      </c>
    </row>
    <row r="48" ht="15.75" customHeight="1">
      <c r="A48" s="35" t="n">
        <v>56</v>
      </c>
      <c r="B48" s="37" t="inlineStr">
        <is>
          <t>1BI22CD056</t>
        </is>
      </c>
      <c r="C48" s="44" t="inlineStr">
        <is>
          <t>TANISH PANDEY</t>
        </is>
      </c>
      <c r="D48" s="47" t="inlineStr">
        <is>
          <t>D</t>
        </is>
      </c>
      <c r="E48" s="9" t="n">
        <v>48</v>
      </c>
      <c r="F48" s="9" t="n">
        <v>30</v>
      </c>
      <c r="G48" s="9" t="n"/>
      <c r="H48" s="18">
        <f>SUM(E48:F48)</f>
        <v/>
      </c>
      <c r="I48" s="18" t="n">
        <v>4</v>
      </c>
      <c r="J48" s="18">
        <f>IF(F48&lt;=17,"0",IF(H48&lt;=39,"0",IF(H48&lt;=49,"4",IF(H48&lt;=54,"5",IF(H48&lt;=59,"6",IF(H48&lt;=69,"7",IF(H48&lt;=79,"8",IF(H48&lt;=89,"9","10"))))))))</f>
        <v/>
      </c>
      <c r="K48" s="18">
        <f>IF(F48&lt;=17,"F",IF(H48&lt;=39,"F",IF(H48&lt;=49,"P",IF(H48&lt;=54,"C",IF(H48&lt;=59,"B",IF(H48&lt;=69,"B+",IF(H48&lt;=79,"A",IF(H48&lt;=89,"A+","O"))))))))</f>
        <v/>
      </c>
      <c r="L48" s="18">
        <f>I48*J48</f>
        <v/>
      </c>
      <c r="M48" s="18" t="n"/>
      <c r="N48" s="9" t="n">
        <v>45</v>
      </c>
      <c r="O48" s="9" t="n">
        <v>32</v>
      </c>
      <c r="P48" s="9" t="n"/>
      <c r="Q48" s="18">
        <f>SUM(N48:O48)</f>
        <v/>
      </c>
      <c r="R48" s="18" t="n">
        <v>4</v>
      </c>
      <c r="S48" s="18">
        <f>IF(O48&lt;=17,"0",IF(Q48&lt;=39,"4",IF(Q48&lt;=49,"4",IF(Q48&lt;=54,"5",IF(Q48&lt;=59,"6",IF(Q48&lt;=69,"7",IF(Q48&lt;=79,"8",IF(Q48&lt;=89,"9","10"))))))))</f>
        <v/>
      </c>
      <c r="T48" s="18">
        <f>IF(O48&lt;=17,"F",IF(Q48&lt;=39,"F",IF(Q48&lt;=49,"P",IF(Q48&lt;=54,"C",IF(Q48&lt;=59,"B",IF(Q48&lt;=69,"B+",IF(Q48&lt;=79,"A",IF(Q48&lt;=89,"A+","O"))))))))</f>
        <v/>
      </c>
      <c r="U48" s="18">
        <f>R48*S48</f>
        <v/>
      </c>
      <c r="V48" s="18" t="n"/>
      <c r="W48" s="9" t="n">
        <v>43</v>
      </c>
      <c r="X48" s="9" t="n">
        <v>35</v>
      </c>
      <c r="Y48" s="18" t="n"/>
      <c r="Z48" s="18">
        <f>SUM(W48:X48)</f>
        <v/>
      </c>
      <c r="AA48" s="18" t="n">
        <v>3</v>
      </c>
      <c r="AB48" s="18">
        <f>IF(X48&lt;=17,"0",IF(Z48&lt;=39,"0",IF(Z48&lt;=49,"4",IF(Z48&lt;=54,"5",IF(Z48&lt;=59,"6",IF(Z48&lt;=69,"7",IF(Z48&lt;=79,"8",IF(Z48&lt;=89,"9","10"))))))))</f>
        <v/>
      </c>
      <c r="AC48" s="18">
        <f>IF(X48&lt;=17,"F",IF(Z48&lt;=39,"F",IF(Z48&lt;=49,"P",IF(Z48&lt;=54,"C",IF(Z48&lt;=59,"B",IF(Z48&lt;=69,"B+",IF(Z48&lt;=79,"A",IF(Z48&lt;=89,"A+","O"))))))))</f>
        <v/>
      </c>
      <c r="AD48" s="18">
        <f>AA48*AB48</f>
        <v/>
      </c>
      <c r="AE48" s="18" t="n"/>
      <c r="AF48" s="46" t="n">
        <v>46</v>
      </c>
      <c r="AG48" s="46" t="n">
        <v>38</v>
      </c>
      <c r="AH48" s="9" t="n"/>
      <c r="AI48" s="18">
        <f>SUM(AF48:AG48)</f>
        <v/>
      </c>
      <c r="AJ48" s="18" t="n">
        <v>3</v>
      </c>
      <c r="AK48" s="18">
        <f>IF(AG48&lt;=17,"0",IF(AI48&lt;=39,"0",IF(AI48&lt;=49,"4",IF(AI48&lt;=54,"5",IF(AI48&lt;=59,"6",IF(AI48&lt;=69,"7",IF(AI48&lt;=79,"8",IF(AI48&lt;=89,"9","10"))))))))</f>
        <v/>
      </c>
      <c r="AL48" s="18">
        <f>IF(AG48&lt;=17,"F",IF(AI48&lt;=39,"F",IF(AI48&lt;=49,"P",IF(AI48&lt;=54,"C",IF(AI48&lt;=59,"B",IF(AI48&lt;=69,"B+",IF(AI48&lt;=79,"A",IF(AI48&lt;=89,"A+","O"))))))))</f>
        <v/>
      </c>
      <c r="AM48" s="18">
        <f>AJ48*AK48</f>
        <v/>
      </c>
      <c r="AN48" s="18" t="n"/>
      <c r="AO48" s="46" t="n">
        <v>49</v>
      </c>
      <c r="AP48" s="46" t="n">
        <v>30</v>
      </c>
      <c r="AQ48" s="9" t="n"/>
      <c r="AR48" s="18">
        <f>(AO48+AP48)</f>
        <v/>
      </c>
      <c r="AS48" s="18" t="n">
        <v>3</v>
      </c>
      <c r="AT48" s="18">
        <f>IF(AP48&lt;=17,"0",IF(AR48&lt;=39,"0",IF(AR48&lt;=49,"4",IF(AR48&lt;=54,"5",IF(AR48&lt;=59,"6",IF(AR48&lt;=69,"7",IF(AR48&lt;=79,"8",IF(AR48&lt;=89,"9","10"))))))))</f>
        <v/>
      </c>
      <c r="AU48" s="18">
        <f>IF(AP48&lt;=17,"F",IF(AR48&lt;=39,"F",IF(AR48&lt;=49,"P",IF(AR48&lt;=54,"C",IF(AR48&lt;=59,"B",IF(AR48&lt;=69,"B+",IF(AR48&lt;=79,"A",IF(AR48&lt;=89,"A+","O"))))))))</f>
        <v/>
      </c>
      <c r="AV48" s="18">
        <f>AS48*AT48</f>
        <v/>
      </c>
      <c r="AW48" s="18" t="n"/>
      <c r="AX48" s="9" t="n">
        <v>46</v>
      </c>
      <c r="AY48" s="9" t="n">
        <v>33</v>
      </c>
      <c r="AZ48" s="9" t="n"/>
      <c r="BA48" s="18">
        <f>(AX48+AY48)</f>
        <v/>
      </c>
      <c r="BB48" s="18" t="n">
        <v>1</v>
      </c>
      <c r="BC48" s="18">
        <f>IF(AY48&lt;=17,"0",IF(BA48&lt;=39,"0",IF(BA48&lt;=49,"4",IF(BA48&lt;=54,"5",IF(BA48&lt;=59,"6",IF(BA48&lt;=69,"7",IF(BA48&lt;=79,"8",IF(BA48&lt;=89,"9","10"))))))))</f>
        <v/>
      </c>
      <c r="BD48" s="18">
        <f>IF(AY48&lt;=17,"F",IF(BA48&lt;=39,"F",IF(BA48&lt;=49,"P",IF(BA48&lt;=54,"C",IF(BA48&lt;=59,"B",IF(BA48&lt;=69,"B+",IF(BA48&lt;=79,"A",IF(BA48&lt;=89,"A+","O"))))))))</f>
        <v/>
      </c>
      <c r="BE48" s="18">
        <f>BB48*BC48</f>
        <v/>
      </c>
      <c r="BF48" s="43" t="inlineStr">
        <is>
          <t>Balake Kannada</t>
        </is>
      </c>
      <c r="BG48" s="9" t="n">
        <v>49</v>
      </c>
      <c r="BH48" s="9" t="n">
        <v>44</v>
      </c>
      <c r="BI48" s="9" t="n"/>
      <c r="BJ48" s="18">
        <f>(BG48+BH48)</f>
        <v/>
      </c>
      <c r="BK48" s="18" t="n">
        <v>1</v>
      </c>
      <c r="BL48" s="18">
        <f>IF(BH48&lt;=17,"0",IF(BJ48&lt;=39,"0",IF(BJ48&lt;=49,"4",IF(BJ48&lt;=54,"5",IF(BJ48&lt;=59,"6",IF(BJ48&lt;=69,"7",IF(BJ48&lt;=79,"8",IF(BJ48&lt;=89,"9","10"))))))))</f>
        <v/>
      </c>
      <c r="BM48" s="18">
        <f>IF(BH48&lt;=17,"F",IF(BJ48&lt;=39,"F",IF(BJ48&lt;=49,"P",IF(BJ48&lt;=54,"C",IF(BJ48&lt;=59,"B",IF(BJ48&lt;=69,"B+",IF(BJ48&lt;=79,"A",IF(BJ48&lt;=89,"A+","O"))))))))</f>
        <v/>
      </c>
      <c r="BN48" s="18">
        <f>BK48*BL48</f>
        <v/>
      </c>
      <c r="BO48" s="18" t="n"/>
      <c r="BP48" s="9" t="n">
        <v>42</v>
      </c>
      <c r="BQ48" s="9" t="n">
        <v>41</v>
      </c>
      <c r="BR48" s="9" t="n"/>
      <c r="BS48" s="18">
        <f>(BP48+BQ48)</f>
        <v/>
      </c>
      <c r="BT48" s="18" t="n">
        <v>1</v>
      </c>
      <c r="BU48" s="18">
        <f>IF(BQ48&lt;=17,"0",IF(BS48&lt;=39,"0",IF(BS48&lt;=49,"4",IF(BS48&lt;=54,"5",IF(BS48&lt;=59,"6",IF(BS48&lt;=69,"7",IF(BS48&lt;=79,"8",IF(BS48&lt;=89,"9","10"))))))))</f>
        <v/>
      </c>
      <c r="BV48" s="18">
        <f>IF(BQ48&lt;=17,"F",IF(BS48&lt;=39,"F",IF(BS48&lt;=49,"P",IF(BS48&lt;=54,"C",IF(BS48&lt;=59,"B",IF(BS48&lt;=69,"B+",IF(BS48&lt;=79,"A",IF(BS48&lt;=89,"A+","O"))))))))</f>
        <v/>
      </c>
      <c r="BW48" s="18">
        <f>BT48*BU48</f>
        <v/>
      </c>
      <c r="BX48" s="18" t="n"/>
      <c r="BY48" s="18" t="n"/>
      <c r="BZ48" s="18">
        <f>L48+U48+AD48+AM48+AV48+BE48+BN48+BW48</f>
        <v/>
      </c>
      <c r="CA48" s="19">
        <f>BZ48/20</f>
        <v/>
      </c>
      <c r="CB48" s="28">
        <f>IF(CA48&lt;4,"F",IF(BV48="F","F",IF(BM48="F","F",IF(BD48="F","F",IF(AU48="F","F",IF(AL48="F","F",IF(AC48="F","F",IF(T48="F","F",IF(K48="F","F",IF(CA48&lt;=5,"C",IF(CA48&lt;6,"B",IF(CA48&lt;7,"B+",IF(CA48&lt;8,"A",IF(CA48&lt;=9,"A+","O"))))))))))))))</f>
        <v/>
      </c>
      <c r="CC48" s="27">
        <f>CA48*9.5</f>
        <v/>
      </c>
      <c r="CD48" s="27" t="n"/>
      <c r="CE48" s="28">
        <f>SUM(BS48,BJ48,BA48,AR48,AI48,Z48,Q48,H48)</f>
        <v/>
      </c>
      <c r="CF48" s="28">
        <f>(CE48/800)*100</f>
        <v/>
      </c>
      <c r="CG48" s="27" t="n"/>
      <c r="CH48" s="27" t="n"/>
      <c r="CI48" s="27">
        <f>IF(CA48&lt;=4,"F",IF(CA48&lt;=6,"PASS",IF(CA48&lt;=6.5,"SC",IF(CA48&lt;=7.5,"FC",IF(CA48&lt;="10","FCD")))))</f>
        <v/>
      </c>
    </row>
    <row r="49" ht="15.75" customHeight="1">
      <c r="A49" s="35">
        <f>A48+1</f>
        <v/>
      </c>
      <c r="B49" s="37" t="inlineStr">
        <is>
          <t>1BI22CD009</t>
        </is>
      </c>
      <c r="C49" s="44" t="inlineStr">
        <is>
          <t>DARSHAN E</t>
        </is>
      </c>
      <c r="D49" s="47" t="inlineStr">
        <is>
          <t>D</t>
        </is>
      </c>
      <c r="E49" s="9" t="n">
        <v>46</v>
      </c>
      <c r="F49" s="9" t="n">
        <v>20</v>
      </c>
      <c r="G49" s="9" t="n"/>
      <c r="H49" s="18">
        <f>SUM(E49:F49)</f>
        <v/>
      </c>
      <c r="I49" s="18" t="n">
        <v>4</v>
      </c>
      <c r="J49" s="18">
        <f>IF(F49&lt;=17,"0",IF(H49&lt;=39,"0",IF(H49&lt;=49,"4",IF(H49&lt;=54,"5",IF(H49&lt;=59,"6",IF(H49&lt;=69,"7",IF(H49&lt;=79,"8",IF(H49&lt;=89,"9","10"))))))))</f>
        <v/>
      </c>
      <c r="K49" s="18">
        <f>IF(F49&lt;=17,"F",IF(H49&lt;=39,"F",IF(H49&lt;=49,"P",IF(H49&lt;=54,"C",IF(H49&lt;=59,"B",IF(H49&lt;=69,"B+",IF(H49&lt;=79,"A",IF(H49&lt;=89,"A+","O"))))))))</f>
        <v/>
      </c>
      <c r="L49" s="18">
        <f>I49*J49</f>
        <v/>
      </c>
      <c r="M49" s="18" t="n"/>
      <c r="N49" s="9" t="n">
        <v>44</v>
      </c>
      <c r="O49" s="9" t="n">
        <v>36</v>
      </c>
      <c r="P49" s="9" t="n"/>
      <c r="Q49" s="18">
        <f>SUM(N49:O49)</f>
        <v/>
      </c>
      <c r="R49" s="18" t="n">
        <v>4</v>
      </c>
      <c r="S49" s="18">
        <f>IF(O49&lt;=17,"0",IF(Q49&lt;=39,"4",IF(Q49&lt;=49,"4",IF(Q49&lt;=54,"5",IF(Q49&lt;=59,"6",IF(Q49&lt;=69,"7",IF(Q49&lt;=79,"8",IF(Q49&lt;=89,"9","10"))))))))</f>
        <v/>
      </c>
      <c r="T49" s="18">
        <f>IF(O49&lt;=17,"F",IF(Q49&lt;=39,"F",IF(Q49&lt;=49,"P",IF(Q49&lt;=54,"C",IF(Q49&lt;=59,"B",IF(Q49&lt;=69,"B+",IF(Q49&lt;=79,"A",IF(Q49&lt;=89,"A+","O"))))))))</f>
        <v/>
      </c>
      <c r="U49" s="18">
        <f>R49*S49</f>
        <v/>
      </c>
      <c r="V49" s="18" t="n"/>
      <c r="W49" s="9" t="n">
        <v>47</v>
      </c>
      <c r="X49" s="9" t="n">
        <v>42</v>
      </c>
      <c r="Y49" s="18" t="n"/>
      <c r="Z49" s="18">
        <f>SUM(W49:X49)</f>
        <v/>
      </c>
      <c r="AA49" s="18" t="n">
        <v>3</v>
      </c>
      <c r="AB49" s="18">
        <f>IF(X49&lt;=17,"0",IF(Z49&lt;=39,"0",IF(Z49&lt;=49,"4",IF(Z49&lt;=54,"5",IF(Z49&lt;=59,"6",IF(Z49&lt;=69,"7",IF(Z49&lt;=79,"8",IF(Z49&lt;=89,"9","10"))))))))</f>
        <v/>
      </c>
      <c r="AC49" s="18">
        <f>IF(X49&lt;=17,"F",IF(Z49&lt;=39,"F",IF(Z49&lt;=49,"P",IF(Z49&lt;=54,"C",IF(Z49&lt;=59,"B",IF(Z49&lt;=69,"B+",IF(Z49&lt;=79,"A",IF(Z49&lt;=89,"A+","O"))))))))</f>
        <v/>
      </c>
      <c r="AD49" s="18">
        <f>AA49*AB49</f>
        <v/>
      </c>
      <c r="AE49" s="18" t="n"/>
      <c r="AF49" s="46" t="n">
        <v>45</v>
      </c>
      <c r="AG49" s="46" t="n">
        <v>36</v>
      </c>
      <c r="AH49" s="9" t="n"/>
      <c r="AI49" s="18">
        <f>SUM(AF49:AG49)</f>
        <v/>
      </c>
      <c r="AJ49" s="18" t="n">
        <v>3</v>
      </c>
      <c r="AK49" s="18">
        <f>IF(AG49&lt;=17,"0",IF(AI49&lt;=39,"0",IF(AI49&lt;=49,"4",IF(AI49&lt;=54,"5",IF(AI49&lt;=59,"6",IF(AI49&lt;=69,"7",IF(AI49&lt;=79,"8",IF(AI49&lt;=89,"9","10"))))))))</f>
        <v/>
      </c>
      <c r="AL49" s="18">
        <f>IF(AG49&lt;=17,"F",IF(AI49&lt;=39,"F",IF(AI49&lt;=49,"P",IF(AI49&lt;=54,"C",IF(AI49&lt;=59,"B",IF(AI49&lt;=69,"B+",IF(AI49&lt;=79,"A",IF(AI49&lt;=89,"A+","O"))))))))</f>
        <v/>
      </c>
      <c r="AM49" s="18">
        <f>AJ49*AK49</f>
        <v/>
      </c>
      <c r="AN49" s="18" t="n"/>
      <c r="AO49" s="46" t="n">
        <v>45</v>
      </c>
      <c r="AP49" s="46" t="n">
        <v>26</v>
      </c>
      <c r="AQ49" s="9" t="n"/>
      <c r="AR49" s="18">
        <f>(AO49+AP49)</f>
        <v/>
      </c>
      <c r="AS49" s="18" t="n">
        <v>3</v>
      </c>
      <c r="AT49" s="18">
        <f>IF(AP49&lt;=17,"0",IF(AR49&lt;=39,"0",IF(AR49&lt;=49,"4",IF(AR49&lt;=54,"5",IF(AR49&lt;=59,"6",IF(AR49&lt;=69,"7",IF(AR49&lt;=79,"8",IF(AR49&lt;=89,"9","10"))))))))</f>
        <v/>
      </c>
      <c r="AU49" s="18">
        <f>IF(AP49&lt;=17,"F",IF(AR49&lt;=39,"F",IF(AR49&lt;=49,"P",IF(AR49&lt;=54,"C",IF(AR49&lt;=59,"B",IF(AR49&lt;=69,"B+",IF(AR49&lt;=79,"A",IF(AR49&lt;=89,"A+","O"))))))))</f>
        <v/>
      </c>
      <c r="AV49" s="18">
        <f>AS49*AT49</f>
        <v/>
      </c>
      <c r="AW49" s="18" t="n"/>
      <c r="AX49" s="9" t="n">
        <v>45</v>
      </c>
      <c r="AY49" s="9" t="n">
        <v>30</v>
      </c>
      <c r="AZ49" s="9" t="n"/>
      <c r="BA49" s="18">
        <f>(AX49+AY49)</f>
        <v/>
      </c>
      <c r="BB49" s="18" t="n">
        <v>1</v>
      </c>
      <c r="BC49" s="18">
        <f>IF(AY49&lt;=17,"0",IF(BA49&lt;=39,"0",IF(BA49&lt;=49,"4",IF(BA49&lt;=54,"5",IF(BA49&lt;=59,"6",IF(BA49&lt;=69,"7",IF(BA49&lt;=79,"8",IF(BA49&lt;=89,"9","10"))))))))</f>
        <v/>
      </c>
      <c r="BD49" s="18">
        <f>IF(AY49&lt;=17,"F",IF(BA49&lt;=39,"F",IF(BA49&lt;=49,"P",IF(BA49&lt;=54,"C",IF(BA49&lt;=59,"B",IF(BA49&lt;=69,"B+",IF(BA49&lt;=79,"A",IF(BA49&lt;=89,"A+","O"))))))))</f>
        <v/>
      </c>
      <c r="BE49" s="18">
        <f>BB49*BC49</f>
        <v/>
      </c>
      <c r="BF49" s="43" t="inlineStr">
        <is>
          <t>Samskrutika Kannada</t>
        </is>
      </c>
      <c r="BG49" s="9" t="n">
        <v>44</v>
      </c>
      <c r="BH49" s="9" t="n">
        <v>23</v>
      </c>
      <c r="BI49" s="9" t="n"/>
      <c r="BJ49" s="18">
        <f>(BG49+BH49)</f>
        <v/>
      </c>
      <c r="BK49" s="18" t="n">
        <v>1</v>
      </c>
      <c r="BL49" s="18">
        <f>IF(BH49&lt;=17,"0",IF(BJ49&lt;=39,"0",IF(BJ49&lt;=49,"4",IF(BJ49&lt;=54,"5",IF(BJ49&lt;=59,"6",IF(BJ49&lt;=69,"7",IF(BJ49&lt;=79,"8",IF(BJ49&lt;=89,"9","10"))))))))</f>
        <v/>
      </c>
      <c r="BM49" s="18">
        <f>IF(BH49&lt;=17,"F",IF(BJ49&lt;=39,"F",IF(BJ49&lt;=49,"P",IF(BJ49&lt;=54,"C",IF(BJ49&lt;=59,"B",IF(BJ49&lt;=69,"B+",IF(BJ49&lt;=79,"A",IF(BJ49&lt;=89,"A+","O"))))))))</f>
        <v/>
      </c>
      <c r="BN49" s="18">
        <f>BK49*BL49</f>
        <v/>
      </c>
      <c r="BO49" s="18" t="n"/>
      <c r="BP49" s="9" t="n">
        <v>45</v>
      </c>
      <c r="BQ49" s="9" t="n">
        <v>41</v>
      </c>
      <c r="BR49" s="9" t="n"/>
      <c r="BS49" s="18">
        <f>(BP49+BQ49)</f>
        <v/>
      </c>
      <c r="BT49" s="18" t="n">
        <v>1</v>
      </c>
      <c r="BU49" s="18">
        <f>IF(BQ49&lt;=17,"0",IF(BS49&lt;=39,"0",IF(BS49&lt;=49,"4",IF(BS49&lt;=54,"5",IF(BS49&lt;=59,"6",IF(BS49&lt;=69,"7",IF(BS49&lt;=79,"8",IF(BS49&lt;=89,"9","10"))))))))</f>
        <v/>
      </c>
      <c r="BV49" s="18">
        <f>IF(BQ49&lt;=17,"F",IF(BS49&lt;=39,"F",IF(BS49&lt;=49,"P",IF(BS49&lt;=54,"C",IF(BS49&lt;=59,"B",IF(BS49&lt;=69,"B+",IF(BS49&lt;=79,"A",IF(BS49&lt;=89,"A+","O"))))))))</f>
        <v/>
      </c>
      <c r="BW49" s="18">
        <f>BT49*BU49</f>
        <v/>
      </c>
      <c r="BX49" s="18" t="n"/>
      <c r="BY49" s="18" t="n"/>
      <c r="BZ49" s="18">
        <f>L49+U49+AD49+AM49+AV49+BE49+BN49+BW49</f>
        <v/>
      </c>
      <c r="CA49" s="19">
        <f>BZ49/20</f>
        <v/>
      </c>
      <c r="CB49" s="28">
        <f>IF(CA49&lt;4,"F",IF(BV49="F","F",IF(BM49="F","F",IF(BD49="F","F",IF(AU49="F","F",IF(AL49="F","F",IF(AC49="F","F",IF(T49="F","F",IF(K49="F","F",IF(CA49&lt;=5,"C",IF(CA49&lt;6,"B",IF(CA49&lt;7,"B+",IF(CA49&lt;8,"A",IF(CA49&lt;=9,"A+","O"))))))))))))))</f>
        <v/>
      </c>
      <c r="CC49" s="27">
        <f>CA49*9.5</f>
        <v/>
      </c>
      <c r="CD49" s="27" t="n"/>
      <c r="CE49" s="28">
        <f>SUM(BS49,BJ49,BA49,AR49,AI49,Z49,Q49,H49)</f>
        <v/>
      </c>
      <c r="CF49" s="28">
        <f>(CE49/800)*100</f>
        <v/>
      </c>
      <c r="CG49" s="27" t="n"/>
      <c r="CH49" s="27" t="n"/>
      <c r="CI49" s="27">
        <f>IF(CA49&lt;=4,"F",IF(CA49&lt;=6,"PASS",IF(CA49&lt;=6.5,"SC",IF(CA49&lt;=7.5,"FC",IF(CA49&lt;="10","FCD")))))</f>
        <v/>
      </c>
    </row>
    <row r="50" ht="15.75" customHeight="1">
      <c r="A50" s="35" t="n">
        <v>1</v>
      </c>
      <c r="B50" s="37" t="inlineStr">
        <is>
          <t>1BI22CD001</t>
        </is>
      </c>
      <c r="C50" s="44" t="inlineStr">
        <is>
          <t>ANANYA BATTINENI</t>
        </is>
      </c>
      <c r="D50" s="47" t="inlineStr">
        <is>
          <t>D</t>
        </is>
      </c>
      <c r="E50" s="9" t="n">
        <v>43</v>
      </c>
      <c r="F50" s="9" t="n">
        <v>26</v>
      </c>
      <c r="G50" s="9" t="n"/>
      <c r="H50" s="18">
        <f>SUM(E50:F50)</f>
        <v/>
      </c>
      <c r="I50" s="18" t="n">
        <v>4</v>
      </c>
      <c r="J50" s="18">
        <f>IF(F50&lt;=17,"0",IF(H50&lt;=39,"0",IF(H50&lt;=49,"4",IF(H50&lt;=54,"5",IF(H50&lt;=59,"6",IF(H50&lt;=69,"7",IF(H50&lt;=79,"8",IF(H50&lt;=89,"9","10"))))))))</f>
        <v/>
      </c>
      <c r="K50" s="18">
        <f>IF(F50&lt;=17,"F",IF(H50&lt;=39,"F",IF(H50&lt;=49,"P",IF(H50&lt;=54,"C",IF(H50&lt;=59,"B",IF(H50&lt;=69,"B+",IF(H50&lt;=79,"A",IF(H50&lt;=89,"A+","O"))))))))</f>
        <v/>
      </c>
      <c r="L50" s="18">
        <f>I50*J50</f>
        <v/>
      </c>
      <c r="M50" s="18" t="n"/>
      <c r="N50" s="9" t="n">
        <v>47</v>
      </c>
      <c r="O50" s="9" t="n">
        <v>27</v>
      </c>
      <c r="P50" s="9" t="n"/>
      <c r="Q50" s="18">
        <f>SUM(N50:O50)</f>
        <v/>
      </c>
      <c r="R50" s="18" t="n">
        <v>4</v>
      </c>
      <c r="S50" s="18">
        <f>IF(O50&lt;=17,"0",IF(Q50&lt;=39,"4",IF(Q50&lt;=49,"4",IF(Q50&lt;=54,"5",IF(Q50&lt;=59,"6",IF(Q50&lt;=69,"7",IF(Q50&lt;=79,"8",IF(Q50&lt;=89,"9","10"))))))))</f>
        <v/>
      </c>
      <c r="T50" s="18">
        <f>IF(O50&lt;=17,"F",IF(Q50&lt;=39,"F",IF(Q50&lt;=49,"P",IF(Q50&lt;=54,"C",IF(Q50&lt;=59,"B",IF(Q50&lt;=69,"B+",IF(Q50&lt;=79,"A",IF(Q50&lt;=89,"A+","O"))))))))</f>
        <v/>
      </c>
      <c r="U50" s="18">
        <f>R50*S50</f>
        <v/>
      </c>
      <c r="V50" s="18" t="n"/>
      <c r="W50" s="9" t="n">
        <v>45</v>
      </c>
      <c r="X50" s="9" t="n">
        <v>45</v>
      </c>
      <c r="Y50" s="18" t="n"/>
      <c r="Z50" s="18">
        <f>SUM(W50:X50)</f>
        <v/>
      </c>
      <c r="AA50" s="18" t="n">
        <v>3</v>
      </c>
      <c r="AB50" s="18">
        <f>IF(X50&lt;=17,"0",IF(Z50&lt;=39,"0",IF(Z50&lt;=49,"4",IF(Z50&lt;=54,"5",IF(Z50&lt;=59,"6",IF(Z50&lt;=69,"7",IF(Z50&lt;=79,"8",IF(Z50&lt;=89,"9","10"))))))))</f>
        <v/>
      </c>
      <c r="AC50" s="18">
        <f>IF(X50&lt;=17,"F",IF(Z50&lt;=39,"F",IF(Z50&lt;=49,"P",IF(Z50&lt;=54,"C",IF(Z50&lt;=59,"B",IF(Z50&lt;=69,"B+",IF(Z50&lt;=79,"A",IF(Z50&lt;=89,"A+","O"))))))))</f>
        <v/>
      </c>
      <c r="AD50" s="18">
        <f>AA50*AB50</f>
        <v/>
      </c>
      <c r="AE50" s="18" t="n"/>
      <c r="AF50" s="46" t="n">
        <v>40</v>
      </c>
      <c r="AG50" s="46" t="n">
        <v>32</v>
      </c>
      <c r="AH50" s="9" t="n"/>
      <c r="AI50" s="18">
        <f>SUM(AF50:AG50)</f>
        <v/>
      </c>
      <c r="AJ50" s="18" t="n">
        <v>3</v>
      </c>
      <c r="AK50" s="18">
        <f>IF(AG50&lt;=17,"0",IF(AI50&lt;=39,"0",IF(AI50&lt;=49,"4",IF(AI50&lt;=54,"5",IF(AI50&lt;=59,"6",IF(AI50&lt;=69,"7",IF(AI50&lt;=79,"8",IF(AI50&lt;=89,"9","10"))))))))</f>
        <v/>
      </c>
      <c r="AL50" s="18">
        <f>IF(AG50&lt;=17,"F",IF(AI50&lt;=39,"F",IF(AI50&lt;=49,"P",IF(AI50&lt;=54,"C",IF(AI50&lt;=59,"B",IF(AI50&lt;=69,"B+",IF(AI50&lt;=79,"A",IF(AI50&lt;=89,"A+","O"))))))))</f>
        <v/>
      </c>
      <c r="AM50" s="18">
        <f>AJ50*AK50</f>
        <v/>
      </c>
      <c r="AN50" s="18" t="n"/>
      <c r="AO50" s="46" t="n">
        <v>43</v>
      </c>
      <c r="AP50" s="46" t="n">
        <v>31</v>
      </c>
      <c r="AQ50" s="9" t="n"/>
      <c r="AR50" s="18">
        <f>(AO50+AP50)</f>
        <v/>
      </c>
      <c r="AS50" s="18" t="n">
        <v>3</v>
      </c>
      <c r="AT50" s="18">
        <f>IF(AP50&lt;=17,"0",IF(AR50&lt;=39,"0",IF(AR50&lt;=49,"4",IF(AR50&lt;=54,"5",IF(AR50&lt;=59,"6",IF(AR50&lt;=69,"7",IF(AR50&lt;=79,"8",IF(AR50&lt;=89,"9","10"))))))))</f>
        <v/>
      </c>
      <c r="AU50" s="18">
        <f>IF(AP50&lt;=17,"F",IF(AR50&lt;=39,"F",IF(AR50&lt;=49,"P",IF(AR50&lt;=54,"C",IF(AR50&lt;=59,"B",IF(AR50&lt;=69,"B+",IF(AR50&lt;=79,"A",IF(AR50&lt;=89,"A+","O"))))))))</f>
        <v/>
      </c>
      <c r="AV50" s="18">
        <f>AS50*AT50</f>
        <v/>
      </c>
      <c r="AW50" s="18" t="n"/>
      <c r="AX50" s="9" t="n">
        <v>46</v>
      </c>
      <c r="AY50" s="9" t="n">
        <v>30</v>
      </c>
      <c r="AZ50" s="9" t="n"/>
      <c r="BA50" s="18">
        <f>(AX50+AY50)</f>
        <v/>
      </c>
      <c r="BB50" s="18" t="n">
        <v>1</v>
      </c>
      <c r="BC50" s="18">
        <f>IF(AY50&lt;=17,"0",IF(BA50&lt;=39,"0",IF(BA50&lt;=49,"4",IF(BA50&lt;=54,"5",IF(BA50&lt;=59,"6",IF(BA50&lt;=69,"7",IF(BA50&lt;=79,"8",IF(BA50&lt;=89,"9","10"))))))))</f>
        <v/>
      </c>
      <c r="BD50" s="18">
        <f>IF(AY50&lt;=17,"F",IF(BA50&lt;=39,"F",IF(BA50&lt;=49,"P",IF(BA50&lt;=54,"C",IF(BA50&lt;=59,"B",IF(BA50&lt;=69,"B+",IF(BA50&lt;=79,"A",IF(BA50&lt;=89,"A+","O"))))))))</f>
        <v/>
      </c>
      <c r="BE50" s="18">
        <f>BB50*BC50</f>
        <v/>
      </c>
      <c r="BF50" s="43" t="inlineStr">
        <is>
          <t>Balake Kannada</t>
        </is>
      </c>
      <c r="BG50" s="9" t="n">
        <v>49</v>
      </c>
      <c r="BH50" s="9" t="n">
        <v>49</v>
      </c>
      <c r="BI50" s="9" t="n"/>
      <c r="BJ50" s="18">
        <f>(BG50+BH50)</f>
        <v/>
      </c>
      <c r="BK50" s="18" t="n">
        <v>1</v>
      </c>
      <c r="BL50" s="18">
        <f>IF(BH50&lt;=17,"0",IF(BJ50&lt;=39,"0",IF(BJ50&lt;=49,"4",IF(BJ50&lt;=54,"5",IF(BJ50&lt;=59,"6",IF(BJ50&lt;=69,"7",IF(BJ50&lt;=79,"8",IF(BJ50&lt;=89,"9","10"))))))))</f>
        <v/>
      </c>
      <c r="BM50" s="18">
        <f>IF(BH50&lt;=17,"F",IF(BJ50&lt;=39,"F",IF(BJ50&lt;=49,"P",IF(BJ50&lt;=54,"C",IF(BJ50&lt;=59,"B",IF(BJ50&lt;=69,"B+",IF(BJ50&lt;=79,"A",IF(BJ50&lt;=89,"A+","O"))))))))</f>
        <v/>
      </c>
      <c r="BN50" s="18">
        <f>BK50*BL50</f>
        <v/>
      </c>
      <c r="BO50" s="18" t="n"/>
      <c r="BP50" s="9" t="n">
        <v>46</v>
      </c>
      <c r="BQ50" s="9" t="n">
        <v>40</v>
      </c>
      <c r="BR50" s="9" t="n"/>
      <c r="BS50" s="18">
        <f>(BP50+BQ50)</f>
        <v/>
      </c>
      <c r="BT50" s="18" t="n">
        <v>1</v>
      </c>
      <c r="BU50" s="18">
        <f>IF(BQ50&lt;=17,"0",IF(BS50&lt;=39,"0",IF(BS50&lt;=49,"4",IF(BS50&lt;=54,"5",IF(BS50&lt;=59,"6",IF(BS50&lt;=69,"7",IF(BS50&lt;=79,"8",IF(BS50&lt;=89,"9","10"))))))))</f>
        <v/>
      </c>
      <c r="BV50" s="18">
        <f>IF(BQ50&lt;=17,"F",IF(BS50&lt;=39,"F",IF(BS50&lt;=49,"P",IF(BS50&lt;=54,"C",IF(BS50&lt;=59,"B",IF(BS50&lt;=69,"B+",IF(BS50&lt;=79,"A",IF(BS50&lt;=89,"A+","O"))))))))</f>
        <v/>
      </c>
      <c r="BW50" s="18">
        <f>BT50*BU50</f>
        <v/>
      </c>
      <c r="BX50" s="18" t="n"/>
      <c r="BY50" s="18" t="n"/>
      <c r="BZ50" s="18">
        <f>L50+U50+AD50+AM50+AV50+BE50+BN50+BW50</f>
        <v/>
      </c>
      <c r="CA50" s="19">
        <f>BZ50/20</f>
        <v/>
      </c>
      <c r="CB50" s="28">
        <f>IF(CA50&lt;4,"F",IF(BV50="F","F",IF(BM50="F","F",IF(BD50="F","F",IF(AU50="F","F",IF(AL50="F","F",IF(AC50="F","F",IF(T50="F","F",IF(K50="F","F",IF(CA50&lt;=5,"C",IF(CA50&lt;6,"B",IF(CA50&lt;7,"B+",IF(CA50&lt;8,"A",IF(CA50&lt;=9,"A+","O"))))))))))))))</f>
        <v/>
      </c>
      <c r="CC50" s="27">
        <f>CA50*9.5</f>
        <v/>
      </c>
      <c r="CD50" s="27" t="n"/>
      <c r="CE50" s="28">
        <f>SUM(BS50,BJ50,BA50,AR50,AI50,Z50,Q50,H50)</f>
        <v/>
      </c>
      <c r="CF50" s="28">
        <f>(CE50/800)*100</f>
        <v/>
      </c>
      <c r="CG50" s="27" t="n"/>
      <c r="CH50" s="27" t="n"/>
      <c r="CI50" s="27">
        <f>IF(CA50&lt;=4,"F",IF(CA50&lt;=6,"PASS",IF(CA50&lt;=6.5,"SC",IF(CA50&lt;=7.5,"FC",IF(CA50&lt;="10","FCD")))))</f>
        <v/>
      </c>
    </row>
    <row r="51" ht="15.75" customHeight="1">
      <c r="A51" s="35">
        <f>A50+1</f>
        <v/>
      </c>
      <c r="B51" s="37" t="inlineStr">
        <is>
          <t>1BI22CD030</t>
        </is>
      </c>
      <c r="C51" s="44" t="inlineStr">
        <is>
          <t>PAVAN D</t>
        </is>
      </c>
      <c r="D51" s="47" t="inlineStr">
        <is>
          <t>D</t>
        </is>
      </c>
      <c r="E51" s="9" t="n">
        <v>43</v>
      </c>
      <c r="F51" s="9" t="n">
        <v>34</v>
      </c>
      <c r="G51" s="9" t="n"/>
      <c r="H51" s="18">
        <f>SUM(E51:F51)</f>
        <v/>
      </c>
      <c r="I51" s="18" t="n">
        <v>4</v>
      </c>
      <c r="J51" s="18">
        <f>IF(F51&lt;=17,"0",IF(H51&lt;=39,"0",IF(H51&lt;=49,"4",IF(H51&lt;=54,"5",IF(H51&lt;=59,"6",IF(H51&lt;=69,"7",IF(H51&lt;=79,"8",IF(H51&lt;=89,"9","10"))))))))</f>
        <v/>
      </c>
      <c r="K51" s="18">
        <f>IF(F51&lt;=17,"F",IF(H51&lt;=39,"F",IF(H51&lt;=49,"P",IF(H51&lt;=54,"C",IF(H51&lt;=59,"B",IF(H51&lt;=69,"B+",IF(H51&lt;=79,"A",IF(H51&lt;=89,"A+","O"))))))))</f>
        <v/>
      </c>
      <c r="L51" s="18">
        <f>I51*J51</f>
        <v/>
      </c>
      <c r="M51" s="18" t="n"/>
      <c r="N51" s="9" t="n">
        <v>43</v>
      </c>
      <c r="O51" s="9" t="n">
        <v>35</v>
      </c>
      <c r="P51" s="9" t="n"/>
      <c r="Q51" s="18">
        <f>SUM(N51:O51)</f>
        <v/>
      </c>
      <c r="R51" s="18" t="n">
        <v>4</v>
      </c>
      <c r="S51" s="18">
        <f>IF(O51&lt;=17,"0",IF(Q51&lt;=39,"4",IF(Q51&lt;=49,"4",IF(Q51&lt;=54,"5",IF(Q51&lt;=59,"6",IF(Q51&lt;=69,"7",IF(Q51&lt;=79,"8",IF(Q51&lt;=89,"9","10"))))))))</f>
        <v/>
      </c>
      <c r="T51" s="18">
        <f>IF(O51&lt;=17,"F",IF(Q51&lt;=39,"F",IF(Q51&lt;=49,"P",IF(Q51&lt;=54,"C",IF(Q51&lt;=59,"B",IF(Q51&lt;=69,"B+",IF(Q51&lt;=79,"A",IF(Q51&lt;=89,"A+","O"))))))))</f>
        <v/>
      </c>
      <c r="U51" s="18">
        <f>R51*S51</f>
        <v/>
      </c>
      <c r="V51" s="18" t="n"/>
      <c r="W51" s="9" t="n">
        <v>48</v>
      </c>
      <c r="X51" s="9" t="n">
        <v>40</v>
      </c>
      <c r="Y51" s="18" t="n"/>
      <c r="Z51" s="18">
        <f>SUM(W51:X51)</f>
        <v/>
      </c>
      <c r="AA51" s="18" t="n">
        <v>3</v>
      </c>
      <c r="AB51" s="18">
        <f>IF(X51&lt;=17,"0",IF(Z51&lt;=39,"0",IF(Z51&lt;=49,"4",IF(Z51&lt;=54,"5",IF(Z51&lt;=59,"6",IF(Z51&lt;=69,"7",IF(Z51&lt;=79,"8",IF(Z51&lt;=89,"9","10"))))))))</f>
        <v/>
      </c>
      <c r="AC51" s="18">
        <f>IF(X51&lt;=17,"F",IF(Z51&lt;=39,"F",IF(Z51&lt;=49,"P",IF(Z51&lt;=54,"C",IF(Z51&lt;=59,"B",IF(Z51&lt;=69,"B+",IF(Z51&lt;=79,"A",IF(Z51&lt;=89,"A+","O"))))))))</f>
        <v/>
      </c>
      <c r="AD51" s="18">
        <f>AA51*AB51</f>
        <v/>
      </c>
      <c r="AE51" s="18" t="n"/>
      <c r="AF51" s="46" t="n">
        <v>41</v>
      </c>
      <c r="AG51" s="46" t="n">
        <v>36</v>
      </c>
      <c r="AH51" s="9" t="n"/>
      <c r="AI51" s="18">
        <f>SUM(AF51:AG51)</f>
        <v/>
      </c>
      <c r="AJ51" s="18" t="n">
        <v>3</v>
      </c>
      <c r="AK51" s="18">
        <f>IF(AG51&lt;=17,"0",IF(AI51&lt;=39,"0",IF(AI51&lt;=49,"4",IF(AI51&lt;=54,"5",IF(AI51&lt;=59,"6",IF(AI51&lt;=69,"7",IF(AI51&lt;=79,"8",IF(AI51&lt;=89,"9","10"))))))))</f>
        <v/>
      </c>
      <c r="AL51" s="18">
        <f>IF(AG51&lt;=17,"F",IF(AI51&lt;=39,"F",IF(AI51&lt;=49,"P",IF(AI51&lt;=54,"C",IF(AI51&lt;=59,"B",IF(AI51&lt;=69,"B+",IF(AI51&lt;=79,"A",IF(AI51&lt;=89,"A+","O"))))))))</f>
        <v/>
      </c>
      <c r="AM51" s="18">
        <f>AJ51*AK51</f>
        <v/>
      </c>
      <c r="AN51" s="18" t="n"/>
      <c r="AO51" s="46" t="n">
        <v>45</v>
      </c>
      <c r="AP51" s="46" t="n">
        <v>26</v>
      </c>
      <c r="AQ51" s="9" t="n"/>
      <c r="AR51" s="18">
        <f>(AO51+AP51)</f>
        <v/>
      </c>
      <c r="AS51" s="18" t="n">
        <v>3</v>
      </c>
      <c r="AT51" s="18">
        <f>IF(AP51&lt;=17,"0",IF(AR51&lt;=39,"0",IF(AR51&lt;=49,"4",IF(AR51&lt;=54,"5",IF(AR51&lt;=59,"6",IF(AR51&lt;=69,"7",IF(AR51&lt;=79,"8",IF(AR51&lt;=89,"9","10"))))))))</f>
        <v/>
      </c>
      <c r="AU51" s="18">
        <f>IF(AP51&lt;=17,"F",IF(AR51&lt;=39,"F",IF(AR51&lt;=49,"P",IF(AR51&lt;=54,"C",IF(AR51&lt;=59,"B",IF(AR51&lt;=69,"B+",IF(AR51&lt;=79,"A",IF(AR51&lt;=89,"A+","O"))))))))</f>
        <v/>
      </c>
      <c r="AV51" s="18">
        <f>AS51*AT51</f>
        <v/>
      </c>
      <c r="AW51" s="18" t="n"/>
      <c r="AX51" s="9" t="n">
        <v>46</v>
      </c>
      <c r="AY51" s="9" t="n">
        <v>25</v>
      </c>
      <c r="AZ51" s="9" t="n"/>
      <c r="BA51" s="18">
        <f>(AX51+AY51)</f>
        <v/>
      </c>
      <c r="BB51" s="18" t="n">
        <v>1</v>
      </c>
      <c r="BC51" s="18">
        <f>IF(AY51&lt;=17,"0",IF(BA51&lt;=39,"0",IF(BA51&lt;=49,"4",IF(BA51&lt;=54,"5",IF(BA51&lt;=59,"6",IF(BA51&lt;=69,"7",IF(BA51&lt;=79,"8",IF(BA51&lt;=89,"9","10"))))))))</f>
        <v/>
      </c>
      <c r="BD51" s="18">
        <f>IF(AY51&lt;=17,"F",IF(BA51&lt;=39,"F",IF(BA51&lt;=49,"P",IF(BA51&lt;=54,"C",IF(BA51&lt;=59,"B",IF(BA51&lt;=69,"B+",IF(BA51&lt;=79,"A",IF(BA51&lt;=89,"A+","O"))))))))</f>
        <v/>
      </c>
      <c r="BE51" s="18">
        <f>BB51*BC51</f>
        <v/>
      </c>
      <c r="BF51" s="43" t="inlineStr">
        <is>
          <t>Samskrutika Kannada</t>
        </is>
      </c>
      <c r="BG51" s="9" t="n">
        <v>46</v>
      </c>
      <c r="BH51" s="9" t="n">
        <v>42</v>
      </c>
      <c r="BI51" s="9" t="n"/>
      <c r="BJ51" s="18">
        <f>(BG51+BH51)</f>
        <v/>
      </c>
      <c r="BK51" s="18" t="n">
        <v>1</v>
      </c>
      <c r="BL51" s="18">
        <f>IF(BH51&lt;=17,"0",IF(BJ51&lt;=39,"0",IF(BJ51&lt;=49,"4",IF(BJ51&lt;=54,"5",IF(BJ51&lt;=59,"6",IF(BJ51&lt;=69,"7",IF(BJ51&lt;=79,"8",IF(BJ51&lt;=89,"9","10"))))))))</f>
        <v/>
      </c>
      <c r="BM51" s="18">
        <f>IF(BH51&lt;=17,"F",IF(BJ51&lt;=39,"F",IF(BJ51&lt;=49,"P",IF(BJ51&lt;=54,"C",IF(BJ51&lt;=59,"B",IF(BJ51&lt;=69,"B+",IF(BJ51&lt;=79,"A",IF(BJ51&lt;=89,"A+","O"))))))))</f>
        <v/>
      </c>
      <c r="BN51" s="18">
        <f>BK51*BL51</f>
        <v/>
      </c>
      <c r="BO51" s="18" t="n"/>
      <c r="BP51" s="9" t="n">
        <v>46</v>
      </c>
      <c r="BQ51" s="9" t="n">
        <v>38</v>
      </c>
      <c r="BR51" s="9" t="n"/>
      <c r="BS51" s="18">
        <f>(BP51+BQ51)</f>
        <v/>
      </c>
      <c r="BT51" s="18" t="n">
        <v>1</v>
      </c>
      <c r="BU51" s="18">
        <f>IF(BQ51&lt;=17,"0",IF(BS51&lt;=39,"0",IF(BS51&lt;=49,"4",IF(BS51&lt;=54,"5",IF(BS51&lt;=59,"6",IF(BS51&lt;=69,"7",IF(BS51&lt;=79,"8",IF(BS51&lt;=89,"9","10"))))))))</f>
        <v/>
      </c>
      <c r="BV51" s="18">
        <f>IF(BQ51&lt;=17,"F",IF(BS51&lt;=39,"F",IF(BS51&lt;=49,"P",IF(BS51&lt;=54,"C",IF(BS51&lt;=59,"B",IF(BS51&lt;=69,"B+",IF(BS51&lt;=79,"A",IF(BS51&lt;=89,"A+","O"))))))))</f>
        <v/>
      </c>
      <c r="BW51" s="18">
        <f>BT51*BU51</f>
        <v/>
      </c>
      <c r="BX51" s="18" t="n"/>
      <c r="BY51" s="18" t="n"/>
      <c r="BZ51" s="18">
        <f>L51+U51+AD51+AM51+AV51+BE51+BN51+BW51</f>
        <v/>
      </c>
      <c r="CA51" s="19">
        <f>BZ51/20</f>
        <v/>
      </c>
      <c r="CB51" s="28">
        <f>IF(CA51&lt;4,"F",IF(BV51="F","F",IF(BM51="F","F",IF(BD51="F","F",IF(AU51="F","F",IF(AL51="F","F",IF(AC51="F","F",IF(T51="F","F",IF(K51="F","F",IF(CA51&lt;=5,"C",IF(CA51&lt;6,"B",IF(CA51&lt;7,"B+",IF(CA51&lt;8,"A",IF(CA51&lt;=9,"A+","O"))))))))))))))</f>
        <v/>
      </c>
      <c r="CC51" s="27">
        <f>CA51*9.5</f>
        <v/>
      </c>
      <c r="CD51" s="27" t="n"/>
      <c r="CE51" s="28">
        <f>SUM(BS51,BJ51,BA51,AR51,AI51,Z51,Q51,H51)</f>
        <v/>
      </c>
      <c r="CF51" s="28">
        <f>(CE51/800)*100</f>
        <v/>
      </c>
      <c r="CG51" s="27" t="n"/>
      <c r="CH51" s="27" t="n"/>
      <c r="CI51" s="27">
        <f>IF(CA51&lt;=4,"F",IF(CA51&lt;=6,"PASS",IF(CA51&lt;=6.5,"SC",IF(CA51&lt;=7.5,"FC",IF(CA51&lt;="10","FCD")))))</f>
        <v/>
      </c>
    </row>
    <row r="52" ht="15.75" customHeight="1">
      <c r="A52" s="35">
        <f>A51+1</f>
        <v/>
      </c>
      <c r="B52" s="37" t="inlineStr">
        <is>
          <t>1BI22CD017</t>
        </is>
      </c>
      <c r="C52" s="44" t="inlineStr">
        <is>
          <t>JEEVAN K</t>
        </is>
      </c>
      <c r="D52" s="47" t="inlineStr">
        <is>
          <t>D</t>
        </is>
      </c>
      <c r="E52" s="9" t="n">
        <v>46</v>
      </c>
      <c r="F52" s="9" t="n">
        <v>31</v>
      </c>
      <c r="G52" s="9" t="n"/>
      <c r="H52" s="18">
        <f>SUM(E52:F52)</f>
        <v/>
      </c>
      <c r="I52" s="18" t="n">
        <v>4</v>
      </c>
      <c r="J52" s="18">
        <f>IF(F52&lt;=17,"0",IF(H52&lt;=39,"0",IF(H52&lt;=49,"4",IF(H52&lt;=54,"5",IF(H52&lt;=59,"6",IF(H52&lt;=69,"7",IF(H52&lt;=79,"8",IF(H52&lt;=89,"9","10"))))))))</f>
        <v/>
      </c>
      <c r="K52" s="18">
        <f>IF(F52&lt;=17,"F",IF(H52&lt;=39,"F",IF(H52&lt;=49,"P",IF(H52&lt;=54,"C",IF(H52&lt;=59,"B",IF(H52&lt;=69,"B+",IF(H52&lt;=79,"A",IF(H52&lt;=89,"A+","O"))))))))</f>
        <v/>
      </c>
      <c r="L52" s="18">
        <f>I52*J52</f>
        <v/>
      </c>
      <c r="M52" s="18" t="n"/>
      <c r="N52" s="9" t="n">
        <v>42</v>
      </c>
      <c r="O52" s="9" t="n">
        <v>22</v>
      </c>
      <c r="P52" s="9" t="n"/>
      <c r="Q52" s="18">
        <f>SUM(N52:O52)</f>
        <v/>
      </c>
      <c r="R52" s="18" t="n">
        <v>4</v>
      </c>
      <c r="S52" s="18">
        <f>IF(O52&lt;=17,"0",IF(Q52&lt;=39,"4",IF(Q52&lt;=49,"4",IF(Q52&lt;=54,"5",IF(Q52&lt;=59,"6",IF(Q52&lt;=69,"7",IF(Q52&lt;=79,"8",IF(Q52&lt;=89,"9","10"))))))))</f>
        <v/>
      </c>
      <c r="T52" s="18">
        <f>IF(O52&lt;=17,"F",IF(Q52&lt;=39,"F",IF(Q52&lt;=49,"P",IF(Q52&lt;=54,"C",IF(Q52&lt;=59,"B",IF(Q52&lt;=69,"B+",IF(Q52&lt;=79,"A",IF(Q52&lt;=89,"A+","O"))))))))</f>
        <v/>
      </c>
      <c r="U52" s="18">
        <f>R52*S52</f>
        <v/>
      </c>
      <c r="V52" s="18" t="n"/>
      <c r="W52" s="9" t="n">
        <v>50</v>
      </c>
      <c r="X52" s="9" t="n">
        <v>48</v>
      </c>
      <c r="Y52" s="18" t="n"/>
      <c r="Z52" s="18">
        <f>SUM(W52:X52)</f>
        <v/>
      </c>
      <c r="AA52" s="18" t="n">
        <v>3</v>
      </c>
      <c r="AB52" s="18">
        <f>IF(X52&lt;=17,"0",IF(Z52&lt;=39,"0",IF(Z52&lt;=49,"4",IF(Z52&lt;=54,"5",IF(Z52&lt;=59,"6",IF(Z52&lt;=69,"7",IF(Z52&lt;=79,"8",IF(Z52&lt;=89,"9","10"))))))))</f>
        <v/>
      </c>
      <c r="AC52" s="18">
        <f>IF(X52&lt;=17,"F",IF(Z52&lt;=39,"F",IF(Z52&lt;=49,"P",IF(Z52&lt;=54,"C",IF(Z52&lt;=59,"B",IF(Z52&lt;=69,"B+",IF(Z52&lt;=79,"A",IF(Z52&lt;=89,"A+","O"))))))))</f>
        <v/>
      </c>
      <c r="AD52" s="18">
        <f>AA52*AB52</f>
        <v/>
      </c>
      <c r="AE52" s="18" t="n"/>
      <c r="AF52" s="46" t="n">
        <v>43</v>
      </c>
      <c r="AG52" s="46" t="n">
        <v>36</v>
      </c>
      <c r="AH52" s="9" t="n"/>
      <c r="AI52" s="18">
        <f>SUM(AF52:AG52)</f>
        <v/>
      </c>
      <c r="AJ52" s="18" t="n">
        <v>3</v>
      </c>
      <c r="AK52" s="18">
        <f>IF(AG52&lt;=17,"0",IF(AI52&lt;=39,"0",IF(AI52&lt;=49,"4",IF(AI52&lt;=54,"5",IF(AI52&lt;=59,"6",IF(AI52&lt;=69,"7",IF(AI52&lt;=79,"8",IF(AI52&lt;=89,"9","10"))))))))</f>
        <v/>
      </c>
      <c r="AL52" s="18">
        <f>IF(AG52&lt;=17,"F",IF(AI52&lt;=39,"F",IF(AI52&lt;=49,"P",IF(AI52&lt;=54,"C",IF(AI52&lt;=59,"B",IF(AI52&lt;=69,"B+",IF(AI52&lt;=79,"A",IF(AI52&lt;=89,"A+","O"))))))))</f>
        <v/>
      </c>
      <c r="AM52" s="18">
        <f>AJ52*AK52</f>
        <v/>
      </c>
      <c r="AN52" s="18" t="n"/>
      <c r="AO52" s="46" t="n">
        <v>49</v>
      </c>
      <c r="AP52" s="46" t="n">
        <v>22</v>
      </c>
      <c r="AQ52" s="9" t="n"/>
      <c r="AR52" s="18">
        <f>(AO52+AP52)</f>
        <v/>
      </c>
      <c r="AS52" s="18" t="n">
        <v>3</v>
      </c>
      <c r="AT52" s="18">
        <f>IF(AP52&lt;=17,"0",IF(AR52&lt;=39,"0",IF(AR52&lt;=49,"4",IF(AR52&lt;=54,"5",IF(AR52&lt;=59,"6",IF(AR52&lt;=69,"7",IF(AR52&lt;=79,"8",IF(AR52&lt;=89,"9","10"))))))))</f>
        <v/>
      </c>
      <c r="AU52" s="18">
        <f>IF(AP52&lt;=17,"F",IF(AR52&lt;=39,"F",IF(AR52&lt;=49,"P",IF(AR52&lt;=54,"C",IF(AR52&lt;=59,"B",IF(AR52&lt;=69,"B+",IF(AR52&lt;=79,"A",IF(AR52&lt;=89,"A+","O"))))))))</f>
        <v/>
      </c>
      <c r="AV52" s="18">
        <f>AS52*AT52</f>
        <v/>
      </c>
      <c r="AW52" s="18" t="n"/>
      <c r="AX52" s="9" t="n">
        <v>46</v>
      </c>
      <c r="AY52" s="9" t="n">
        <v>36</v>
      </c>
      <c r="AZ52" s="9" t="n"/>
      <c r="BA52" s="18">
        <f>(AX52+AY52)</f>
        <v/>
      </c>
      <c r="BB52" s="18" t="n">
        <v>1</v>
      </c>
      <c r="BC52" s="18">
        <f>IF(AY52&lt;=17,"0",IF(BA52&lt;=39,"0",IF(BA52&lt;=49,"4",IF(BA52&lt;=54,"5",IF(BA52&lt;=59,"6",IF(BA52&lt;=69,"7",IF(BA52&lt;=79,"8",IF(BA52&lt;=89,"9","10"))))))))</f>
        <v/>
      </c>
      <c r="BD52" s="18">
        <f>IF(AY52&lt;=17,"F",IF(BA52&lt;=39,"F",IF(BA52&lt;=49,"P",IF(BA52&lt;=54,"C",IF(BA52&lt;=59,"B",IF(BA52&lt;=69,"B+",IF(BA52&lt;=79,"A",IF(BA52&lt;=89,"A+","O"))))))))</f>
        <v/>
      </c>
      <c r="BE52" s="18">
        <f>BB52*BC52</f>
        <v/>
      </c>
      <c r="BF52" s="43" t="inlineStr">
        <is>
          <t>Samskrutika Kannada</t>
        </is>
      </c>
      <c r="BG52" s="9" t="n">
        <v>46</v>
      </c>
      <c r="BH52" s="9" t="n">
        <v>35</v>
      </c>
      <c r="BI52" s="9" t="n"/>
      <c r="BJ52" s="18">
        <f>(BG52+BH52)</f>
        <v/>
      </c>
      <c r="BK52" s="18" t="n">
        <v>1</v>
      </c>
      <c r="BL52" s="18">
        <f>IF(BH52&lt;=17,"0",IF(BJ52&lt;=39,"0",IF(BJ52&lt;=49,"4",IF(BJ52&lt;=54,"5",IF(BJ52&lt;=59,"6",IF(BJ52&lt;=69,"7",IF(BJ52&lt;=79,"8",IF(BJ52&lt;=89,"9","10"))))))))</f>
        <v/>
      </c>
      <c r="BM52" s="18">
        <f>IF(BH52&lt;=17,"F",IF(BJ52&lt;=39,"F",IF(BJ52&lt;=49,"P",IF(BJ52&lt;=54,"C",IF(BJ52&lt;=59,"B",IF(BJ52&lt;=69,"B+",IF(BJ52&lt;=79,"A",IF(BJ52&lt;=89,"A+","O"))))))))</f>
        <v/>
      </c>
      <c r="BN52" s="18">
        <f>BK52*BL52</f>
        <v/>
      </c>
      <c r="BO52" s="18" t="n"/>
      <c r="BP52" s="9" t="n">
        <v>44</v>
      </c>
      <c r="BQ52" s="9" t="n">
        <v>36</v>
      </c>
      <c r="BR52" s="9" t="n"/>
      <c r="BS52" s="18">
        <f>(BP52+BQ52)</f>
        <v/>
      </c>
      <c r="BT52" s="18" t="n">
        <v>1</v>
      </c>
      <c r="BU52" s="18">
        <f>IF(BQ52&lt;=17,"0",IF(BS52&lt;=39,"0",IF(BS52&lt;=49,"4",IF(BS52&lt;=54,"5",IF(BS52&lt;=59,"6",IF(BS52&lt;=69,"7",IF(BS52&lt;=79,"8",IF(BS52&lt;=89,"9","10"))))))))</f>
        <v/>
      </c>
      <c r="BV52" s="18">
        <f>IF(BQ52&lt;=17,"F",IF(BS52&lt;=39,"F",IF(BS52&lt;=49,"P",IF(BS52&lt;=54,"C",IF(BS52&lt;=59,"B",IF(BS52&lt;=69,"B+",IF(BS52&lt;=79,"A",IF(BS52&lt;=89,"A+","O"))))))))</f>
        <v/>
      </c>
      <c r="BW52" s="18">
        <f>BT52*BU52</f>
        <v/>
      </c>
      <c r="BX52" s="18" t="n"/>
      <c r="BY52" s="18" t="n"/>
      <c r="BZ52" s="18">
        <f>L52+U52+AD52+AM52+AV52+BE52+BN52+BW52</f>
        <v/>
      </c>
      <c r="CA52" s="19">
        <f>BZ52/20</f>
        <v/>
      </c>
      <c r="CB52" s="28">
        <f>IF(CA52&lt;4,"F",IF(BV52="F","F",IF(BM52="F","F",IF(BD52="F","F",IF(AU52="F","F",IF(AL52="F","F",IF(AC52="F","F",IF(T52="F","F",IF(K52="F","F",IF(CA52&lt;=5,"C",IF(CA52&lt;6,"B",IF(CA52&lt;7,"B+",IF(CA52&lt;8,"A",IF(CA52&lt;=9,"A+","O"))))))))))))))</f>
        <v/>
      </c>
      <c r="CC52" s="27">
        <f>CA52*9.5</f>
        <v/>
      </c>
      <c r="CD52" s="27" t="n"/>
      <c r="CE52" s="28">
        <f>SUM(BS52,BJ52,BA52,AR52,AI52,Z52,Q52,H52)</f>
        <v/>
      </c>
      <c r="CF52" s="28">
        <f>(CE52/800)*100</f>
        <v/>
      </c>
      <c r="CG52" s="27" t="n"/>
      <c r="CH52" s="27" t="n"/>
      <c r="CI52" s="27">
        <f>IF(CA52&lt;=4,"F",IF(CA52&lt;=6,"PASS",IF(CA52&lt;=6.5,"SC",IF(CA52&lt;=7.5,"FC",IF(CA52&lt;="10","FCD")))))</f>
        <v/>
      </c>
    </row>
    <row r="53" ht="15.75" customHeight="1">
      <c r="A53" s="35">
        <f>A52+1</f>
        <v/>
      </c>
      <c r="B53" s="37" t="inlineStr">
        <is>
          <t>1BI22CD026</t>
        </is>
      </c>
      <c r="C53" s="44" t="inlineStr">
        <is>
          <t>MOHAMMED AMAAN</t>
        </is>
      </c>
      <c r="D53" s="47" t="inlineStr">
        <is>
          <t>D</t>
        </is>
      </c>
      <c r="E53" s="9" t="n">
        <v>44</v>
      </c>
      <c r="F53" s="9" t="n">
        <v>37</v>
      </c>
      <c r="G53" s="9" t="n"/>
      <c r="H53" s="18">
        <f>SUM(E53:F53)</f>
        <v/>
      </c>
      <c r="I53" s="18" t="n">
        <v>4</v>
      </c>
      <c r="J53" s="18">
        <f>IF(F53&lt;=17,"0",IF(H53&lt;=39,"0",IF(H53&lt;=49,"4",IF(H53&lt;=54,"5",IF(H53&lt;=59,"6",IF(H53&lt;=69,"7",IF(H53&lt;=79,"8",IF(H53&lt;=89,"9","10"))))))))</f>
        <v/>
      </c>
      <c r="K53" s="18">
        <f>IF(F53&lt;=17,"F",IF(H53&lt;=39,"F",IF(H53&lt;=49,"P",IF(H53&lt;=54,"C",IF(H53&lt;=59,"B",IF(H53&lt;=69,"B+",IF(H53&lt;=79,"A",IF(H53&lt;=89,"A+","O"))))))))</f>
        <v/>
      </c>
      <c r="L53" s="18">
        <f>I53*J53</f>
        <v/>
      </c>
      <c r="M53" s="18" t="n"/>
      <c r="N53" s="9" t="n">
        <v>44</v>
      </c>
      <c r="O53" s="9" t="n">
        <v>34</v>
      </c>
      <c r="P53" s="9" t="n"/>
      <c r="Q53" s="18">
        <f>SUM(N53:O53)</f>
        <v/>
      </c>
      <c r="R53" s="18" t="n">
        <v>4</v>
      </c>
      <c r="S53" s="18">
        <f>IF(O53&lt;=17,"0",IF(Q53&lt;=39,"4",IF(Q53&lt;=49,"4",IF(Q53&lt;=54,"5",IF(Q53&lt;=59,"6",IF(Q53&lt;=69,"7",IF(Q53&lt;=79,"8",IF(Q53&lt;=89,"9","10"))))))))</f>
        <v/>
      </c>
      <c r="T53" s="18">
        <f>IF(O53&lt;=17,"F",IF(Q53&lt;=39,"F",IF(Q53&lt;=49,"P",IF(Q53&lt;=54,"C",IF(Q53&lt;=59,"B",IF(Q53&lt;=69,"B+",IF(Q53&lt;=79,"A",IF(Q53&lt;=89,"A+","O"))))))))</f>
        <v/>
      </c>
      <c r="U53" s="18">
        <f>R53*S53</f>
        <v/>
      </c>
      <c r="V53" s="18" t="n"/>
      <c r="W53" s="9" t="n">
        <v>45</v>
      </c>
      <c r="X53" s="9" t="n">
        <v>44</v>
      </c>
      <c r="Y53" s="18" t="n"/>
      <c r="Z53" s="18">
        <f>SUM(W53:X53)</f>
        <v/>
      </c>
      <c r="AA53" s="18" t="n">
        <v>3</v>
      </c>
      <c r="AB53" s="18">
        <f>IF(X53&lt;=17,"0",IF(Z53&lt;=39,"0",IF(Z53&lt;=49,"4",IF(Z53&lt;=54,"5",IF(Z53&lt;=59,"6",IF(Z53&lt;=69,"7",IF(Z53&lt;=79,"8",IF(Z53&lt;=89,"9","10"))))))))</f>
        <v/>
      </c>
      <c r="AC53" s="18">
        <f>IF(X53&lt;=17,"F",IF(Z53&lt;=39,"F",IF(Z53&lt;=49,"P",IF(Z53&lt;=54,"C",IF(Z53&lt;=59,"B",IF(Z53&lt;=69,"B+",IF(Z53&lt;=79,"A",IF(Z53&lt;=89,"A+","O"))))))))</f>
        <v/>
      </c>
      <c r="AD53" s="18">
        <f>AA53*AB53</f>
        <v/>
      </c>
      <c r="AE53" s="18" t="n"/>
      <c r="AF53" s="46" t="n">
        <v>40</v>
      </c>
      <c r="AG53" s="46" t="n">
        <v>33</v>
      </c>
      <c r="AH53" s="9" t="n"/>
      <c r="AI53" s="18">
        <f>SUM(AF53:AG53)</f>
        <v/>
      </c>
      <c r="AJ53" s="18" t="n">
        <v>3</v>
      </c>
      <c r="AK53" s="18">
        <f>IF(AG53&lt;=17,"0",IF(AI53&lt;=39,"0",IF(AI53&lt;=49,"4",IF(AI53&lt;=54,"5",IF(AI53&lt;=59,"6",IF(AI53&lt;=69,"7",IF(AI53&lt;=79,"8",IF(AI53&lt;=89,"9","10"))))))))</f>
        <v/>
      </c>
      <c r="AL53" s="18">
        <f>IF(AG53&lt;=17,"F",IF(AI53&lt;=39,"F",IF(AI53&lt;=49,"P",IF(AI53&lt;=54,"C",IF(AI53&lt;=59,"B",IF(AI53&lt;=69,"B+",IF(AI53&lt;=79,"A",IF(AI53&lt;=89,"A+","O"))))))))</f>
        <v/>
      </c>
      <c r="AM53" s="18">
        <f>AJ53*AK53</f>
        <v/>
      </c>
      <c r="AN53" s="18" t="n"/>
      <c r="AO53" s="46" t="n">
        <v>40</v>
      </c>
      <c r="AP53" s="46" t="n">
        <v>28</v>
      </c>
      <c r="AQ53" s="9" t="n"/>
      <c r="AR53" s="18">
        <f>(AO53+AP53)</f>
        <v/>
      </c>
      <c r="AS53" s="18" t="n">
        <v>3</v>
      </c>
      <c r="AT53" s="18">
        <f>IF(AP53&lt;=17,"0",IF(AR53&lt;=39,"0",IF(AR53&lt;=49,"4",IF(AR53&lt;=54,"5",IF(AR53&lt;=59,"6",IF(AR53&lt;=69,"7",IF(AR53&lt;=79,"8",IF(AR53&lt;=89,"9","10"))))))))</f>
        <v/>
      </c>
      <c r="AU53" s="18">
        <f>IF(AP53&lt;=17,"F",IF(AR53&lt;=39,"F",IF(AR53&lt;=49,"P",IF(AR53&lt;=54,"C",IF(AR53&lt;=59,"B",IF(AR53&lt;=69,"B+",IF(AR53&lt;=79,"A",IF(AR53&lt;=89,"A+","O"))))))))</f>
        <v/>
      </c>
      <c r="AV53" s="18">
        <f>AS53*AT53</f>
        <v/>
      </c>
      <c r="AW53" s="18" t="n"/>
      <c r="AX53" s="9" t="n">
        <v>45</v>
      </c>
      <c r="AY53" s="9" t="n">
        <v>33</v>
      </c>
      <c r="AZ53" s="9" t="n"/>
      <c r="BA53" s="18">
        <f>(AX53+AY53)</f>
        <v/>
      </c>
      <c r="BB53" s="18" t="n">
        <v>1</v>
      </c>
      <c r="BC53" s="18">
        <f>IF(AY53&lt;=17,"0",IF(BA53&lt;=39,"0",IF(BA53&lt;=49,"4",IF(BA53&lt;=54,"5",IF(BA53&lt;=59,"6",IF(BA53&lt;=69,"7",IF(BA53&lt;=79,"8",IF(BA53&lt;=89,"9","10"))))))))</f>
        <v/>
      </c>
      <c r="BD53" s="18">
        <f>IF(AY53&lt;=17,"F",IF(BA53&lt;=39,"F",IF(BA53&lt;=49,"P",IF(BA53&lt;=54,"C",IF(BA53&lt;=59,"B",IF(BA53&lt;=69,"B+",IF(BA53&lt;=79,"A",IF(BA53&lt;=89,"A+","O"))))))))</f>
        <v/>
      </c>
      <c r="BE53" s="18">
        <f>BB53*BC53</f>
        <v/>
      </c>
      <c r="BF53" s="43" t="inlineStr">
        <is>
          <t>Samskrutika Kannada</t>
        </is>
      </c>
      <c r="BG53" s="9" t="n">
        <v>43</v>
      </c>
      <c r="BH53" s="9" t="n">
        <v>29</v>
      </c>
      <c r="BI53" s="9" t="n"/>
      <c r="BJ53" s="18">
        <f>(BG53+BH53)</f>
        <v/>
      </c>
      <c r="BK53" s="18" t="n">
        <v>1</v>
      </c>
      <c r="BL53" s="18">
        <f>IF(BH53&lt;=17,"0",IF(BJ53&lt;=39,"0",IF(BJ53&lt;=49,"4",IF(BJ53&lt;=54,"5",IF(BJ53&lt;=59,"6",IF(BJ53&lt;=69,"7",IF(BJ53&lt;=79,"8",IF(BJ53&lt;=89,"9","10"))))))))</f>
        <v/>
      </c>
      <c r="BM53" s="18">
        <f>IF(BH53&lt;=17,"F",IF(BJ53&lt;=39,"F",IF(BJ53&lt;=49,"P",IF(BJ53&lt;=54,"C",IF(BJ53&lt;=59,"B",IF(BJ53&lt;=69,"B+",IF(BJ53&lt;=79,"A",IF(BJ53&lt;=89,"A+","O"))))))))</f>
        <v/>
      </c>
      <c r="BN53" s="18">
        <f>BK53*BL53</f>
        <v/>
      </c>
      <c r="BO53" s="18" t="n"/>
      <c r="BP53" s="9" t="n">
        <v>48</v>
      </c>
      <c r="BQ53" s="9" t="n">
        <v>41</v>
      </c>
      <c r="BR53" s="9" t="n"/>
      <c r="BS53" s="18">
        <f>(BP53+BQ53)</f>
        <v/>
      </c>
      <c r="BT53" s="18" t="n">
        <v>1</v>
      </c>
      <c r="BU53" s="18">
        <f>IF(BQ53&lt;=17,"0",IF(BS53&lt;=39,"0",IF(BS53&lt;=49,"4",IF(BS53&lt;=54,"5",IF(BS53&lt;=59,"6",IF(BS53&lt;=69,"7",IF(BS53&lt;=79,"8",IF(BS53&lt;=89,"9","10"))))))))</f>
        <v/>
      </c>
      <c r="BV53" s="18">
        <f>IF(BQ53&lt;=17,"F",IF(BS53&lt;=39,"F",IF(BS53&lt;=49,"P",IF(BS53&lt;=54,"C",IF(BS53&lt;=59,"B",IF(BS53&lt;=69,"B+",IF(BS53&lt;=79,"A",IF(BS53&lt;=89,"A+","O"))))))))</f>
        <v/>
      </c>
      <c r="BW53" s="18">
        <f>BT53*BU53</f>
        <v/>
      </c>
      <c r="BX53" s="18" t="n"/>
      <c r="BY53" s="18" t="n"/>
      <c r="BZ53" s="18">
        <f>L53+U53+AD53+AM53+AV53+BE53+BN53+BW53</f>
        <v/>
      </c>
      <c r="CA53" s="19">
        <f>BZ53/20</f>
        <v/>
      </c>
      <c r="CB53" s="28">
        <f>IF(CA53&lt;4,"F",IF(BV53="F","F",IF(BM53="F","F",IF(BD53="F","F",IF(AU53="F","F",IF(AL53="F","F",IF(AC53="F","F",IF(T53="F","F",IF(K53="F","F",IF(CA53&lt;=5,"C",IF(CA53&lt;6,"B",IF(CA53&lt;7,"B+",IF(CA53&lt;8,"A",IF(CA53&lt;=9,"A+","O"))))))))))))))</f>
        <v/>
      </c>
      <c r="CC53" s="27">
        <f>CA53*9.5</f>
        <v/>
      </c>
      <c r="CD53" s="27" t="n"/>
      <c r="CE53" s="28">
        <f>SUM(BS53,BJ53,BA53,AR53,AI53,Z53,Q53,H53)</f>
        <v/>
      </c>
      <c r="CF53" s="28">
        <f>(CE53/800)*100</f>
        <v/>
      </c>
      <c r="CG53" s="27" t="n"/>
      <c r="CH53" s="27" t="n"/>
      <c r="CI53" s="27">
        <f>IF(CA53&lt;=4,"F",IF(CA53&lt;=6,"PASS",IF(CA53&lt;=6.5,"SC",IF(CA53&lt;=7.5,"FC",IF(CA53&lt;="10","FCD")))))</f>
        <v/>
      </c>
    </row>
    <row r="54" ht="15.75" customHeight="1">
      <c r="A54" s="35">
        <f>A53+1</f>
        <v/>
      </c>
      <c r="B54" s="37" t="inlineStr">
        <is>
          <t>1BI22CD037</t>
        </is>
      </c>
      <c r="C54" s="45" t="inlineStr">
        <is>
          <t>RAGHAVENDRA RAMESH DIVATE</t>
        </is>
      </c>
      <c r="D54" s="47" t="inlineStr">
        <is>
          <t>D</t>
        </is>
      </c>
      <c r="E54" s="9" t="n">
        <v>49</v>
      </c>
      <c r="F54" s="9" t="n">
        <v>31</v>
      </c>
      <c r="G54" s="9" t="n"/>
      <c r="H54" s="18">
        <f>SUM(E54:F54)</f>
        <v/>
      </c>
      <c r="I54" s="18" t="n">
        <v>4</v>
      </c>
      <c r="J54" s="18">
        <f>IF(F54&lt;=17,"0",IF(H54&lt;=39,"0",IF(H54&lt;=49,"4",IF(H54&lt;=54,"5",IF(H54&lt;=59,"6",IF(H54&lt;=69,"7",IF(H54&lt;=79,"8",IF(H54&lt;=89,"9","10"))))))))</f>
        <v/>
      </c>
      <c r="K54" s="18">
        <f>IF(F54&lt;=17,"F",IF(H54&lt;=39,"F",IF(H54&lt;=49,"P",IF(H54&lt;=54,"C",IF(H54&lt;=59,"B",IF(H54&lt;=69,"B+",IF(H54&lt;=79,"A",IF(H54&lt;=89,"A+","O"))))))))</f>
        <v/>
      </c>
      <c r="L54" s="18">
        <f>I54*J54</f>
        <v/>
      </c>
      <c r="M54" s="18" t="n"/>
      <c r="N54" s="9" t="n">
        <v>45</v>
      </c>
      <c r="O54" s="9" t="n">
        <v>22</v>
      </c>
      <c r="P54" s="9" t="n"/>
      <c r="Q54" s="18">
        <f>SUM(N54:O54)</f>
        <v/>
      </c>
      <c r="R54" s="18" t="n">
        <v>4</v>
      </c>
      <c r="S54" s="18">
        <f>IF(O54&lt;=17,"0",IF(Q54&lt;=39,"4",IF(Q54&lt;=49,"4",IF(Q54&lt;=54,"5",IF(Q54&lt;=59,"6",IF(Q54&lt;=69,"7",IF(Q54&lt;=79,"8",IF(Q54&lt;=89,"9","10"))))))))</f>
        <v/>
      </c>
      <c r="T54" s="18">
        <f>IF(O54&lt;=17,"F",IF(Q54&lt;=39,"F",IF(Q54&lt;=49,"P",IF(Q54&lt;=54,"C",IF(Q54&lt;=59,"B",IF(Q54&lt;=69,"B+",IF(Q54&lt;=79,"A",IF(Q54&lt;=89,"A+","O"))))))))</f>
        <v/>
      </c>
      <c r="U54" s="18">
        <f>R54*S54</f>
        <v/>
      </c>
      <c r="V54" s="18" t="n"/>
      <c r="W54" s="9" t="n">
        <v>45</v>
      </c>
      <c r="X54" s="9" t="n">
        <v>42</v>
      </c>
      <c r="Y54" s="18" t="n"/>
      <c r="Z54" s="18">
        <f>SUM(W54:X54)</f>
        <v/>
      </c>
      <c r="AA54" s="18" t="n">
        <v>3</v>
      </c>
      <c r="AB54" s="18">
        <f>IF(X54&lt;=17,"0",IF(Z54&lt;=39,"0",IF(Z54&lt;=49,"4",IF(Z54&lt;=54,"5",IF(Z54&lt;=59,"6",IF(Z54&lt;=69,"7",IF(Z54&lt;=79,"8",IF(Z54&lt;=89,"9","10"))))))))</f>
        <v/>
      </c>
      <c r="AC54" s="18">
        <f>IF(X54&lt;=17,"F",IF(Z54&lt;=39,"F",IF(Z54&lt;=49,"P",IF(Z54&lt;=54,"C",IF(Z54&lt;=59,"B",IF(Z54&lt;=69,"B+",IF(Z54&lt;=79,"A",IF(Z54&lt;=89,"A+","O"))))))))</f>
        <v/>
      </c>
      <c r="AD54" s="18">
        <f>AA54*AB54</f>
        <v/>
      </c>
      <c r="AE54" s="18" t="n"/>
      <c r="AF54" s="46" t="n">
        <v>41</v>
      </c>
      <c r="AG54" s="46" t="n">
        <v>32</v>
      </c>
      <c r="AH54" s="9" t="n"/>
      <c r="AI54" s="18">
        <f>SUM(AF54:AG54)</f>
        <v/>
      </c>
      <c r="AJ54" s="18" t="n">
        <v>3</v>
      </c>
      <c r="AK54" s="18">
        <f>IF(AG54&lt;=17,"0",IF(AI54&lt;=39,"0",IF(AI54&lt;=49,"4",IF(AI54&lt;=54,"5",IF(AI54&lt;=59,"6",IF(AI54&lt;=69,"7",IF(AI54&lt;=79,"8",IF(AI54&lt;=89,"9","10"))))))))</f>
        <v/>
      </c>
      <c r="AL54" s="18">
        <f>IF(AG54&lt;=17,"F",IF(AI54&lt;=39,"F",IF(AI54&lt;=49,"P",IF(AI54&lt;=54,"C",IF(AI54&lt;=59,"B",IF(AI54&lt;=69,"B+",IF(AI54&lt;=79,"A",IF(AI54&lt;=89,"A+","O"))))))))</f>
        <v/>
      </c>
      <c r="AM54" s="18">
        <f>AJ54*AK54</f>
        <v/>
      </c>
      <c r="AN54" s="18" t="n"/>
      <c r="AO54" s="46" t="n">
        <v>41</v>
      </c>
      <c r="AP54" s="46" t="n">
        <v>33</v>
      </c>
      <c r="AQ54" s="9" t="n"/>
      <c r="AR54" s="18">
        <f>(AO54+AP54)</f>
        <v/>
      </c>
      <c r="AS54" s="18" t="n">
        <v>3</v>
      </c>
      <c r="AT54" s="18">
        <f>IF(AP54&lt;=17,"0",IF(AR54&lt;=39,"0",IF(AR54&lt;=49,"4",IF(AR54&lt;=54,"5",IF(AR54&lt;=59,"6",IF(AR54&lt;=69,"7",IF(AR54&lt;=79,"8",IF(AR54&lt;=89,"9","10"))))))))</f>
        <v/>
      </c>
      <c r="AU54" s="18">
        <f>IF(AP54&lt;=17,"F",IF(AR54&lt;=39,"F",IF(AR54&lt;=49,"P",IF(AR54&lt;=54,"C",IF(AR54&lt;=59,"B",IF(AR54&lt;=69,"B+",IF(AR54&lt;=79,"A",IF(AR54&lt;=89,"A+","O"))))))))</f>
        <v/>
      </c>
      <c r="AV54" s="18">
        <f>AS54*AT54</f>
        <v/>
      </c>
      <c r="AW54" s="18" t="n"/>
      <c r="AX54" s="9" t="n">
        <v>45</v>
      </c>
      <c r="AY54" s="9" t="n">
        <v>37</v>
      </c>
      <c r="AZ54" s="9" t="n"/>
      <c r="BA54" s="18">
        <f>(AX54+AY54)</f>
        <v/>
      </c>
      <c r="BB54" s="18" t="n">
        <v>1</v>
      </c>
      <c r="BC54" s="18">
        <f>IF(AY54&lt;=17,"0",IF(BA54&lt;=39,"0",IF(BA54&lt;=49,"4",IF(BA54&lt;=54,"5",IF(BA54&lt;=59,"6",IF(BA54&lt;=69,"7",IF(BA54&lt;=79,"8",IF(BA54&lt;=89,"9","10"))))))))</f>
        <v/>
      </c>
      <c r="BD54" s="18">
        <f>IF(AY54&lt;=17,"F",IF(BA54&lt;=39,"F",IF(BA54&lt;=49,"P",IF(BA54&lt;=54,"C",IF(BA54&lt;=59,"B",IF(BA54&lt;=69,"B+",IF(BA54&lt;=79,"A",IF(BA54&lt;=89,"A+","O"))))))))</f>
        <v/>
      </c>
      <c r="BE54" s="18">
        <f>BB54*BC54</f>
        <v/>
      </c>
      <c r="BF54" s="43" t="inlineStr">
        <is>
          <t>Samskrutika Kannada</t>
        </is>
      </c>
      <c r="BG54" s="9" t="n">
        <v>45</v>
      </c>
      <c r="BH54" s="9" t="n">
        <v>34</v>
      </c>
      <c r="BI54" s="9" t="n"/>
      <c r="BJ54" s="18">
        <f>(BG54+BH54)</f>
        <v/>
      </c>
      <c r="BK54" s="18" t="n">
        <v>1</v>
      </c>
      <c r="BL54" s="18">
        <f>IF(BH54&lt;=17,"0",IF(BJ54&lt;=39,"0",IF(BJ54&lt;=49,"4",IF(BJ54&lt;=54,"5",IF(BJ54&lt;=59,"6",IF(BJ54&lt;=69,"7",IF(BJ54&lt;=79,"8",IF(BJ54&lt;=89,"9","10"))))))))</f>
        <v/>
      </c>
      <c r="BM54" s="18">
        <f>IF(BH54&lt;=17,"F",IF(BJ54&lt;=39,"F",IF(BJ54&lt;=49,"P",IF(BJ54&lt;=54,"C",IF(BJ54&lt;=59,"B",IF(BJ54&lt;=69,"B+",IF(BJ54&lt;=79,"A",IF(BJ54&lt;=89,"A+","O"))))))))</f>
        <v/>
      </c>
      <c r="BN54" s="18">
        <f>BK54*BL54</f>
        <v/>
      </c>
      <c r="BO54" s="18" t="n"/>
      <c r="BP54" s="9" t="n">
        <v>41</v>
      </c>
      <c r="BQ54" s="9" t="n">
        <v>39</v>
      </c>
      <c r="BR54" s="9" t="n"/>
      <c r="BS54" s="18">
        <f>(BP54+BQ54)</f>
        <v/>
      </c>
      <c r="BT54" s="18" t="n">
        <v>1</v>
      </c>
      <c r="BU54" s="18">
        <f>IF(BQ54&lt;=17,"0",IF(BS54&lt;=39,"0",IF(BS54&lt;=49,"4",IF(BS54&lt;=54,"5",IF(BS54&lt;=59,"6",IF(BS54&lt;=69,"7",IF(BS54&lt;=79,"8",IF(BS54&lt;=89,"9","10"))))))))</f>
        <v/>
      </c>
      <c r="BV54" s="18">
        <f>IF(BQ54&lt;=17,"F",IF(BS54&lt;=39,"F",IF(BS54&lt;=49,"P",IF(BS54&lt;=54,"C",IF(BS54&lt;=59,"B",IF(BS54&lt;=69,"B+",IF(BS54&lt;=79,"A",IF(BS54&lt;=89,"A+","O"))))))))</f>
        <v/>
      </c>
      <c r="BW54" s="18">
        <f>BT54*BU54</f>
        <v/>
      </c>
      <c r="BX54" s="18" t="n"/>
      <c r="BY54" s="18" t="n"/>
      <c r="BZ54" s="18">
        <f>L54+U54+AD54+AM54+AV54+BE54+BN54+BW54</f>
        <v/>
      </c>
      <c r="CA54" s="19">
        <f>BZ54/20</f>
        <v/>
      </c>
      <c r="CB54" s="28">
        <f>IF(CA54&lt;4,"F",IF(BV54="F","F",IF(BM54="F","F",IF(BD54="F","F",IF(AU54="F","F",IF(AL54="F","F",IF(AC54="F","F",IF(T54="F","F",IF(K54="F","F",IF(CA54&lt;=5,"C",IF(CA54&lt;6,"B",IF(CA54&lt;7,"B+",IF(CA54&lt;8,"A",IF(CA54&lt;=9,"A+","O"))))))))))))))</f>
        <v/>
      </c>
      <c r="CC54" s="27">
        <f>CA54*9.5</f>
        <v/>
      </c>
      <c r="CD54" s="27" t="n"/>
      <c r="CE54" s="28">
        <f>SUM(BS54,BJ54,BA54,AR54,AI54,Z54,Q54,H54)</f>
        <v/>
      </c>
      <c r="CF54" s="28">
        <f>(CE54/800)*100</f>
        <v/>
      </c>
      <c r="CG54" s="27" t="n"/>
      <c r="CH54" s="27" t="n"/>
      <c r="CI54" s="27">
        <f>IF(CA54&lt;=4,"F",IF(CA54&lt;=6,"PASS",IF(CA54&lt;=6.5,"SC",IF(CA54&lt;=7.5,"FC",IF(CA54&lt;="10","FCD")))))</f>
        <v/>
      </c>
    </row>
    <row r="55" ht="15.75" customHeight="1">
      <c r="A55" s="35" t="n">
        <v>61</v>
      </c>
      <c r="B55" s="37" t="inlineStr">
        <is>
          <t>1BI22CD061</t>
        </is>
      </c>
      <c r="C55" s="44" t="inlineStr">
        <is>
          <t>VISHRUTHA S</t>
        </is>
      </c>
      <c r="D55" s="47" t="inlineStr">
        <is>
          <t>D</t>
        </is>
      </c>
      <c r="E55" s="9" t="n">
        <v>45</v>
      </c>
      <c r="F55" s="9" t="n">
        <v>19</v>
      </c>
      <c r="G55" s="25" t="n"/>
      <c r="H55" s="24">
        <f>SUM(E55:F55)</f>
        <v/>
      </c>
      <c r="I55" s="18" t="n">
        <v>4</v>
      </c>
      <c r="J55" s="18">
        <f>IF(F55&lt;=17,"0",IF(H55&lt;=39,"0",IF(H55&lt;=49,"4",IF(H55&lt;=54,"5",IF(H55&lt;=59,"6",IF(H55&lt;=69,"7",IF(H55&lt;=79,"8",IF(H55&lt;=89,"9","10"))))))))</f>
        <v/>
      </c>
      <c r="K55" s="18">
        <f>IF(F55&lt;=17,"F",IF(H55&lt;=39,"F",IF(H55&lt;=49,"P",IF(H55&lt;=54,"C",IF(H55&lt;=59,"B",IF(H55&lt;=69,"B+",IF(H55&lt;=79,"A",IF(H55&lt;=89,"A+","O"))))))))</f>
        <v/>
      </c>
      <c r="L55" s="24">
        <f>I55*J55</f>
        <v/>
      </c>
      <c r="M55" s="24" t="n"/>
      <c r="N55" s="25" t="n">
        <v>44</v>
      </c>
      <c r="O55" s="25" t="n">
        <v>30</v>
      </c>
      <c r="P55" s="25" t="n"/>
      <c r="Q55" s="24">
        <f>SUM(N55:O55)</f>
        <v/>
      </c>
      <c r="R55" s="18" t="n">
        <v>4</v>
      </c>
      <c r="S55" s="18">
        <f>IF(O55&lt;=17,"0",IF(Q55&lt;=39,"4",IF(Q55&lt;=49,"4",IF(Q55&lt;=54,"5",IF(Q55&lt;=59,"6",IF(Q55&lt;=69,"7",IF(Q55&lt;=79,"8",IF(Q55&lt;=89,"9","10"))))))))</f>
        <v/>
      </c>
      <c r="T55" s="18">
        <f>IF(O55&lt;=17,"F",IF(Q55&lt;=39,"F",IF(Q55&lt;=49,"P",IF(Q55&lt;=54,"C",IF(Q55&lt;=59,"B",IF(Q55&lt;=69,"B+",IF(Q55&lt;=79,"A",IF(Q55&lt;=89,"A+","O"))))))))</f>
        <v/>
      </c>
      <c r="U55" s="24">
        <f>R55*S55</f>
        <v/>
      </c>
      <c r="V55" s="24" t="n"/>
      <c r="W55" s="25" t="n">
        <v>38</v>
      </c>
      <c r="X55" s="25" t="n">
        <v>46</v>
      </c>
      <c r="Y55" s="24" t="n"/>
      <c r="Z55" s="24">
        <f>SUM(W55:X55)</f>
        <v/>
      </c>
      <c r="AA55" s="24" t="n">
        <v>3</v>
      </c>
      <c r="AB55" s="18">
        <f>IF(X55&lt;=17,"0",IF(Z55&lt;=39,"0",IF(Z55&lt;=49,"4",IF(Z55&lt;=54,"5",IF(Z55&lt;=59,"6",IF(Z55&lt;=69,"7",IF(Z55&lt;=79,"8",IF(Z55&lt;=89,"9","10"))))))))</f>
        <v/>
      </c>
      <c r="AC55" s="18">
        <f>IF(X55&lt;=17,"F",IF(Z55&lt;=39,"F",IF(Z55&lt;=49,"P",IF(Z55&lt;=54,"C",IF(Z55&lt;=59,"B",IF(Z55&lt;=69,"B+",IF(Z55&lt;=79,"A",IF(Z55&lt;=89,"A+","O"))))))))</f>
        <v/>
      </c>
      <c r="AD55" s="24">
        <f>AA55*AB55</f>
        <v/>
      </c>
      <c r="AE55" s="24" t="n"/>
      <c r="AF55" s="46" t="n">
        <v>42</v>
      </c>
      <c r="AG55" s="46" t="n">
        <v>29</v>
      </c>
      <c r="AH55" s="25" t="n"/>
      <c r="AI55" s="24">
        <f>SUM(AF55:AG55)</f>
        <v/>
      </c>
      <c r="AJ55" s="24" t="n">
        <v>3</v>
      </c>
      <c r="AK55" s="18">
        <f>IF(AG55&lt;=17,"0",IF(AI55&lt;=39,"0",IF(AI55&lt;=49,"4",IF(AI55&lt;=54,"5",IF(AI55&lt;=59,"6",IF(AI55&lt;=69,"7",IF(AI55&lt;=79,"8",IF(AI55&lt;=89,"9","10"))))))))</f>
        <v/>
      </c>
      <c r="AL55" s="18">
        <f>IF(AG55&lt;=17,"F",IF(AI55&lt;=39,"F",IF(AI55&lt;=49,"P",IF(AI55&lt;=54,"C",IF(AI55&lt;=59,"B",IF(AI55&lt;=69,"B+",IF(AI55&lt;=79,"A",IF(AI55&lt;=89,"A+","O"))))))))</f>
        <v/>
      </c>
      <c r="AM55" s="24">
        <f>AJ55*AK55</f>
        <v/>
      </c>
      <c r="AN55" s="24" t="n"/>
      <c r="AO55" s="46" t="n">
        <v>48</v>
      </c>
      <c r="AP55" s="46" t="n">
        <v>36</v>
      </c>
      <c r="AQ55" s="25" t="n"/>
      <c r="AR55" s="24">
        <f>(AO55+AP55)</f>
        <v/>
      </c>
      <c r="AS55" s="24" t="n">
        <v>3</v>
      </c>
      <c r="AT55" s="18">
        <f>IF(AP55&lt;=17,"0",IF(AR55&lt;=39,"0",IF(AR55&lt;=49,"4",IF(AR55&lt;=54,"5",IF(AR55&lt;=59,"6",IF(AR55&lt;=69,"7",IF(AR55&lt;=79,"8",IF(AR55&lt;=89,"9","10"))))))))</f>
        <v/>
      </c>
      <c r="AU55" s="18">
        <f>IF(AP55&lt;=17,"F",IF(AR55&lt;=39,"F",IF(AR55&lt;=49,"P",IF(AR55&lt;=54,"C",IF(AR55&lt;=59,"B",IF(AR55&lt;=69,"B+",IF(AR55&lt;=79,"A",IF(AR55&lt;=89,"A+","O"))))))))</f>
        <v/>
      </c>
      <c r="AV55" s="24">
        <f>AS55*AT55</f>
        <v/>
      </c>
      <c r="AW55" s="24" t="n"/>
      <c r="AX55" s="25" t="n">
        <v>44</v>
      </c>
      <c r="AY55" s="25" t="n">
        <v>32</v>
      </c>
      <c r="AZ55" s="25" t="n"/>
      <c r="BA55" s="24">
        <f>(AX55+AY55)</f>
        <v/>
      </c>
      <c r="BB55" s="18" t="n">
        <v>1</v>
      </c>
      <c r="BC55" s="18">
        <f>IF(AY55&lt;=17,"0",IF(BA55&lt;=39,"0",IF(BA55&lt;=49,"4",IF(BA55&lt;=54,"5",IF(BA55&lt;=59,"6",IF(BA55&lt;=69,"7",IF(BA55&lt;=79,"8",IF(BA55&lt;=89,"9","10"))))))))</f>
        <v/>
      </c>
      <c r="BD55" s="18">
        <f>IF(AY55&lt;=17,"F",IF(BA55&lt;=39,"F",IF(BA55&lt;=49,"P",IF(BA55&lt;=54,"C",IF(BA55&lt;=59,"B",IF(BA55&lt;=69,"B+",IF(BA55&lt;=79,"A",IF(BA55&lt;=89,"A+","O"))))))))</f>
        <v/>
      </c>
      <c r="BE55" s="24">
        <f>BB55*BC55</f>
        <v/>
      </c>
      <c r="BF55" s="43" t="inlineStr">
        <is>
          <t>Samskrutika Kannada</t>
        </is>
      </c>
      <c r="BG55" s="9" t="n">
        <v>41</v>
      </c>
      <c r="BH55" s="9" t="n">
        <v>35</v>
      </c>
      <c r="BI55" s="25" t="n"/>
      <c r="BJ55" s="24">
        <f>(BG55+BH55)</f>
        <v/>
      </c>
      <c r="BK55" s="18" t="n">
        <v>1</v>
      </c>
      <c r="BL55" s="18">
        <f>IF(BH55&lt;=17,"0",IF(BJ55&lt;=39,"0",IF(BJ55&lt;=49,"4",IF(BJ55&lt;=54,"5",IF(BJ55&lt;=59,"6",IF(BJ55&lt;=69,"7",IF(BJ55&lt;=79,"8",IF(BJ55&lt;=89,"9","10"))))))))</f>
        <v/>
      </c>
      <c r="BM55" s="18">
        <f>IF(BH55&lt;=17,"F",IF(BJ55&lt;=39,"F",IF(BJ55&lt;=49,"P",IF(BJ55&lt;=54,"C",IF(BJ55&lt;=59,"B",IF(BJ55&lt;=69,"B+",IF(BJ55&lt;=79,"A",IF(BJ55&lt;=89,"A+","O"))))))))</f>
        <v/>
      </c>
      <c r="BN55" s="24">
        <f>BK55*BL55</f>
        <v/>
      </c>
      <c r="BO55" s="24" t="n"/>
      <c r="BP55" s="25" t="n">
        <v>44</v>
      </c>
      <c r="BQ55" s="25" t="n">
        <v>42</v>
      </c>
      <c r="BR55" s="25" t="n"/>
      <c r="BS55" s="24">
        <f>(BP55+BQ55)</f>
        <v/>
      </c>
      <c r="BT55" s="18" t="n">
        <v>1</v>
      </c>
      <c r="BU55" s="18">
        <f>IF(BQ55&lt;=17,"0",IF(BS55&lt;=39,"0",IF(BS55&lt;=49,"4",IF(BS55&lt;=54,"5",IF(BS55&lt;=59,"6",IF(BS55&lt;=69,"7",IF(BS55&lt;=79,"8",IF(BS55&lt;=89,"9","10"))))))))</f>
        <v/>
      </c>
      <c r="BV55" s="18">
        <f>IF(BQ55&lt;=17,"F",IF(BS55&lt;=39,"F",IF(BS55&lt;=49,"P",IF(BS55&lt;=54,"C",IF(BS55&lt;=59,"B",IF(BS55&lt;=69,"B+",IF(BS55&lt;=79,"A",IF(BS55&lt;=89,"A+","O"))))))))</f>
        <v/>
      </c>
      <c r="BW55" s="24">
        <f>BT55*BU55</f>
        <v/>
      </c>
      <c r="BX55" s="24" t="n"/>
      <c r="BY55" s="24" t="n"/>
      <c r="BZ55" s="18">
        <f>L55+U55+AD55+AM55+AV55+BE55+BN55+BW55</f>
        <v/>
      </c>
      <c r="CA55" s="19">
        <f>BZ55/20</f>
        <v/>
      </c>
      <c r="CB55" s="28">
        <f>IF(CA55&lt;4,"F",IF(BV55="F","F",IF(BM55="F","F",IF(BD55="F","F",IF(AU55="F","F",IF(AL55="F","F",IF(AC55="F","F",IF(T55="F","F",IF(K55="F","F",IF(CA55&lt;=5,"C",IF(CA55&lt;6,"B",IF(CA55&lt;7,"B+",IF(CA55&lt;8,"A",IF(CA55&lt;=9,"A+","O"))))))))))))))</f>
        <v/>
      </c>
      <c r="CC55" s="27">
        <f>CA55*9.5</f>
        <v/>
      </c>
      <c r="CD55" s="27" t="n"/>
      <c r="CE55" s="28">
        <f>SUM(BS55,BJ55,BA55,AR55,AI55,Z55,Q55,H55)</f>
        <v/>
      </c>
      <c r="CF55" s="28">
        <f>(CE55/800)*100</f>
        <v/>
      </c>
      <c r="CG55" s="27" t="n"/>
      <c r="CH55" s="27" t="n"/>
      <c r="CI55" s="27">
        <f>IF(CA55&lt;=4,"F",IF(CA55&lt;=6,"PASS",IF(CA55&lt;=6.5,"SC",IF(CA55&lt;=7.5,"FC",IF(CA55&lt;="10","FCD")))))</f>
        <v/>
      </c>
    </row>
    <row r="56" ht="15.75" customHeight="1">
      <c r="A56" s="35">
        <f>A55+1</f>
        <v/>
      </c>
      <c r="B56" s="37" t="inlineStr">
        <is>
          <t>1BI22CD051</t>
        </is>
      </c>
      <c r="C56" s="44" t="inlineStr">
        <is>
          <t>SHREYAS RACHAPPA BAGALKOT</t>
        </is>
      </c>
      <c r="D56" s="47" t="inlineStr">
        <is>
          <t>D</t>
        </is>
      </c>
      <c r="E56" s="9" t="n">
        <v>46</v>
      </c>
      <c r="F56" s="9" t="n">
        <v>29</v>
      </c>
      <c r="G56" s="9" t="n"/>
      <c r="H56" s="18">
        <f>SUM(E56:F56)</f>
        <v/>
      </c>
      <c r="I56" s="18" t="n">
        <v>4</v>
      </c>
      <c r="J56" s="18">
        <f>IF(F56&lt;=17,"0",IF(H56&lt;=39,"0",IF(H56&lt;=49,"4",IF(H56&lt;=54,"5",IF(H56&lt;=59,"6",IF(H56&lt;=69,"7",IF(H56&lt;=79,"8",IF(H56&lt;=89,"9","10"))))))))</f>
        <v/>
      </c>
      <c r="K56" s="18">
        <f>IF(F56&lt;=17,"F",IF(H56&lt;=39,"F",IF(H56&lt;=49,"P",IF(H56&lt;=54,"C",IF(H56&lt;=59,"B",IF(H56&lt;=69,"B+",IF(H56&lt;=79,"A",IF(H56&lt;=89,"A+","O"))))))))</f>
        <v/>
      </c>
      <c r="L56" s="18">
        <f>I56*J56</f>
        <v/>
      </c>
      <c r="M56" s="18" t="n"/>
      <c r="N56" s="9" t="n">
        <v>43</v>
      </c>
      <c r="O56" s="9" t="n">
        <v>29</v>
      </c>
      <c r="P56" s="9" t="n"/>
      <c r="Q56" s="18">
        <f>SUM(N56:O56)</f>
        <v/>
      </c>
      <c r="R56" s="18" t="n">
        <v>4</v>
      </c>
      <c r="S56" s="18">
        <f>IF(O56&lt;=17,"0",IF(Q56&lt;=39,"4",IF(Q56&lt;=49,"4",IF(Q56&lt;=54,"5",IF(Q56&lt;=59,"6",IF(Q56&lt;=69,"7",IF(Q56&lt;=79,"8",IF(Q56&lt;=89,"9","10"))))))))</f>
        <v/>
      </c>
      <c r="T56" s="18">
        <f>IF(O56&lt;=17,"F",IF(Q56&lt;=39,"F",IF(Q56&lt;=49,"P",IF(Q56&lt;=54,"C",IF(Q56&lt;=59,"B",IF(Q56&lt;=69,"B+",IF(Q56&lt;=79,"A",IF(Q56&lt;=89,"A+","O"))))))))</f>
        <v/>
      </c>
      <c r="U56" s="18">
        <f>R56*S56</f>
        <v/>
      </c>
      <c r="V56" s="18" t="n"/>
      <c r="W56" s="9" t="n">
        <v>47</v>
      </c>
      <c r="X56" s="9" t="n">
        <v>40</v>
      </c>
      <c r="Y56" s="18" t="n"/>
      <c r="Z56" s="18">
        <f>SUM(W56:X56)</f>
        <v/>
      </c>
      <c r="AA56" s="18" t="n">
        <v>3</v>
      </c>
      <c r="AB56" s="18">
        <f>IF(X56&lt;=17,"0",IF(Z56&lt;=39,"0",IF(Z56&lt;=49,"4",IF(Z56&lt;=54,"5",IF(Z56&lt;=59,"6",IF(Z56&lt;=69,"7",IF(Z56&lt;=79,"8",IF(Z56&lt;=89,"9","10"))))))))</f>
        <v/>
      </c>
      <c r="AC56" s="18">
        <f>IF(X56&lt;=17,"F",IF(Z56&lt;=39,"F",IF(Z56&lt;=49,"P",IF(Z56&lt;=54,"C",IF(Z56&lt;=59,"B",IF(Z56&lt;=69,"B+",IF(Z56&lt;=79,"A",IF(Z56&lt;=89,"A+","O"))))))))</f>
        <v/>
      </c>
      <c r="AD56" s="18">
        <f>AA56*AB56</f>
        <v/>
      </c>
      <c r="AE56" s="18" t="n"/>
      <c r="AF56" s="46" t="n">
        <v>45</v>
      </c>
      <c r="AG56" s="46" t="n">
        <v>38</v>
      </c>
      <c r="AH56" s="9" t="n"/>
      <c r="AI56" s="18">
        <f>SUM(AF56:AG56)</f>
        <v/>
      </c>
      <c r="AJ56" s="18" t="n">
        <v>3</v>
      </c>
      <c r="AK56" s="18">
        <f>IF(AG56&lt;=17,"0",IF(AI56&lt;=39,"0",IF(AI56&lt;=49,"4",IF(AI56&lt;=54,"5",IF(AI56&lt;=59,"6",IF(AI56&lt;=69,"7",IF(AI56&lt;=79,"8",IF(AI56&lt;=89,"9","10"))))))))</f>
        <v/>
      </c>
      <c r="AL56" s="18">
        <f>IF(AG56&lt;=17,"F",IF(AI56&lt;=39,"F",IF(AI56&lt;=49,"P",IF(AI56&lt;=54,"C",IF(AI56&lt;=59,"B",IF(AI56&lt;=69,"B+",IF(AI56&lt;=79,"A",IF(AI56&lt;=89,"A+","O"))))))))</f>
        <v/>
      </c>
      <c r="AM56" s="18">
        <f>AJ56*AK56</f>
        <v/>
      </c>
      <c r="AN56" s="18" t="n"/>
      <c r="AO56" s="46" t="n">
        <v>47</v>
      </c>
      <c r="AP56" s="46" t="n">
        <v>18</v>
      </c>
      <c r="AQ56" s="9" t="n"/>
      <c r="AR56" s="18">
        <f>(AO56+AP56)</f>
        <v/>
      </c>
      <c r="AS56" s="18" t="n">
        <v>3</v>
      </c>
      <c r="AT56" s="18">
        <f>IF(AP56&lt;=17,"0",IF(AR56&lt;=39,"0",IF(AR56&lt;=49,"4",IF(AR56&lt;=54,"5",IF(AR56&lt;=59,"6",IF(AR56&lt;=69,"7",IF(AR56&lt;=79,"8",IF(AR56&lt;=89,"9","10"))))))))</f>
        <v/>
      </c>
      <c r="AU56" s="18">
        <f>IF(AP56&lt;=17,"F",IF(AR56&lt;=39,"F",IF(AR56&lt;=49,"P",IF(AR56&lt;=54,"C",IF(AR56&lt;=59,"B",IF(AR56&lt;=69,"B+",IF(AR56&lt;=79,"A",IF(AR56&lt;=89,"A+","O"))))))))</f>
        <v/>
      </c>
      <c r="AV56" s="18">
        <f>AS56*AT56</f>
        <v/>
      </c>
      <c r="AW56" s="18" t="n"/>
      <c r="AX56" s="9" t="n">
        <v>45</v>
      </c>
      <c r="AY56" s="9" t="n">
        <v>23</v>
      </c>
      <c r="AZ56" s="9" t="n"/>
      <c r="BA56" s="18">
        <f>(AX56+AY56)</f>
        <v/>
      </c>
      <c r="BB56" s="18" t="n">
        <v>1</v>
      </c>
      <c r="BC56" s="18">
        <f>IF(AY56&lt;=17,"0",IF(BA56&lt;=39,"0",IF(BA56&lt;=49,"4",IF(BA56&lt;=54,"5",IF(BA56&lt;=59,"6",IF(BA56&lt;=69,"7",IF(BA56&lt;=79,"8",IF(BA56&lt;=89,"9","10"))))))))</f>
        <v/>
      </c>
      <c r="BD56" s="18">
        <f>IF(AY56&lt;=17,"F",IF(BA56&lt;=39,"F",IF(BA56&lt;=49,"P",IF(BA56&lt;=54,"C",IF(BA56&lt;=59,"B",IF(BA56&lt;=69,"B+",IF(BA56&lt;=79,"A",IF(BA56&lt;=89,"A+","O"))))))))</f>
        <v/>
      </c>
      <c r="BE56" s="18">
        <f>BB56*BC56</f>
        <v/>
      </c>
      <c r="BF56" s="43" t="inlineStr">
        <is>
          <t>Samskrutika Kannada</t>
        </is>
      </c>
      <c r="BG56" s="9" t="n">
        <v>43</v>
      </c>
      <c r="BH56" s="9" t="n">
        <v>33</v>
      </c>
      <c r="BI56" s="9" t="n"/>
      <c r="BJ56" s="18">
        <f>(BG56+BH56)</f>
        <v/>
      </c>
      <c r="BK56" s="18" t="n">
        <v>1</v>
      </c>
      <c r="BL56" s="18">
        <f>IF(BH56&lt;=17,"0",IF(BJ56&lt;=39,"0",IF(BJ56&lt;=49,"4",IF(BJ56&lt;=54,"5",IF(BJ56&lt;=59,"6",IF(BJ56&lt;=69,"7",IF(BJ56&lt;=79,"8",IF(BJ56&lt;=89,"9","10"))))))))</f>
        <v/>
      </c>
      <c r="BM56" s="18">
        <f>IF(BH56&lt;=17,"F",IF(BJ56&lt;=39,"F",IF(BJ56&lt;=49,"P",IF(BJ56&lt;=54,"C",IF(BJ56&lt;=59,"B",IF(BJ56&lt;=69,"B+",IF(BJ56&lt;=79,"A",IF(BJ56&lt;=89,"A+","O"))))))))</f>
        <v/>
      </c>
      <c r="BN56" s="18">
        <f>BK56*BL56</f>
        <v/>
      </c>
      <c r="BO56" s="18" t="n"/>
      <c r="BP56" s="9" t="n">
        <v>44</v>
      </c>
      <c r="BQ56" s="9" t="n">
        <v>41</v>
      </c>
      <c r="BR56" s="9" t="n"/>
      <c r="BS56" s="18">
        <f>(BP56+BQ56)</f>
        <v/>
      </c>
      <c r="BT56" s="18" t="n">
        <v>1</v>
      </c>
      <c r="BU56" s="18">
        <f>IF(BQ56&lt;=17,"0",IF(BS56&lt;=39,"0",IF(BS56&lt;=49,"4",IF(BS56&lt;=54,"5",IF(BS56&lt;=59,"6",IF(BS56&lt;=69,"7",IF(BS56&lt;=79,"8",IF(BS56&lt;=89,"9","10"))))))))</f>
        <v/>
      </c>
      <c r="BV56" s="18">
        <f>IF(BQ56&lt;=17,"F",IF(BS56&lt;=39,"F",IF(BS56&lt;=49,"P",IF(BS56&lt;=54,"C",IF(BS56&lt;=59,"B",IF(BS56&lt;=69,"B+",IF(BS56&lt;=79,"A",IF(BS56&lt;=89,"A+","O"))))))))</f>
        <v/>
      </c>
      <c r="BW56" s="18">
        <f>BT56*BU56</f>
        <v/>
      </c>
      <c r="BX56" s="18" t="n"/>
      <c r="BY56" s="18" t="n"/>
      <c r="BZ56" s="18">
        <f>L56+U56+AD56+AM56+AV56+BE56+BN56+BW56</f>
        <v/>
      </c>
      <c r="CA56" s="19">
        <f>BZ56/20</f>
        <v/>
      </c>
      <c r="CB56" s="28">
        <f>IF(CA56&lt;4,"F",IF(BV56="F","F",IF(BM56="F","F",IF(BD56="F","F",IF(AU56="F","F",IF(AL56="F","F",IF(AC56="F","F",IF(T56="F","F",IF(K56="F","F",IF(CA56&lt;=5,"C",IF(CA56&lt;6,"B",IF(CA56&lt;7,"B+",IF(CA56&lt;8,"A",IF(CA56&lt;=9,"A+","O"))))))))))))))</f>
        <v/>
      </c>
      <c r="CC56" s="27">
        <f>CA56*9.5</f>
        <v/>
      </c>
      <c r="CD56" s="27" t="n"/>
      <c r="CE56" s="28">
        <f>SUM(BS56,BJ56,BA56,AR56,AI56,Z56,Q56,H56)</f>
        <v/>
      </c>
      <c r="CF56" s="28">
        <f>(CE56/800)*100</f>
        <v/>
      </c>
      <c r="CG56" s="27" t="n"/>
      <c r="CH56" s="27" t="n"/>
      <c r="CI56" s="27">
        <f>IF(CA56&lt;=4,"F",IF(CA56&lt;=6,"PASS",IF(CA56&lt;=6.5,"SC",IF(CA56&lt;=7.5,"FC",IF(CA56&lt;="10","FCD")))))</f>
        <v/>
      </c>
    </row>
    <row r="57" ht="15.75" customHeight="1">
      <c r="A57" s="35">
        <f>A56+1</f>
        <v/>
      </c>
      <c r="B57" s="37" t="inlineStr">
        <is>
          <t>1BI22CD012</t>
        </is>
      </c>
      <c r="C57" s="44" t="inlineStr">
        <is>
          <t>ESHWAR R</t>
        </is>
      </c>
      <c r="D57" s="47" t="inlineStr">
        <is>
          <t>D</t>
        </is>
      </c>
      <c r="E57" s="9" t="n">
        <v>45</v>
      </c>
      <c r="F57" s="9" t="n">
        <v>28</v>
      </c>
      <c r="G57" s="9" t="n"/>
      <c r="H57" s="18">
        <f>SUM(E57:F57)</f>
        <v/>
      </c>
      <c r="I57" s="18" t="n">
        <v>4</v>
      </c>
      <c r="J57" s="18">
        <f>IF(F57&lt;=17,"0",IF(H57&lt;=39,"0",IF(H57&lt;=49,"4",IF(H57&lt;=54,"5",IF(H57&lt;=59,"6",IF(H57&lt;=69,"7",IF(H57&lt;=79,"8",IF(H57&lt;=89,"9","10"))))))))</f>
        <v/>
      </c>
      <c r="K57" s="18">
        <f>IF(F57&lt;=17,"F",IF(H57&lt;=39,"F",IF(H57&lt;=49,"P",IF(H57&lt;=54,"C",IF(H57&lt;=59,"B",IF(H57&lt;=69,"B+",IF(H57&lt;=79,"A",IF(H57&lt;=89,"A+","O"))))))))</f>
        <v/>
      </c>
      <c r="L57" s="18">
        <f>I57*J57</f>
        <v/>
      </c>
      <c r="M57" s="18" t="n"/>
      <c r="N57" s="9" t="n">
        <v>43</v>
      </c>
      <c r="O57" s="9" t="n">
        <v>30</v>
      </c>
      <c r="P57" s="9" t="n"/>
      <c r="Q57" s="18">
        <f>SUM(N57:O57)</f>
        <v/>
      </c>
      <c r="R57" s="18" t="n">
        <v>4</v>
      </c>
      <c r="S57" s="18">
        <f>IF(O57&lt;=17,"0",IF(Q57&lt;=39,"4",IF(Q57&lt;=49,"4",IF(Q57&lt;=54,"5",IF(Q57&lt;=59,"6",IF(Q57&lt;=69,"7",IF(Q57&lt;=79,"8",IF(Q57&lt;=89,"9","10"))))))))</f>
        <v/>
      </c>
      <c r="T57" s="18">
        <f>IF(O57&lt;=17,"F",IF(Q57&lt;=39,"F",IF(Q57&lt;=49,"P",IF(Q57&lt;=54,"C",IF(Q57&lt;=59,"B",IF(Q57&lt;=69,"B+",IF(Q57&lt;=79,"A",IF(Q57&lt;=89,"A+","O"))))))))</f>
        <v/>
      </c>
      <c r="U57" s="18">
        <f>R57*S57</f>
        <v/>
      </c>
      <c r="V57" s="18" t="n"/>
      <c r="W57" s="9" t="n">
        <v>47</v>
      </c>
      <c r="X57" s="9" t="n">
        <v>42</v>
      </c>
      <c r="Y57" s="18" t="n"/>
      <c r="Z57" s="18">
        <f>SUM(W57:X57)</f>
        <v/>
      </c>
      <c r="AA57" s="18" t="n">
        <v>3</v>
      </c>
      <c r="AB57" s="18">
        <f>IF(X57&lt;=17,"0",IF(Z57&lt;=39,"0",IF(Z57&lt;=49,"4",IF(Z57&lt;=54,"5",IF(Z57&lt;=59,"6",IF(Z57&lt;=69,"7",IF(Z57&lt;=79,"8",IF(Z57&lt;=89,"9","10"))))))))</f>
        <v/>
      </c>
      <c r="AC57" s="18">
        <f>IF(X57&lt;=17,"F",IF(Z57&lt;=39,"F",IF(Z57&lt;=49,"P",IF(Z57&lt;=54,"C",IF(Z57&lt;=59,"B",IF(Z57&lt;=69,"B+",IF(Z57&lt;=79,"A",IF(Z57&lt;=89,"A+","O"))))))))</f>
        <v/>
      </c>
      <c r="AD57" s="18">
        <f>AA57*AB57</f>
        <v/>
      </c>
      <c r="AE57" s="18" t="n"/>
      <c r="AF57" s="46" t="n">
        <v>38</v>
      </c>
      <c r="AG57" s="46" t="n">
        <v>33</v>
      </c>
      <c r="AH57" s="9" t="n"/>
      <c r="AI57" s="18">
        <f>SUM(AF57:AG57)</f>
        <v/>
      </c>
      <c r="AJ57" s="18" t="n">
        <v>3</v>
      </c>
      <c r="AK57" s="18">
        <f>IF(AG57&lt;=17,"0",IF(AI57&lt;=39,"0",IF(AI57&lt;=49,"4",IF(AI57&lt;=54,"5",IF(AI57&lt;=59,"6",IF(AI57&lt;=69,"7",IF(AI57&lt;=79,"8",IF(AI57&lt;=89,"9","10"))))))))</f>
        <v/>
      </c>
      <c r="AL57" s="18">
        <f>IF(AG57&lt;=17,"F",IF(AI57&lt;=39,"F",IF(AI57&lt;=49,"P",IF(AI57&lt;=54,"C",IF(AI57&lt;=59,"B",IF(AI57&lt;=69,"B+",IF(AI57&lt;=79,"A",IF(AI57&lt;=89,"A+","O"))))))))</f>
        <v/>
      </c>
      <c r="AM57" s="18">
        <f>AJ57*AK57</f>
        <v/>
      </c>
      <c r="AN57" s="18" t="n"/>
      <c r="AO57" s="46" t="n">
        <v>46</v>
      </c>
      <c r="AP57" s="46" t="n">
        <v>28</v>
      </c>
      <c r="AQ57" s="9" t="n"/>
      <c r="AR57" s="18">
        <f>(AO57+AP57)</f>
        <v/>
      </c>
      <c r="AS57" s="18" t="n">
        <v>3</v>
      </c>
      <c r="AT57" s="18">
        <f>IF(AP57&lt;=17,"0",IF(AR57&lt;=39,"0",IF(AR57&lt;=49,"4",IF(AR57&lt;=54,"5",IF(AR57&lt;=59,"6",IF(AR57&lt;=69,"7",IF(AR57&lt;=79,"8",IF(AR57&lt;=89,"9","10"))))))))</f>
        <v/>
      </c>
      <c r="AU57" s="18">
        <f>IF(AP57&lt;=17,"F",IF(AR57&lt;=39,"F",IF(AR57&lt;=49,"P",IF(AR57&lt;=54,"C",IF(AR57&lt;=59,"B",IF(AR57&lt;=69,"B+",IF(AR57&lt;=79,"A",IF(AR57&lt;=89,"A+","O"))))))))</f>
        <v/>
      </c>
      <c r="AV57" s="18">
        <f>AS57*AT57</f>
        <v/>
      </c>
      <c r="AW57" s="18" t="n"/>
      <c r="AX57" s="9" t="n">
        <v>46</v>
      </c>
      <c r="AY57" s="9" t="n">
        <v>29</v>
      </c>
      <c r="AZ57" s="9" t="n"/>
      <c r="BA57" s="18">
        <f>(AX57+AY57)</f>
        <v/>
      </c>
      <c r="BB57" s="18" t="n">
        <v>1</v>
      </c>
      <c r="BC57" s="18">
        <f>IF(AY57&lt;=17,"0",IF(BA57&lt;=39,"0",IF(BA57&lt;=49,"4",IF(BA57&lt;=54,"5",IF(BA57&lt;=59,"6",IF(BA57&lt;=69,"7",IF(BA57&lt;=79,"8",IF(BA57&lt;=89,"9","10"))))))))</f>
        <v/>
      </c>
      <c r="BD57" s="18">
        <f>IF(AY57&lt;=17,"F",IF(BA57&lt;=39,"F",IF(BA57&lt;=49,"P",IF(BA57&lt;=54,"C",IF(BA57&lt;=59,"B",IF(BA57&lt;=69,"B+",IF(BA57&lt;=79,"A",IF(BA57&lt;=89,"A+","O"))))))))</f>
        <v/>
      </c>
      <c r="BE57" s="18">
        <f>BB57*BC57</f>
        <v/>
      </c>
      <c r="BF57" s="43" t="inlineStr">
        <is>
          <t>Samskrutika Kannada</t>
        </is>
      </c>
      <c r="BG57" s="9" t="n">
        <v>47</v>
      </c>
      <c r="BH57" s="9" t="n">
        <v>19</v>
      </c>
      <c r="BI57" s="9" t="n"/>
      <c r="BJ57" s="18">
        <f>(BG57+BH57)</f>
        <v/>
      </c>
      <c r="BK57" s="18" t="n">
        <v>1</v>
      </c>
      <c r="BL57" s="18">
        <f>IF(BH57&lt;=17,"0",IF(BJ57&lt;=39,"0",IF(BJ57&lt;=49,"4",IF(BJ57&lt;=54,"5",IF(BJ57&lt;=59,"6",IF(BJ57&lt;=69,"7",IF(BJ57&lt;=79,"8",IF(BJ57&lt;=89,"9","10"))))))))</f>
        <v/>
      </c>
      <c r="BM57" s="18">
        <f>IF(BH57&lt;=17,"F",IF(BJ57&lt;=39,"F",IF(BJ57&lt;=49,"P",IF(BJ57&lt;=54,"C",IF(BJ57&lt;=59,"B",IF(BJ57&lt;=69,"B+",IF(BJ57&lt;=79,"A",IF(BJ57&lt;=89,"A+","O"))))))))</f>
        <v/>
      </c>
      <c r="BN57" s="18">
        <f>BK57*BL57</f>
        <v/>
      </c>
      <c r="BO57" s="18" t="n"/>
      <c r="BP57" s="9" t="n">
        <v>44</v>
      </c>
      <c r="BQ57" s="9" t="n">
        <v>39</v>
      </c>
      <c r="BR57" s="9" t="n"/>
      <c r="BS57" s="18">
        <f>(BP57+BQ57)</f>
        <v/>
      </c>
      <c r="BT57" s="18" t="n">
        <v>1</v>
      </c>
      <c r="BU57" s="18">
        <f>IF(BQ57&lt;=17,"0",IF(BS57&lt;=39,"0",IF(BS57&lt;=49,"4",IF(BS57&lt;=54,"5",IF(BS57&lt;=59,"6",IF(BS57&lt;=69,"7",IF(BS57&lt;=79,"8",IF(BS57&lt;=89,"9","10"))))))))</f>
        <v/>
      </c>
      <c r="BV57" s="18">
        <f>IF(BQ57&lt;=17,"F",IF(BS57&lt;=39,"F",IF(BS57&lt;=49,"P",IF(BS57&lt;=54,"C",IF(BS57&lt;=59,"B",IF(BS57&lt;=69,"B+",IF(BS57&lt;=79,"A",IF(BS57&lt;=89,"A+","O"))))))))</f>
        <v/>
      </c>
      <c r="BW57" s="18">
        <f>BT57*BU57</f>
        <v/>
      </c>
      <c r="BX57" s="18" t="n"/>
      <c r="BY57" s="18" t="n"/>
      <c r="BZ57" s="18">
        <f>L57+U57+AD57+AM57+AV57+BE57+BN57+BW57</f>
        <v/>
      </c>
      <c r="CA57" s="19">
        <f>BZ57/20</f>
        <v/>
      </c>
      <c r="CB57" s="28">
        <f>IF(CA57&lt;4,"F",IF(BV57="F","F",IF(BM57="F","F",IF(BD57="F","F",IF(AU57="F","F",IF(AL57="F","F",IF(AC57="F","F",IF(T57="F","F",IF(K57="F","F",IF(CA57&lt;=5,"C",IF(CA57&lt;6,"B",IF(CA57&lt;7,"B+",IF(CA57&lt;8,"A",IF(CA57&lt;=9,"A+","O"))))))))))))))</f>
        <v/>
      </c>
      <c r="CC57" s="27">
        <f>CA57*9.5</f>
        <v/>
      </c>
      <c r="CD57" s="27" t="n"/>
      <c r="CE57" s="28">
        <f>SUM(BS57,BJ57,BA57,AR57,AI57,Z57,Q57,H57)</f>
        <v/>
      </c>
      <c r="CF57" s="28">
        <f>(CE57/800)*100</f>
        <v/>
      </c>
      <c r="CG57" s="27" t="n"/>
      <c r="CH57" s="27" t="n"/>
      <c r="CI57" s="27">
        <f>IF(CA57&lt;=4,"F",IF(CA57&lt;=6,"PASS",IF(CA57&lt;=6.5,"SC",IF(CA57&lt;=7.5,"FC",IF(CA57&lt;="10","FCD")))))</f>
        <v/>
      </c>
    </row>
    <row r="58" ht="15.75" customHeight="1">
      <c r="A58" s="35">
        <f>A57+1</f>
        <v/>
      </c>
      <c r="B58" s="37" t="inlineStr">
        <is>
          <t>1BI22CD040</t>
        </is>
      </c>
      <c r="C58" s="44" t="inlineStr">
        <is>
          <t>RUPESH KUMAR SINGH</t>
        </is>
      </c>
      <c r="D58" s="47" t="inlineStr">
        <is>
          <t>D</t>
        </is>
      </c>
      <c r="E58" s="9" t="n">
        <v>48</v>
      </c>
      <c r="F58" s="9" t="n">
        <v>22</v>
      </c>
      <c r="G58" s="9" t="n"/>
      <c r="H58" s="18">
        <f>SUM(E58:F58)</f>
        <v/>
      </c>
      <c r="I58" s="18" t="n">
        <v>4</v>
      </c>
      <c r="J58" s="18">
        <f>IF(F58&lt;=17,"0",IF(H58&lt;=39,"0",IF(H58&lt;=49,"4",IF(H58&lt;=54,"5",IF(H58&lt;=59,"6",IF(H58&lt;=69,"7",IF(H58&lt;=79,"8",IF(H58&lt;=89,"9","10"))))))))</f>
        <v/>
      </c>
      <c r="K58" s="18">
        <f>IF(F58&lt;=17,"F",IF(H58&lt;=39,"F",IF(H58&lt;=49,"P",IF(H58&lt;=54,"C",IF(H58&lt;=59,"B",IF(H58&lt;=69,"B+",IF(H58&lt;=79,"A",IF(H58&lt;=89,"A+","O"))))))))</f>
        <v/>
      </c>
      <c r="L58" s="18">
        <f>I58*J58</f>
        <v/>
      </c>
      <c r="M58" s="18" t="n"/>
      <c r="N58" s="9" t="n">
        <v>44</v>
      </c>
      <c r="O58" s="9" t="n">
        <v>32</v>
      </c>
      <c r="P58" s="9" t="n"/>
      <c r="Q58" s="18">
        <f>SUM(N58:O58)</f>
        <v/>
      </c>
      <c r="R58" s="18" t="n">
        <v>4</v>
      </c>
      <c r="S58" s="18">
        <f>IF(O58&lt;=17,"0",IF(Q58&lt;=39,"4",IF(Q58&lt;=49,"4",IF(Q58&lt;=54,"5",IF(Q58&lt;=59,"6",IF(Q58&lt;=69,"7",IF(Q58&lt;=79,"8",IF(Q58&lt;=89,"9","10"))))))))</f>
        <v/>
      </c>
      <c r="T58" s="18">
        <f>IF(O58&lt;=17,"F",IF(Q58&lt;=39,"F",IF(Q58&lt;=49,"P",IF(Q58&lt;=54,"C",IF(Q58&lt;=59,"B",IF(Q58&lt;=69,"B+",IF(Q58&lt;=79,"A",IF(Q58&lt;=89,"A+","O"))))))))</f>
        <v/>
      </c>
      <c r="U58" s="18">
        <f>R58*S58</f>
        <v/>
      </c>
      <c r="V58" s="18" t="n"/>
      <c r="W58" s="9" t="n">
        <v>40</v>
      </c>
      <c r="X58" s="9" t="n">
        <v>45</v>
      </c>
      <c r="Y58" s="18" t="n"/>
      <c r="Z58" s="18">
        <f>SUM(W58:X58)</f>
        <v/>
      </c>
      <c r="AA58" s="18" t="n">
        <v>3</v>
      </c>
      <c r="AB58" s="18">
        <f>IF(X58&lt;=17,"0",IF(Z58&lt;=39,"0",IF(Z58&lt;=49,"4",IF(Z58&lt;=54,"5",IF(Z58&lt;=59,"6",IF(Z58&lt;=69,"7",IF(Z58&lt;=79,"8",IF(Z58&lt;=89,"9","10"))))))))</f>
        <v/>
      </c>
      <c r="AC58" s="18">
        <f>IF(X58&lt;=17,"F",IF(Z58&lt;=39,"F",IF(Z58&lt;=49,"P",IF(Z58&lt;=54,"C",IF(Z58&lt;=59,"B",IF(Z58&lt;=69,"B+",IF(Z58&lt;=79,"A",IF(Z58&lt;=89,"A+","O"))))))))</f>
        <v/>
      </c>
      <c r="AD58" s="18">
        <f>AA58*AB58</f>
        <v/>
      </c>
      <c r="AE58" s="18" t="n"/>
      <c r="AF58" s="46" t="n">
        <v>40</v>
      </c>
      <c r="AG58" s="46" t="n">
        <v>35</v>
      </c>
      <c r="AH58" s="9" t="n"/>
      <c r="AI58" s="18">
        <f>SUM(AF58:AG58)</f>
        <v/>
      </c>
      <c r="AJ58" s="18" t="n">
        <v>3</v>
      </c>
      <c r="AK58" s="18">
        <f>IF(AG58&lt;=17,"0",IF(AI58&lt;=39,"0",IF(AI58&lt;=49,"4",IF(AI58&lt;=54,"5",IF(AI58&lt;=59,"6",IF(AI58&lt;=69,"7",IF(AI58&lt;=79,"8",IF(AI58&lt;=89,"9","10"))))))))</f>
        <v/>
      </c>
      <c r="AL58" s="18">
        <f>IF(AG58&lt;=17,"F",IF(AI58&lt;=39,"F",IF(AI58&lt;=49,"P",IF(AI58&lt;=54,"C",IF(AI58&lt;=59,"B",IF(AI58&lt;=69,"B+",IF(AI58&lt;=79,"A",IF(AI58&lt;=89,"A+","O"))))))))</f>
        <v/>
      </c>
      <c r="AM58" s="18">
        <f>AJ58*AK58</f>
        <v/>
      </c>
      <c r="AN58" s="18" t="n"/>
      <c r="AO58" s="46" t="n">
        <v>42</v>
      </c>
      <c r="AP58" s="46" t="n">
        <v>25</v>
      </c>
      <c r="AQ58" s="9" t="n"/>
      <c r="AR58" s="18">
        <f>(AO58+AP58)</f>
        <v/>
      </c>
      <c r="AS58" s="18" t="n">
        <v>3</v>
      </c>
      <c r="AT58" s="18">
        <f>IF(AP58&lt;=17,"0",IF(AR58&lt;=39,"0",IF(AR58&lt;=49,"4",IF(AR58&lt;=54,"5",IF(AR58&lt;=59,"6",IF(AR58&lt;=69,"7",IF(AR58&lt;=79,"8",IF(AR58&lt;=89,"9","10"))))))))</f>
        <v/>
      </c>
      <c r="AU58" s="18">
        <f>IF(AP58&lt;=17,"F",IF(AR58&lt;=39,"F",IF(AR58&lt;=49,"P",IF(AR58&lt;=54,"C",IF(AR58&lt;=59,"B",IF(AR58&lt;=69,"B+",IF(AR58&lt;=79,"A",IF(AR58&lt;=89,"A+","O"))))))))</f>
        <v/>
      </c>
      <c r="AV58" s="18">
        <f>AS58*AT58</f>
        <v/>
      </c>
      <c r="AW58" s="18" t="n"/>
      <c r="AX58" s="9" t="n">
        <v>45</v>
      </c>
      <c r="AY58" s="9" t="n">
        <v>22</v>
      </c>
      <c r="AZ58" s="9" t="n"/>
      <c r="BA58" s="18">
        <f>(AX58+AY58)</f>
        <v/>
      </c>
      <c r="BB58" s="18" t="n">
        <v>1</v>
      </c>
      <c r="BC58" s="18">
        <f>IF(AY58&lt;=17,"0",IF(BA58&lt;=39,"0",IF(BA58&lt;=49,"4",IF(BA58&lt;=54,"5",IF(BA58&lt;=59,"6",IF(BA58&lt;=69,"7",IF(BA58&lt;=79,"8",IF(BA58&lt;=89,"9","10"))))))))</f>
        <v/>
      </c>
      <c r="BD58" s="18">
        <f>IF(AY58&lt;=17,"F",IF(BA58&lt;=39,"F",IF(BA58&lt;=49,"P",IF(BA58&lt;=54,"C",IF(BA58&lt;=59,"B",IF(BA58&lt;=69,"B+",IF(BA58&lt;=79,"A",IF(BA58&lt;=89,"A+","O"))))))))</f>
        <v/>
      </c>
      <c r="BE58" s="18">
        <f>BB58*BC58</f>
        <v/>
      </c>
      <c r="BF58" s="43" t="inlineStr">
        <is>
          <t>Balake Kannada</t>
        </is>
      </c>
      <c r="BG58" s="9" t="n">
        <v>46</v>
      </c>
      <c r="BH58" s="9" t="n">
        <v>43</v>
      </c>
      <c r="BI58" s="9" t="n"/>
      <c r="BJ58" s="18">
        <f>(BG58+BH58)</f>
        <v/>
      </c>
      <c r="BK58" s="18" t="n">
        <v>1</v>
      </c>
      <c r="BL58" s="18">
        <f>IF(BH58&lt;=17,"0",IF(BJ58&lt;=39,"0",IF(BJ58&lt;=49,"4",IF(BJ58&lt;=54,"5",IF(BJ58&lt;=59,"6",IF(BJ58&lt;=69,"7",IF(BJ58&lt;=79,"8",IF(BJ58&lt;=89,"9","10"))))))))</f>
        <v/>
      </c>
      <c r="BM58" s="18">
        <f>IF(BH58&lt;=17,"F",IF(BJ58&lt;=39,"F",IF(BJ58&lt;=49,"P",IF(BJ58&lt;=54,"C",IF(BJ58&lt;=59,"B",IF(BJ58&lt;=69,"B+",IF(BJ58&lt;=79,"A",IF(BJ58&lt;=89,"A+","O"))))))))</f>
        <v/>
      </c>
      <c r="BN58" s="18">
        <f>BK58*BL58</f>
        <v/>
      </c>
      <c r="BO58" s="18" t="n"/>
      <c r="BP58" s="9" t="n">
        <v>41</v>
      </c>
      <c r="BQ58" s="9" t="n">
        <v>37</v>
      </c>
      <c r="BR58" s="9" t="n"/>
      <c r="BS58" s="18">
        <f>(BP58+BQ58)</f>
        <v/>
      </c>
      <c r="BT58" s="18" t="n">
        <v>1</v>
      </c>
      <c r="BU58" s="18">
        <f>IF(BQ58&lt;=17,"0",IF(BS58&lt;=39,"0",IF(BS58&lt;=49,"4",IF(BS58&lt;=54,"5",IF(BS58&lt;=59,"6",IF(BS58&lt;=69,"7",IF(BS58&lt;=79,"8",IF(BS58&lt;=89,"9","10"))))))))</f>
        <v/>
      </c>
      <c r="BV58" s="18">
        <f>IF(BQ58&lt;=17,"F",IF(BS58&lt;=39,"F",IF(BS58&lt;=49,"P",IF(BS58&lt;=54,"C",IF(BS58&lt;=59,"B",IF(BS58&lt;=69,"B+",IF(BS58&lt;=79,"A",IF(BS58&lt;=89,"A+","O"))))))))</f>
        <v/>
      </c>
      <c r="BW58" s="18">
        <f>BT58*BU58</f>
        <v/>
      </c>
      <c r="BX58" s="18" t="n"/>
      <c r="BY58" s="18" t="n"/>
      <c r="BZ58" s="18">
        <f>L58+U58+AD58+AM58+AV58+BE58+BN58+BW58</f>
        <v/>
      </c>
      <c r="CA58" s="19">
        <f>BZ58/20</f>
        <v/>
      </c>
      <c r="CB58" s="28">
        <f>IF(CA58&lt;4,"F",IF(BV58="F","F",IF(BM58="F","F",IF(BD58="F","F",IF(AU58="F","F",IF(AL58="F","F",IF(AC58="F","F",IF(T58="F","F",IF(K58="F","F",IF(CA58&lt;=5,"C",IF(CA58&lt;6,"B",IF(CA58&lt;7,"B+",IF(CA58&lt;8,"A",IF(CA58&lt;=9,"A+","O"))))))))))))))</f>
        <v/>
      </c>
      <c r="CC58" s="27">
        <f>CA58*9.5</f>
        <v/>
      </c>
      <c r="CD58" s="27" t="n"/>
      <c r="CE58" s="28">
        <f>SUM(BS58,BJ58,BA58,AR58,AI58,Z58,Q58,H58)</f>
        <v/>
      </c>
      <c r="CF58" s="28">
        <f>(CE58/800)*100</f>
        <v/>
      </c>
      <c r="CG58" s="27" t="n"/>
      <c r="CH58" s="27" t="n"/>
      <c r="CI58" s="27">
        <f>IF(CA58&lt;=4,"F",IF(CA58&lt;=6,"PASS",IF(CA58&lt;=6.5,"SC",IF(CA58&lt;=7.5,"FC",IF(CA58&lt;="10","FCD")))))</f>
        <v/>
      </c>
    </row>
    <row r="59" ht="15.75" customHeight="1">
      <c r="A59" s="35">
        <f>A58+1</f>
        <v/>
      </c>
      <c r="B59" s="37" t="inlineStr">
        <is>
          <t>1BI22CD013</t>
        </is>
      </c>
      <c r="C59" s="44" t="inlineStr">
        <is>
          <t>G RAM CHARAN</t>
        </is>
      </c>
      <c r="D59" s="47" t="inlineStr">
        <is>
          <t>D</t>
        </is>
      </c>
      <c r="E59" s="9" t="n">
        <v>49</v>
      </c>
      <c r="F59" s="9" t="n">
        <v>21</v>
      </c>
      <c r="G59" s="9" t="n"/>
      <c r="H59" s="18">
        <f>SUM(E59:F59)</f>
        <v/>
      </c>
      <c r="I59" s="18" t="n">
        <v>4</v>
      </c>
      <c r="J59" s="18">
        <f>IF(F59&lt;=17,"0",IF(H59&lt;=39,"0",IF(H59&lt;=49,"4",IF(H59&lt;=54,"5",IF(H59&lt;=59,"6",IF(H59&lt;=69,"7",IF(H59&lt;=79,"8",IF(H59&lt;=89,"9","10"))))))))</f>
        <v/>
      </c>
      <c r="K59" s="18">
        <f>IF(F59&lt;=17,"F",IF(H59&lt;=39,"F",IF(H59&lt;=49,"P",IF(H59&lt;=54,"C",IF(H59&lt;=59,"B",IF(H59&lt;=69,"B+",IF(H59&lt;=79,"A",IF(H59&lt;=89,"A+","O"))))))))</f>
        <v/>
      </c>
      <c r="L59" s="18">
        <f>I59*J59</f>
        <v/>
      </c>
      <c r="M59" s="18" t="n"/>
      <c r="N59" s="9" t="n">
        <v>43</v>
      </c>
      <c r="O59" s="9" t="n">
        <v>23</v>
      </c>
      <c r="P59" s="9" t="n"/>
      <c r="Q59" s="18">
        <f>SUM(N59:O59)</f>
        <v/>
      </c>
      <c r="R59" s="18" t="n">
        <v>4</v>
      </c>
      <c r="S59" s="18">
        <f>IF(O59&lt;=17,"0",IF(Q59&lt;=39,"4",IF(Q59&lt;=49,"4",IF(Q59&lt;=54,"5",IF(Q59&lt;=59,"6",IF(Q59&lt;=69,"7",IF(Q59&lt;=79,"8",IF(Q59&lt;=89,"9","10"))))))))</f>
        <v/>
      </c>
      <c r="T59" s="18">
        <f>IF(O59&lt;=17,"F",IF(Q59&lt;=39,"F",IF(Q59&lt;=49,"P",IF(Q59&lt;=54,"C",IF(Q59&lt;=59,"B",IF(Q59&lt;=69,"B+",IF(Q59&lt;=79,"A",IF(Q59&lt;=89,"A+","O"))))))))</f>
        <v/>
      </c>
      <c r="U59" s="18">
        <f>R59*S59</f>
        <v/>
      </c>
      <c r="V59" s="18" t="n"/>
      <c r="W59" s="9" t="n">
        <v>47</v>
      </c>
      <c r="X59" s="9" t="n">
        <v>45</v>
      </c>
      <c r="Y59" s="18" t="n"/>
      <c r="Z59" s="18">
        <f>SUM(W59:X59)</f>
        <v/>
      </c>
      <c r="AA59" s="18" t="n">
        <v>3</v>
      </c>
      <c r="AB59" s="18">
        <f>IF(X59&lt;=17,"0",IF(Z59&lt;=39,"0",IF(Z59&lt;=49,"4",IF(Z59&lt;=54,"5",IF(Z59&lt;=59,"6",IF(Z59&lt;=69,"7",IF(Z59&lt;=79,"8",IF(Z59&lt;=89,"9","10"))))))))</f>
        <v/>
      </c>
      <c r="AC59" s="18">
        <f>IF(X59&lt;=17,"F",IF(Z59&lt;=39,"F",IF(Z59&lt;=49,"P",IF(Z59&lt;=54,"C",IF(Z59&lt;=59,"B",IF(Z59&lt;=69,"B+",IF(Z59&lt;=79,"A",IF(Z59&lt;=89,"A+","O"))))))))</f>
        <v/>
      </c>
      <c r="AD59" s="18">
        <f>AA59*AB59</f>
        <v/>
      </c>
      <c r="AE59" s="18" t="n"/>
      <c r="AF59" s="46" t="n">
        <v>40</v>
      </c>
      <c r="AG59" s="46" t="n">
        <v>24</v>
      </c>
      <c r="AH59" s="9" t="n"/>
      <c r="AI59" s="18">
        <f>SUM(AF59:AG59)</f>
        <v/>
      </c>
      <c r="AJ59" s="18" t="n">
        <v>3</v>
      </c>
      <c r="AK59" s="18">
        <f>IF(AG59&lt;=17,"0",IF(AI59&lt;=39,"0",IF(AI59&lt;=49,"4",IF(AI59&lt;=54,"5",IF(AI59&lt;=59,"6",IF(AI59&lt;=69,"7",IF(AI59&lt;=79,"8",IF(AI59&lt;=89,"9","10"))))))))</f>
        <v/>
      </c>
      <c r="AL59" s="18">
        <f>IF(AG59&lt;=17,"F",IF(AI59&lt;=39,"F",IF(AI59&lt;=49,"P",IF(AI59&lt;=54,"C",IF(AI59&lt;=59,"B",IF(AI59&lt;=69,"B+",IF(AI59&lt;=79,"A",IF(AI59&lt;=89,"A+","O"))))))))</f>
        <v/>
      </c>
      <c r="AM59" s="18">
        <f>AJ59*AK59</f>
        <v/>
      </c>
      <c r="AN59" s="18" t="n"/>
      <c r="AO59" s="46" t="n">
        <v>46</v>
      </c>
      <c r="AP59" s="46" t="n">
        <v>24</v>
      </c>
      <c r="AQ59" s="9" t="n"/>
      <c r="AR59" s="18">
        <f>(AO59+AP59)</f>
        <v/>
      </c>
      <c r="AS59" s="18" t="n">
        <v>3</v>
      </c>
      <c r="AT59" s="18">
        <f>IF(AP59&lt;=17,"0",IF(AR59&lt;=39,"0",IF(AR59&lt;=49,"4",IF(AR59&lt;=54,"5",IF(AR59&lt;=59,"6",IF(AR59&lt;=69,"7",IF(AR59&lt;=79,"8",IF(AR59&lt;=89,"9","10"))))))))</f>
        <v/>
      </c>
      <c r="AU59" s="18">
        <f>IF(AP59&lt;=17,"F",IF(AR59&lt;=39,"F",IF(AR59&lt;=49,"P",IF(AR59&lt;=54,"C",IF(AR59&lt;=59,"B",IF(AR59&lt;=69,"B+",IF(AR59&lt;=79,"A",IF(AR59&lt;=89,"A+","O"))))))))</f>
        <v/>
      </c>
      <c r="AV59" s="18">
        <f>AS59*AT59</f>
        <v/>
      </c>
      <c r="AW59" s="18" t="n"/>
      <c r="AX59" s="9" t="n">
        <v>44</v>
      </c>
      <c r="AY59" s="9" t="n">
        <v>29</v>
      </c>
      <c r="AZ59" s="9" t="n"/>
      <c r="BA59" s="18">
        <f>(AX59+AY59)</f>
        <v/>
      </c>
      <c r="BB59" s="18" t="n">
        <v>1</v>
      </c>
      <c r="BC59" s="18">
        <f>IF(AY59&lt;=17,"0",IF(BA59&lt;=39,"0",IF(BA59&lt;=49,"4",IF(BA59&lt;=54,"5",IF(BA59&lt;=59,"6",IF(BA59&lt;=69,"7",IF(BA59&lt;=79,"8",IF(BA59&lt;=89,"9","10"))))))))</f>
        <v/>
      </c>
      <c r="BD59" s="18">
        <f>IF(AY59&lt;=17,"F",IF(BA59&lt;=39,"F",IF(BA59&lt;=49,"P",IF(BA59&lt;=54,"C",IF(BA59&lt;=59,"B",IF(BA59&lt;=69,"B+",IF(BA59&lt;=79,"A",IF(BA59&lt;=89,"A+","O"))))))))</f>
        <v/>
      </c>
      <c r="BE59" s="18">
        <f>BB59*BC59</f>
        <v/>
      </c>
      <c r="BF59" s="43" t="inlineStr">
        <is>
          <t>Balake Kannada</t>
        </is>
      </c>
      <c r="BG59" s="9" t="n">
        <v>44</v>
      </c>
      <c r="BH59" s="9" t="n">
        <v>43</v>
      </c>
      <c r="BI59" s="9" t="n"/>
      <c r="BJ59" s="18">
        <f>(BG59+BH59)</f>
        <v/>
      </c>
      <c r="BK59" s="18" t="n">
        <v>1</v>
      </c>
      <c r="BL59" s="18">
        <f>IF(BH59&lt;=17,"0",IF(BJ59&lt;=39,"0",IF(BJ59&lt;=49,"4",IF(BJ59&lt;=54,"5",IF(BJ59&lt;=59,"6",IF(BJ59&lt;=69,"7",IF(BJ59&lt;=79,"8",IF(BJ59&lt;=89,"9","10"))))))))</f>
        <v/>
      </c>
      <c r="BM59" s="18">
        <f>IF(BH59&lt;=17,"F",IF(BJ59&lt;=39,"F",IF(BJ59&lt;=49,"P",IF(BJ59&lt;=54,"C",IF(BJ59&lt;=59,"B",IF(BJ59&lt;=69,"B+",IF(BJ59&lt;=79,"A",IF(BJ59&lt;=89,"A+","O"))))))))</f>
        <v/>
      </c>
      <c r="BN59" s="18">
        <f>BK59*BL59</f>
        <v/>
      </c>
      <c r="BO59" s="18" t="n"/>
      <c r="BP59" s="9" t="n">
        <v>40</v>
      </c>
      <c r="BQ59" s="9" t="n">
        <v>38</v>
      </c>
      <c r="BR59" s="9" t="n"/>
      <c r="BS59" s="18">
        <f>(BP59+BQ59)</f>
        <v/>
      </c>
      <c r="BT59" s="18" t="n">
        <v>1</v>
      </c>
      <c r="BU59" s="18">
        <f>IF(BQ59&lt;=17,"0",IF(BS59&lt;=39,"0",IF(BS59&lt;=49,"4",IF(BS59&lt;=54,"5",IF(BS59&lt;=59,"6",IF(BS59&lt;=69,"7",IF(BS59&lt;=79,"8",IF(BS59&lt;=89,"9","10"))))))))</f>
        <v/>
      </c>
      <c r="BV59" s="18">
        <f>IF(BQ59&lt;=17,"F",IF(BS59&lt;=39,"F",IF(BS59&lt;=49,"P",IF(BS59&lt;=54,"C",IF(BS59&lt;=59,"B",IF(BS59&lt;=69,"B+",IF(BS59&lt;=79,"A",IF(BS59&lt;=89,"A+","O"))))))))</f>
        <v/>
      </c>
      <c r="BW59" s="18">
        <f>BT59*BU59</f>
        <v/>
      </c>
      <c r="BX59" s="18" t="n"/>
      <c r="BY59" s="18" t="n"/>
      <c r="BZ59" s="18">
        <f>L59+U59+AD59+AM59+AV59+BE59+BN59+BW59</f>
        <v/>
      </c>
      <c r="CA59" s="19">
        <f>BZ59/20</f>
        <v/>
      </c>
      <c r="CB59" s="28">
        <f>IF(CA59&lt;4,"F",IF(BV59="F","F",IF(BM59="F","F",IF(BD59="F","F",IF(AU59="F","F",IF(AL59="F","F",IF(AC59="F","F",IF(T59="F","F",IF(K59="F","F",IF(CA59&lt;=5,"C",IF(CA59&lt;6,"B",IF(CA59&lt;7,"B+",IF(CA59&lt;8,"A",IF(CA59&lt;=9,"A+","O"))))))))))))))</f>
        <v/>
      </c>
      <c r="CC59" s="27">
        <f>CA59*9.5</f>
        <v/>
      </c>
      <c r="CD59" s="27" t="n"/>
      <c r="CE59" s="28">
        <f>SUM(BS59,BJ59,BA59,AR59,AI59,Z59,Q59,H59)</f>
        <v/>
      </c>
      <c r="CF59" s="28">
        <f>(CE59/800)*100</f>
        <v/>
      </c>
      <c r="CG59" s="27" t="n"/>
      <c r="CH59" s="27" t="n"/>
      <c r="CI59" s="27">
        <f>IF(CA59&lt;=4,"F",IF(CA59&lt;=6,"PASS",IF(CA59&lt;=6.5,"SC",IF(CA59&lt;=7.5,"FC",IF(CA59&lt;="10","FCD")))))</f>
        <v/>
      </c>
    </row>
    <row r="60" ht="15.75" customHeight="1">
      <c r="A60" s="35">
        <f>A59+1</f>
        <v/>
      </c>
      <c r="B60" s="37" t="inlineStr">
        <is>
          <t>1BI22CD044</t>
        </is>
      </c>
      <c r="C60" s="44" t="inlineStr">
        <is>
          <t>SANYA RAMESH</t>
        </is>
      </c>
      <c r="D60" s="47" t="inlineStr">
        <is>
          <t>D</t>
        </is>
      </c>
      <c r="E60" s="9" t="n">
        <v>44</v>
      </c>
      <c r="F60" s="9" t="n">
        <v>26</v>
      </c>
      <c r="G60" s="9" t="n"/>
      <c r="H60" s="18">
        <f>SUM(E60:F60)</f>
        <v/>
      </c>
      <c r="I60" s="18" t="n">
        <v>4</v>
      </c>
      <c r="J60" s="18">
        <f>IF(F60&lt;=17,"0",IF(H60&lt;=39,"0",IF(H60&lt;=49,"4",IF(H60&lt;=54,"5",IF(H60&lt;=59,"6",IF(H60&lt;=69,"7",IF(H60&lt;=79,"8",IF(H60&lt;=89,"9","10"))))))))</f>
        <v/>
      </c>
      <c r="K60" s="18">
        <f>IF(F60&lt;=17,"F",IF(H60&lt;=39,"F",IF(H60&lt;=49,"P",IF(H60&lt;=54,"C",IF(H60&lt;=59,"B",IF(H60&lt;=69,"B+",IF(H60&lt;=79,"A",IF(H60&lt;=89,"A+","O"))))))))</f>
        <v/>
      </c>
      <c r="L60" s="18">
        <f>I60*J60</f>
        <v/>
      </c>
      <c r="M60" s="18" t="n"/>
      <c r="N60" s="9" t="n">
        <v>46</v>
      </c>
      <c r="O60" s="9" t="n">
        <v>22</v>
      </c>
      <c r="P60" s="9" t="n"/>
      <c r="Q60" s="18">
        <f>SUM(N60:O60)</f>
        <v/>
      </c>
      <c r="R60" s="18" t="n">
        <v>4</v>
      </c>
      <c r="S60" s="18">
        <f>IF(O60&lt;=17,"0",IF(Q60&lt;=39,"4",IF(Q60&lt;=49,"4",IF(Q60&lt;=54,"5",IF(Q60&lt;=59,"6",IF(Q60&lt;=69,"7",IF(Q60&lt;=79,"8",IF(Q60&lt;=89,"9","10"))))))))</f>
        <v/>
      </c>
      <c r="T60" s="18">
        <f>IF(O60&lt;=17,"F",IF(Q60&lt;=39,"F",IF(Q60&lt;=49,"P",IF(Q60&lt;=54,"C",IF(Q60&lt;=59,"B",IF(Q60&lt;=69,"B+",IF(Q60&lt;=79,"A",IF(Q60&lt;=89,"A+","O"))))))))</f>
        <v/>
      </c>
      <c r="U60" s="18">
        <f>R60*S60</f>
        <v/>
      </c>
      <c r="V60" s="18" t="n"/>
      <c r="W60" s="9" t="n">
        <v>40</v>
      </c>
      <c r="X60" s="9" t="n">
        <v>49</v>
      </c>
      <c r="Y60" s="18" t="n"/>
      <c r="Z60" s="18">
        <f>SUM(W60:X60)</f>
        <v/>
      </c>
      <c r="AA60" s="18" t="n">
        <v>3</v>
      </c>
      <c r="AB60" s="18">
        <f>IF(X60&lt;=17,"0",IF(Z60&lt;=39,"0",IF(Z60&lt;=49,"4",IF(Z60&lt;=54,"5",IF(Z60&lt;=59,"6",IF(Z60&lt;=69,"7",IF(Z60&lt;=79,"8",IF(Z60&lt;=89,"9","10"))))))))</f>
        <v/>
      </c>
      <c r="AC60" s="18">
        <f>IF(X60&lt;=17,"F",IF(Z60&lt;=39,"F",IF(Z60&lt;=49,"P",IF(Z60&lt;=54,"C",IF(Z60&lt;=59,"B",IF(Z60&lt;=69,"B+",IF(Z60&lt;=79,"A",IF(Z60&lt;=89,"A+","O"))))))))</f>
        <v/>
      </c>
      <c r="AD60" s="18">
        <f>AA60*AB60</f>
        <v/>
      </c>
      <c r="AE60" s="18" t="n"/>
      <c r="AF60" s="46" t="n">
        <v>35</v>
      </c>
      <c r="AG60" s="46" t="n">
        <v>27</v>
      </c>
      <c r="AH60" s="9" t="n"/>
      <c r="AI60" s="18">
        <f>SUM(AF60:AG60)</f>
        <v/>
      </c>
      <c r="AJ60" s="18" t="n">
        <v>3</v>
      </c>
      <c r="AK60" s="18">
        <f>IF(AG60&lt;=17,"0",IF(AI60&lt;=39,"0",IF(AI60&lt;=49,"4",IF(AI60&lt;=54,"5",IF(AI60&lt;=59,"6",IF(AI60&lt;=69,"7",IF(AI60&lt;=79,"8",IF(AI60&lt;=89,"9","10"))))))))</f>
        <v/>
      </c>
      <c r="AL60" s="18">
        <f>IF(AG60&lt;=17,"F",IF(AI60&lt;=39,"F",IF(AI60&lt;=49,"P",IF(AI60&lt;=54,"C",IF(AI60&lt;=59,"B",IF(AI60&lt;=69,"B+",IF(AI60&lt;=79,"A",IF(AI60&lt;=89,"A+","O"))))))))</f>
        <v/>
      </c>
      <c r="AM60" s="18">
        <f>AJ60*AK60</f>
        <v/>
      </c>
      <c r="AN60" s="18" t="n"/>
      <c r="AO60" s="46" t="n">
        <v>43</v>
      </c>
      <c r="AP60" s="46" t="n">
        <v>26</v>
      </c>
      <c r="AQ60" s="9" t="n"/>
      <c r="AR60" s="18">
        <f>(AO60+AP60)</f>
        <v/>
      </c>
      <c r="AS60" s="18" t="n">
        <v>3</v>
      </c>
      <c r="AT60" s="18">
        <f>IF(AP60&lt;=17,"0",IF(AR60&lt;=39,"0",IF(AR60&lt;=49,"4",IF(AR60&lt;=54,"5",IF(AR60&lt;=59,"6",IF(AR60&lt;=69,"7",IF(AR60&lt;=79,"8",IF(AR60&lt;=89,"9","10"))))))))</f>
        <v/>
      </c>
      <c r="AU60" s="18">
        <f>IF(AP60&lt;=17,"F",IF(AR60&lt;=39,"F",IF(AR60&lt;=49,"P",IF(AR60&lt;=54,"C",IF(AR60&lt;=59,"B",IF(AR60&lt;=69,"B+",IF(AR60&lt;=79,"A",IF(AR60&lt;=89,"A+","O"))))))))</f>
        <v/>
      </c>
      <c r="AV60" s="18">
        <f>AS60*AT60</f>
        <v/>
      </c>
      <c r="AW60" s="18" t="n"/>
      <c r="AX60" s="9" t="n">
        <v>47</v>
      </c>
      <c r="AY60" s="9" t="n">
        <v>37</v>
      </c>
      <c r="AZ60" s="9" t="n"/>
      <c r="BA60" s="18">
        <f>(AX60+AY60)</f>
        <v/>
      </c>
      <c r="BB60" s="18" t="n">
        <v>1</v>
      </c>
      <c r="BC60" s="18">
        <f>IF(AY60&lt;=17,"0",IF(BA60&lt;=39,"0",IF(BA60&lt;=49,"4",IF(BA60&lt;=54,"5",IF(BA60&lt;=59,"6",IF(BA60&lt;=69,"7",IF(BA60&lt;=79,"8",IF(BA60&lt;=89,"9","10"))))))))</f>
        <v/>
      </c>
      <c r="BD60" s="18">
        <f>IF(AY60&lt;=17,"F",IF(BA60&lt;=39,"F",IF(BA60&lt;=49,"P",IF(BA60&lt;=54,"C",IF(BA60&lt;=59,"B",IF(BA60&lt;=69,"B+",IF(BA60&lt;=79,"A",IF(BA60&lt;=89,"A+","O"))))))))</f>
        <v/>
      </c>
      <c r="BE60" s="18">
        <f>BB60*BC60</f>
        <v/>
      </c>
      <c r="BF60" s="43" t="inlineStr">
        <is>
          <t>Balake Kannada</t>
        </is>
      </c>
      <c r="BG60" s="9" t="n">
        <v>49</v>
      </c>
      <c r="BH60" s="9" t="n">
        <v>44</v>
      </c>
      <c r="BI60" s="9" t="n"/>
      <c r="BJ60" s="18">
        <f>(BG60+BH60)</f>
        <v/>
      </c>
      <c r="BK60" s="18" t="n">
        <v>1</v>
      </c>
      <c r="BL60" s="18">
        <f>IF(BH60&lt;=17,"0",IF(BJ60&lt;=39,"0",IF(BJ60&lt;=49,"4",IF(BJ60&lt;=54,"5",IF(BJ60&lt;=59,"6",IF(BJ60&lt;=69,"7",IF(BJ60&lt;=79,"8",IF(BJ60&lt;=89,"9","10"))))))))</f>
        <v/>
      </c>
      <c r="BM60" s="18">
        <f>IF(BH60&lt;=17,"F",IF(BJ60&lt;=39,"F",IF(BJ60&lt;=49,"P",IF(BJ60&lt;=54,"C",IF(BJ60&lt;=59,"B",IF(BJ60&lt;=69,"B+",IF(BJ60&lt;=79,"A",IF(BJ60&lt;=89,"A+","O"))))))))</f>
        <v/>
      </c>
      <c r="BN60" s="18">
        <f>BK60*BL60</f>
        <v/>
      </c>
      <c r="BO60" s="18" t="n"/>
      <c r="BP60" s="9" t="n">
        <v>43</v>
      </c>
      <c r="BQ60" s="9" t="n">
        <v>37</v>
      </c>
      <c r="BR60" s="9" t="n"/>
      <c r="BS60" s="18">
        <f>(BP60+BQ60)</f>
        <v/>
      </c>
      <c r="BT60" s="18" t="n">
        <v>1</v>
      </c>
      <c r="BU60" s="18">
        <f>IF(BQ60&lt;=17,"0",IF(BS60&lt;=39,"0",IF(BS60&lt;=49,"4",IF(BS60&lt;=54,"5",IF(BS60&lt;=59,"6",IF(BS60&lt;=69,"7",IF(BS60&lt;=79,"8",IF(BS60&lt;=89,"9","10"))))))))</f>
        <v/>
      </c>
      <c r="BV60" s="18">
        <f>IF(BQ60&lt;=17,"F",IF(BS60&lt;=39,"F",IF(BS60&lt;=49,"P",IF(BS60&lt;=54,"C",IF(BS60&lt;=59,"B",IF(BS60&lt;=69,"B+",IF(BS60&lt;=79,"A",IF(BS60&lt;=89,"A+","O"))))))))</f>
        <v/>
      </c>
      <c r="BW60" s="18">
        <f>BT60*BU60</f>
        <v/>
      </c>
      <c r="BX60" s="18" t="n"/>
      <c r="BY60" s="18" t="n"/>
      <c r="BZ60" s="18">
        <f>L60+U60+AD60+AM60+AV60+BE60+BN60+BW60</f>
        <v/>
      </c>
      <c r="CA60" s="19">
        <f>BZ60/20</f>
        <v/>
      </c>
      <c r="CB60" s="28">
        <f>IF(CA60&lt;4,"F",IF(BV60="F","F",IF(BM60="F","F",IF(BD60="F","F",IF(AU60="F","F",IF(AL60="F","F",IF(AC60="F","F",IF(T60="F","F",IF(K60="F","F",IF(CA60&lt;=5,"C",IF(CA60&lt;6,"B",IF(CA60&lt;7,"B+",IF(CA60&lt;8,"A",IF(CA60&lt;=9,"A+","O"))))))))))))))</f>
        <v/>
      </c>
      <c r="CC60" s="27">
        <f>CA60*9.5</f>
        <v/>
      </c>
      <c r="CD60" s="27" t="n"/>
      <c r="CE60" s="28">
        <f>SUM(BS60,BJ60,BA60,AR60,AI60,Z60,Q60,H60)</f>
        <v/>
      </c>
      <c r="CF60" s="28">
        <f>(CE60/800)*100</f>
        <v/>
      </c>
      <c r="CG60" s="27" t="n"/>
      <c r="CH60" s="27" t="n"/>
      <c r="CI60" s="27">
        <f>IF(CA60&lt;=4,"F",IF(CA60&lt;=6,"PASS",IF(CA60&lt;=6.5,"SC",IF(CA60&lt;=7.5,"FC",IF(CA60&lt;="10","FCD")))))</f>
        <v/>
      </c>
    </row>
    <row r="61" ht="15.75" customHeight="1">
      <c r="A61" s="35">
        <f>A60+1</f>
        <v/>
      </c>
      <c r="B61" s="37" t="inlineStr">
        <is>
          <t>1BI22CD011</t>
        </is>
      </c>
      <c r="C61" s="44" t="inlineStr">
        <is>
          <t>DIA SHARMA</t>
        </is>
      </c>
      <c r="D61" s="47" t="inlineStr">
        <is>
          <t>D</t>
        </is>
      </c>
      <c r="E61" s="9" t="n">
        <v>44</v>
      </c>
      <c r="F61" s="9" t="n">
        <v>18</v>
      </c>
      <c r="G61" s="9" t="n"/>
      <c r="H61" s="18">
        <f>SUM(E61:F61)</f>
        <v/>
      </c>
      <c r="I61" s="18" t="n">
        <v>4</v>
      </c>
      <c r="J61" s="18">
        <f>IF(F61&lt;=17,"0",IF(H61&lt;=39,"0",IF(H61&lt;=49,"4",IF(H61&lt;=54,"5",IF(H61&lt;=59,"6",IF(H61&lt;=69,"7",IF(H61&lt;=79,"8",IF(H61&lt;=89,"9","10"))))))))</f>
        <v/>
      </c>
      <c r="K61" s="18">
        <f>IF(F61&lt;=17,"F",IF(H61&lt;=39,"F",IF(H61&lt;=49,"P",IF(H61&lt;=54,"C",IF(H61&lt;=59,"B",IF(H61&lt;=69,"B+",IF(H61&lt;=79,"A",IF(H61&lt;=89,"A+","O"))))))))</f>
        <v/>
      </c>
      <c r="L61" s="18">
        <f>I61*J61</f>
        <v/>
      </c>
      <c r="M61" s="18" t="n"/>
      <c r="N61" s="9" t="n">
        <v>44</v>
      </c>
      <c r="O61" s="9" t="n">
        <v>25</v>
      </c>
      <c r="P61" s="9" t="n"/>
      <c r="Q61" s="18">
        <f>SUM(N61:O61)</f>
        <v/>
      </c>
      <c r="R61" s="18" t="n">
        <v>4</v>
      </c>
      <c r="S61" s="18">
        <f>IF(O61&lt;=17,"0",IF(Q61&lt;=39,"4",IF(Q61&lt;=49,"4",IF(Q61&lt;=54,"5",IF(Q61&lt;=59,"6",IF(Q61&lt;=69,"7",IF(Q61&lt;=79,"8",IF(Q61&lt;=89,"9","10"))))))))</f>
        <v/>
      </c>
      <c r="T61" s="18">
        <f>IF(O61&lt;=17,"F",IF(Q61&lt;=39,"F",IF(Q61&lt;=49,"P",IF(Q61&lt;=54,"C",IF(Q61&lt;=59,"B",IF(Q61&lt;=69,"B+",IF(Q61&lt;=79,"A",IF(Q61&lt;=89,"A+","O"))))))))</f>
        <v/>
      </c>
      <c r="U61" s="18">
        <f>R61*S61</f>
        <v/>
      </c>
      <c r="V61" s="18" t="n"/>
      <c r="W61" s="9" t="n">
        <v>45</v>
      </c>
      <c r="X61" s="9" t="n">
        <v>39</v>
      </c>
      <c r="Y61" s="18" t="n"/>
      <c r="Z61" s="18">
        <f>SUM(W61:X61)</f>
        <v/>
      </c>
      <c r="AA61" s="18" t="n">
        <v>3</v>
      </c>
      <c r="AB61" s="18">
        <f>IF(X61&lt;=17,"0",IF(Z61&lt;=39,"0",IF(Z61&lt;=49,"4",IF(Z61&lt;=54,"5",IF(Z61&lt;=59,"6",IF(Z61&lt;=69,"7",IF(Z61&lt;=79,"8",IF(Z61&lt;=89,"9","10"))))))))</f>
        <v/>
      </c>
      <c r="AC61" s="18">
        <f>IF(X61&lt;=17,"F",IF(Z61&lt;=39,"F",IF(Z61&lt;=49,"P",IF(Z61&lt;=54,"C",IF(Z61&lt;=59,"B",IF(Z61&lt;=69,"B+",IF(Z61&lt;=79,"A",IF(Z61&lt;=89,"A+","O"))))))))</f>
        <v/>
      </c>
      <c r="AD61" s="18">
        <f>AA61*AB61</f>
        <v/>
      </c>
      <c r="AE61" s="18" t="n"/>
      <c r="AF61" s="46" t="n">
        <v>35</v>
      </c>
      <c r="AG61" s="46" t="n">
        <v>26</v>
      </c>
      <c r="AH61" s="9" t="n"/>
      <c r="AI61" s="18">
        <f>SUM(AF61:AG61)</f>
        <v/>
      </c>
      <c r="AJ61" s="18" t="n">
        <v>3</v>
      </c>
      <c r="AK61" s="18">
        <f>IF(AG61&lt;=17,"0",IF(AI61&lt;=39,"0",IF(AI61&lt;=49,"4",IF(AI61&lt;=54,"5",IF(AI61&lt;=59,"6",IF(AI61&lt;=69,"7",IF(AI61&lt;=79,"8",IF(AI61&lt;=89,"9","10"))))))))</f>
        <v/>
      </c>
      <c r="AL61" s="18">
        <f>IF(AG61&lt;=17,"F",IF(AI61&lt;=39,"F",IF(AI61&lt;=49,"P",IF(AI61&lt;=54,"C",IF(AI61&lt;=59,"B",IF(AI61&lt;=69,"B+",IF(AI61&lt;=79,"A",IF(AI61&lt;=89,"A+","O"))))))))</f>
        <v/>
      </c>
      <c r="AM61" s="18">
        <f>AJ61*AK61</f>
        <v/>
      </c>
      <c r="AN61" s="18" t="n"/>
      <c r="AO61" s="46" t="n">
        <v>49</v>
      </c>
      <c r="AP61" s="46" t="n">
        <v>30</v>
      </c>
      <c r="AQ61" s="9" t="n"/>
      <c r="AR61" s="18">
        <f>(AO61+AP61)</f>
        <v/>
      </c>
      <c r="AS61" s="18" t="n">
        <v>3</v>
      </c>
      <c r="AT61" s="18">
        <f>IF(AP61&lt;=17,"0",IF(AR61&lt;=39,"0",IF(AR61&lt;=49,"4",IF(AR61&lt;=54,"5",IF(AR61&lt;=59,"6",IF(AR61&lt;=69,"7",IF(AR61&lt;=79,"8",IF(AR61&lt;=89,"9","10"))))))))</f>
        <v/>
      </c>
      <c r="AU61" s="18">
        <f>IF(AP61&lt;=17,"F",IF(AR61&lt;=39,"F",IF(AR61&lt;=49,"P",IF(AR61&lt;=54,"C",IF(AR61&lt;=59,"B",IF(AR61&lt;=69,"B+",IF(AR61&lt;=79,"A",IF(AR61&lt;=89,"A+","O"))))))))</f>
        <v/>
      </c>
      <c r="AV61" s="18">
        <f>AS61*AT61</f>
        <v/>
      </c>
      <c r="AW61" s="18" t="n"/>
      <c r="AX61" s="9" t="n">
        <v>47</v>
      </c>
      <c r="AY61" s="9" t="n">
        <v>40</v>
      </c>
      <c r="AZ61" s="9" t="n"/>
      <c r="BA61" s="18">
        <f>(AX61+AY61)</f>
        <v/>
      </c>
      <c r="BB61" s="18" t="n">
        <v>1</v>
      </c>
      <c r="BC61" s="18">
        <f>IF(AY61&lt;=17,"0",IF(BA61&lt;=39,"0",IF(BA61&lt;=49,"4",IF(BA61&lt;=54,"5",IF(BA61&lt;=59,"6",IF(BA61&lt;=69,"7",IF(BA61&lt;=79,"8",IF(BA61&lt;=89,"9","10"))))))))</f>
        <v/>
      </c>
      <c r="BD61" s="18">
        <f>IF(AY61&lt;=17,"F",IF(BA61&lt;=39,"F",IF(BA61&lt;=49,"P",IF(BA61&lt;=54,"C",IF(BA61&lt;=59,"B",IF(BA61&lt;=69,"B+",IF(BA61&lt;=79,"A",IF(BA61&lt;=89,"A+","O"))))))))</f>
        <v/>
      </c>
      <c r="BE61" s="18">
        <f>BB61*BC61</f>
        <v/>
      </c>
      <c r="BF61" s="43" t="inlineStr">
        <is>
          <t>Balake Kannada</t>
        </is>
      </c>
      <c r="BG61" s="9" t="n">
        <v>48</v>
      </c>
      <c r="BH61" s="9" t="n">
        <v>49</v>
      </c>
      <c r="BI61" s="9" t="n"/>
      <c r="BJ61" s="18">
        <f>(BG61+BH61)</f>
        <v/>
      </c>
      <c r="BK61" s="18" t="n">
        <v>1</v>
      </c>
      <c r="BL61" s="18">
        <f>IF(BH61&lt;=17,"0",IF(BJ61&lt;=39,"0",IF(BJ61&lt;=49,"4",IF(BJ61&lt;=54,"5",IF(BJ61&lt;=59,"6",IF(BJ61&lt;=69,"7",IF(BJ61&lt;=79,"8",IF(BJ61&lt;=89,"9","10"))))))))</f>
        <v/>
      </c>
      <c r="BM61" s="18">
        <f>IF(BH61&lt;=17,"F",IF(BJ61&lt;=39,"F",IF(BJ61&lt;=49,"P",IF(BJ61&lt;=54,"C",IF(BJ61&lt;=59,"B",IF(BJ61&lt;=69,"B+",IF(BJ61&lt;=79,"A",IF(BJ61&lt;=89,"A+","O"))))))))</f>
        <v/>
      </c>
      <c r="BN61" s="18">
        <f>BK61*BL61</f>
        <v/>
      </c>
      <c r="BO61" s="18" t="n"/>
      <c r="BP61" s="9" t="n">
        <v>48</v>
      </c>
      <c r="BQ61" s="9" t="n">
        <v>38</v>
      </c>
      <c r="BR61" s="9" t="n"/>
      <c r="BS61" s="18">
        <f>(BP61+BQ61)</f>
        <v/>
      </c>
      <c r="BT61" s="18" t="n">
        <v>1</v>
      </c>
      <c r="BU61" s="18">
        <f>IF(BQ61&lt;=17,"0",IF(BS61&lt;=39,"0",IF(BS61&lt;=49,"4",IF(BS61&lt;=54,"5",IF(BS61&lt;=59,"6",IF(BS61&lt;=69,"7",IF(BS61&lt;=79,"8",IF(BS61&lt;=89,"9","10"))))))))</f>
        <v/>
      </c>
      <c r="BV61" s="18">
        <f>IF(BQ61&lt;=17,"F",IF(BS61&lt;=39,"F",IF(BS61&lt;=49,"P",IF(BS61&lt;=54,"C",IF(BS61&lt;=59,"B",IF(BS61&lt;=69,"B+",IF(BS61&lt;=79,"A",IF(BS61&lt;=89,"A+","O"))))))))</f>
        <v/>
      </c>
      <c r="BW61" s="18">
        <f>BT61*BU61</f>
        <v/>
      </c>
      <c r="BX61" s="18" t="n"/>
      <c r="BY61" s="18" t="n"/>
      <c r="BZ61" s="18">
        <f>L61+U61+AD61+AM61+AV61+BE61+BN61+BW61</f>
        <v/>
      </c>
      <c r="CA61" s="19">
        <f>BZ61/20</f>
        <v/>
      </c>
      <c r="CB61" s="28">
        <f>IF(CA61&lt;4,"F",IF(BV61="F","F",IF(BM61="F","F",IF(BD61="F","F",IF(AU61="F","F",IF(AL61="F","F",IF(AC61="F","F",IF(T61="F","F",IF(K61="F","F",IF(CA61&lt;=5,"C",IF(CA61&lt;6,"B",IF(CA61&lt;7,"B+",IF(CA61&lt;8,"A",IF(CA61&lt;=9,"A+","O"))))))))))))))</f>
        <v/>
      </c>
      <c r="CC61" s="27">
        <f>CA61*9.5</f>
        <v/>
      </c>
      <c r="CD61" s="27" t="n"/>
      <c r="CE61" s="28">
        <f>SUM(BS61,BJ61,BA61,AR61,AI61,Z61,Q61,H61)</f>
        <v/>
      </c>
      <c r="CF61" s="28">
        <f>(CE61/800)*100</f>
        <v/>
      </c>
      <c r="CG61" s="27" t="n"/>
      <c r="CH61" s="27" t="n"/>
      <c r="CI61" s="27">
        <f>IF(CA61&lt;=4,"F",IF(CA61&lt;=6,"PASS",IF(CA61&lt;=6.5,"SC",IF(CA61&lt;=7.5,"FC",IF(CA61&lt;="10","FCD")))))</f>
        <v/>
      </c>
    </row>
    <row r="62" ht="15.75" customHeight="1">
      <c r="A62" s="35">
        <f>A61+1</f>
        <v/>
      </c>
      <c r="B62" s="37" t="inlineStr">
        <is>
          <t>1BI22CD036</t>
        </is>
      </c>
      <c r="C62" s="44" t="inlineStr">
        <is>
          <t>PUVVADI VENKATA TANAY</t>
        </is>
      </c>
      <c r="D62" s="47" t="inlineStr">
        <is>
          <t>D</t>
        </is>
      </c>
      <c r="E62" s="9" t="n">
        <v>45</v>
      </c>
      <c r="F62" s="9" t="n">
        <v>18</v>
      </c>
      <c r="G62" s="9" t="n"/>
      <c r="H62" s="18">
        <f>SUM(E62:F62)</f>
        <v/>
      </c>
      <c r="I62" s="18" t="n">
        <v>4</v>
      </c>
      <c r="J62" s="18">
        <f>IF(F62&lt;=17,"0",IF(H62&lt;=39,"0",IF(H62&lt;=49,"4",IF(H62&lt;=54,"5",IF(H62&lt;=59,"6",IF(H62&lt;=69,"7",IF(H62&lt;=79,"8",IF(H62&lt;=89,"9","10"))))))))</f>
        <v/>
      </c>
      <c r="K62" s="18">
        <f>IF(F62&lt;=17,"F",IF(H62&lt;=39,"F",IF(H62&lt;=49,"P",IF(H62&lt;=54,"C",IF(H62&lt;=59,"B",IF(H62&lt;=69,"B+",IF(H62&lt;=79,"A",IF(H62&lt;=89,"A+","O"))))))))</f>
        <v/>
      </c>
      <c r="L62" s="18">
        <f>I62*J62</f>
        <v/>
      </c>
      <c r="M62" s="18" t="n"/>
      <c r="N62" s="9" t="n">
        <v>43</v>
      </c>
      <c r="O62" s="9" t="n">
        <v>33</v>
      </c>
      <c r="P62" s="9" t="n"/>
      <c r="Q62" s="18">
        <f>SUM(N62:O62)</f>
        <v/>
      </c>
      <c r="R62" s="18" t="n">
        <v>4</v>
      </c>
      <c r="S62" s="18">
        <f>IF(O62&lt;=17,"0",IF(Q62&lt;=39,"4",IF(Q62&lt;=49,"4",IF(Q62&lt;=54,"5",IF(Q62&lt;=59,"6",IF(Q62&lt;=69,"7",IF(Q62&lt;=79,"8",IF(Q62&lt;=89,"9","10"))))))))</f>
        <v/>
      </c>
      <c r="T62" s="18">
        <f>IF(O62&lt;=17,"F",IF(Q62&lt;=39,"F",IF(Q62&lt;=49,"P",IF(Q62&lt;=54,"C",IF(Q62&lt;=59,"B",IF(Q62&lt;=69,"B+",IF(Q62&lt;=79,"A",IF(Q62&lt;=89,"A+","O"))))))))</f>
        <v/>
      </c>
      <c r="U62" s="18">
        <f>R62*S62</f>
        <v/>
      </c>
      <c r="V62" s="18" t="n"/>
      <c r="W62" s="9" t="n">
        <v>42</v>
      </c>
      <c r="X62" s="9" t="n">
        <v>32</v>
      </c>
      <c r="Y62" s="18" t="n"/>
      <c r="Z62" s="18">
        <f>SUM(W62:X62)</f>
        <v/>
      </c>
      <c r="AA62" s="18" t="n">
        <v>3</v>
      </c>
      <c r="AB62" s="18">
        <f>IF(X62&lt;=17,"0",IF(Z62&lt;=39,"0",IF(Z62&lt;=49,"4",IF(Z62&lt;=54,"5",IF(Z62&lt;=59,"6",IF(Z62&lt;=69,"7",IF(Z62&lt;=79,"8",IF(Z62&lt;=89,"9","10"))))))))</f>
        <v/>
      </c>
      <c r="AC62" s="18">
        <f>IF(X62&lt;=17,"F",IF(Z62&lt;=39,"F",IF(Z62&lt;=49,"P",IF(Z62&lt;=54,"C",IF(Z62&lt;=59,"B",IF(Z62&lt;=69,"B+",IF(Z62&lt;=79,"A",IF(Z62&lt;=89,"A+","O"))))))))</f>
        <v/>
      </c>
      <c r="AD62" s="18">
        <f>AA62*AB62</f>
        <v/>
      </c>
      <c r="AE62" s="18" t="n"/>
      <c r="AF62" s="46" t="n">
        <v>44</v>
      </c>
      <c r="AG62" s="46" t="n">
        <v>26</v>
      </c>
      <c r="AH62" s="9" t="n"/>
      <c r="AI62" s="18">
        <f>SUM(AF62:AG62)</f>
        <v/>
      </c>
      <c r="AJ62" s="18" t="n">
        <v>3</v>
      </c>
      <c r="AK62" s="18">
        <f>IF(AG62&lt;=17,"0",IF(AI62&lt;=39,"0",IF(AI62&lt;=49,"4",IF(AI62&lt;=54,"5",IF(AI62&lt;=59,"6",IF(AI62&lt;=69,"7",IF(AI62&lt;=79,"8",IF(AI62&lt;=89,"9","10"))))))))</f>
        <v/>
      </c>
      <c r="AL62" s="18">
        <f>IF(AG62&lt;=17,"F",IF(AI62&lt;=39,"F",IF(AI62&lt;=49,"P",IF(AI62&lt;=54,"C",IF(AI62&lt;=59,"B",IF(AI62&lt;=69,"B+",IF(AI62&lt;=79,"A",IF(AI62&lt;=89,"A+","O"))))))))</f>
        <v/>
      </c>
      <c r="AM62" s="18">
        <f>AJ62*AK62</f>
        <v/>
      </c>
      <c r="AN62" s="18" t="n"/>
      <c r="AO62" s="46" t="n">
        <v>42</v>
      </c>
      <c r="AP62" s="46" t="n">
        <v>21</v>
      </c>
      <c r="AQ62" s="9" t="n"/>
      <c r="AR62" s="18">
        <f>(AO62+AP62)</f>
        <v/>
      </c>
      <c r="AS62" s="18" t="n">
        <v>3</v>
      </c>
      <c r="AT62" s="18">
        <f>IF(AP62&lt;=17,"0",IF(AR62&lt;=39,"0",IF(AR62&lt;=49,"4",IF(AR62&lt;=54,"5",IF(AR62&lt;=59,"6",IF(AR62&lt;=69,"7",IF(AR62&lt;=79,"8",IF(AR62&lt;=89,"9","10"))))))))</f>
        <v/>
      </c>
      <c r="AU62" s="18">
        <f>IF(AP62&lt;=17,"F",IF(AR62&lt;=39,"F",IF(AR62&lt;=49,"P",IF(AR62&lt;=54,"C",IF(AR62&lt;=59,"B",IF(AR62&lt;=69,"B+",IF(AR62&lt;=79,"A",IF(AR62&lt;=89,"A+","O"))))))))</f>
        <v/>
      </c>
      <c r="AV62" s="18">
        <f>AS62*AT62</f>
        <v/>
      </c>
      <c r="AW62" s="18" t="n"/>
      <c r="AX62" s="9" t="n">
        <v>45</v>
      </c>
      <c r="AY62" s="9" t="n">
        <v>32</v>
      </c>
      <c r="AZ62" s="9" t="n"/>
      <c r="BA62" s="18">
        <f>(AX62+AY62)</f>
        <v/>
      </c>
      <c r="BB62" s="18" t="n">
        <v>1</v>
      </c>
      <c r="BC62" s="18">
        <f>IF(AY62&lt;=17,"0",IF(BA62&lt;=39,"0",IF(BA62&lt;=49,"4",IF(BA62&lt;=54,"5",IF(BA62&lt;=59,"6",IF(BA62&lt;=69,"7",IF(BA62&lt;=79,"8",IF(BA62&lt;=89,"9","10"))))))))</f>
        <v/>
      </c>
      <c r="BD62" s="18">
        <f>IF(AY62&lt;=17,"F",IF(BA62&lt;=39,"F",IF(BA62&lt;=49,"P",IF(BA62&lt;=54,"C",IF(BA62&lt;=59,"B",IF(BA62&lt;=69,"B+",IF(BA62&lt;=79,"A",IF(BA62&lt;=89,"A+","O"))))))))</f>
        <v/>
      </c>
      <c r="BE62" s="18">
        <f>BB62*BC62</f>
        <v/>
      </c>
      <c r="BF62" s="43" t="inlineStr">
        <is>
          <t>Balake Kannada</t>
        </is>
      </c>
      <c r="BG62" s="9" t="n">
        <v>45</v>
      </c>
      <c r="BH62" s="9" t="n">
        <v>47</v>
      </c>
      <c r="BI62" s="9" t="n"/>
      <c r="BJ62" s="18">
        <f>(BG62+BH62)</f>
        <v/>
      </c>
      <c r="BK62" s="18" t="n">
        <v>1</v>
      </c>
      <c r="BL62" s="18">
        <f>IF(BH62&lt;=17,"0",IF(BJ62&lt;=39,"0",IF(BJ62&lt;=49,"4",IF(BJ62&lt;=54,"5",IF(BJ62&lt;=59,"6",IF(BJ62&lt;=69,"7",IF(BJ62&lt;=79,"8",IF(BJ62&lt;=89,"9","10"))))))))</f>
        <v/>
      </c>
      <c r="BM62" s="18">
        <f>IF(BH62&lt;=17,"F",IF(BJ62&lt;=39,"F",IF(BJ62&lt;=49,"P",IF(BJ62&lt;=54,"C",IF(BJ62&lt;=59,"B",IF(BJ62&lt;=69,"B+",IF(BJ62&lt;=79,"A",IF(BJ62&lt;=89,"A+","O"))))))))</f>
        <v/>
      </c>
      <c r="BN62" s="18">
        <f>BK62*BL62</f>
        <v/>
      </c>
      <c r="BO62" s="18" t="n"/>
      <c r="BP62" s="9" t="n">
        <v>40</v>
      </c>
      <c r="BQ62" s="9" t="n">
        <v>40</v>
      </c>
      <c r="BR62" s="9" t="n"/>
      <c r="BS62" s="18">
        <f>(BP62+BQ62)</f>
        <v/>
      </c>
      <c r="BT62" s="18" t="n">
        <v>1</v>
      </c>
      <c r="BU62" s="18">
        <f>IF(BQ62&lt;=17,"0",IF(BS62&lt;=39,"0",IF(BS62&lt;=49,"4",IF(BS62&lt;=54,"5",IF(BS62&lt;=59,"6",IF(BS62&lt;=69,"7",IF(BS62&lt;=79,"8",IF(BS62&lt;=89,"9","10"))))))))</f>
        <v/>
      </c>
      <c r="BV62" s="18">
        <f>IF(BQ62&lt;=17,"F",IF(BS62&lt;=39,"F",IF(BS62&lt;=49,"P",IF(BS62&lt;=54,"C",IF(BS62&lt;=59,"B",IF(BS62&lt;=69,"B+",IF(BS62&lt;=79,"A",IF(BS62&lt;=89,"A+","O"))))))))</f>
        <v/>
      </c>
      <c r="BW62" s="18">
        <f>BT62*BU62</f>
        <v/>
      </c>
      <c r="BX62" s="18" t="n"/>
      <c r="BY62" s="18" t="n"/>
      <c r="BZ62" s="18">
        <f>L62+U62+AD62+AM62+AV62+BE62+BN62+BW62</f>
        <v/>
      </c>
      <c r="CA62" s="19">
        <f>BZ62/20</f>
        <v/>
      </c>
      <c r="CB62" s="28">
        <f>IF(CA62&lt;4,"F",IF(BV62="F","F",IF(BM62="F","F",IF(BD62="F","F",IF(AU62="F","F",IF(AL62="F","F",IF(AC62="F","F",IF(T62="F","F",IF(K62="F","F",IF(CA62&lt;=5,"C",IF(CA62&lt;6,"B",IF(CA62&lt;7,"B+",IF(CA62&lt;8,"A",IF(CA62&lt;=9,"A+","O"))))))))))))))</f>
        <v/>
      </c>
      <c r="CC62" s="27">
        <f>CA62*9.5</f>
        <v/>
      </c>
      <c r="CD62" s="27" t="n"/>
      <c r="CE62" s="28">
        <f>SUM(BS62,BJ62,BA62,AR62,AI62,Z62,Q62,H62)</f>
        <v/>
      </c>
      <c r="CF62" s="28">
        <f>(CE62/800)*100</f>
        <v/>
      </c>
      <c r="CG62" s="27" t="n"/>
      <c r="CH62" s="27" t="n"/>
      <c r="CI62" s="27">
        <f>IF(CA62&lt;=4,"F",IF(CA62&lt;=6,"PASS",IF(CA62&lt;=6.5,"SC",IF(CA62&lt;=7.5,"FC",IF(CA62&lt;="10","FCD")))))</f>
        <v/>
      </c>
    </row>
    <row r="63" ht="15.75" customHeight="1">
      <c r="A63" s="35">
        <f>A62+1</f>
        <v/>
      </c>
      <c r="B63" s="37" t="inlineStr">
        <is>
          <t>1BI22CD022</t>
        </is>
      </c>
      <c r="C63" s="44" t="inlineStr">
        <is>
          <t>KUSHAL N</t>
        </is>
      </c>
      <c r="D63" s="47" t="inlineStr">
        <is>
          <t>D</t>
        </is>
      </c>
      <c r="E63" s="9" t="n">
        <v>45</v>
      </c>
      <c r="F63" s="9" t="n">
        <v>18</v>
      </c>
      <c r="G63" s="9" t="n"/>
      <c r="H63" s="18">
        <f>SUM(E63:F63)</f>
        <v/>
      </c>
      <c r="I63" s="18" t="n">
        <v>4</v>
      </c>
      <c r="J63" s="18">
        <f>IF(F63&lt;=17,"0",IF(H63&lt;=39,"0",IF(H63&lt;=49,"4",IF(H63&lt;=54,"5",IF(H63&lt;=59,"6",IF(H63&lt;=69,"7",IF(H63&lt;=79,"8",IF(H63&lt;=89,"9","10"))))))))</f>
        <v/>
      </c>
      <c r="K63" s="18">
        <f>IF(F63&lt;=17,"F",IF(H63&lt;=39,"F",IF(H63&lt;=49,"P",IF(H63&lt;=54,"C",IF(H63&lt;=59,"B",IF(H63&lt;=69,"B+",IF(H63&lt;=79,"A",IF(H63&lt;=89,"A+","O"))))))))</f>
        <v/>
      </c>
      <c r="L63" s="18">
        <f>I63*J63</f>
        <v/>
      </c>
      <c r="M63" s="18" t="n"/>
      <c r="N63" s="9" t="n">
        <v>44</v>
      </c>
      <c r="O63" s="9" t="n">
        <v>32</v>
      </c>
      <c r="P63" s="9" t="n"/>
      <c r="Q63" s="18">
        <f>SUM(N63:O63)</f>
        <v/>
      </c>
      <c r="R63" s="18" t="n">
        <v>4</v>
      </c>
      <c r="S63" s="18">
        <f>IF(O63&lt;=17,"0",IF(Q63&lt;=39,"4",IF(Q63&lt;=49,"4",IF(Q63&lt;=54,"5",IF(Q63&lt;=59,"6",IF(Q63&lt;=69,"7",IF(Q63&lt;=79,"8",IF(Q63&lt;=89,"9","10"))))))))</f>
        <v/>
      </c>
      <c r="T63" s="18">
        <f>IF(O63&lt;=17,"F",IF(Q63&lt;=39,"F",IF(Q63&lt;=49,"P",IF(Q63&lt;=54,"C",IF(Q63&lt;=59,"B",IF(Q63&lt;=69,"B+",IF(Q63&lt;=79,"A",IF(Q63&lt;=89,"A+","O"))))))))</f>
        <v/>
      </c>
      <c r="U63" s="18">
        <f>R63*S63</f>
        <v/>
      </c>
      <c r="V63" s="18" t="n"/>
      <c r="W63" s="9" t="n">
        <v>47</v>
      </c>
      <c r="X63" s="9" t="n">
        <v>42</v>
      </c>
      <c r="Y63" s="18" t="n"/>
      <c r="Z63" s="18">
        <f>SUM(W63:X63)</f>
        <v/>
      </c>
      <c r="AA63" s="18" t="n">
        <v>3</v>
      </c>
      <c r="AB63" s="18">
        <f>IF(X63&lt;=17,"0",IF(Z63&lt;=39,"0",IF(Z63&lt;=49,"4",IF(Z63&lt;=54,"5",IF(Z63&lt;=59,"6",IF(Z63&lt;=69,"7",IF(Z63&lt;=79,"8",IF(Z63&lt;=89,"9","10"))))))))</f>
        <v/>
      </c>
      <c r="AC63" s="18">
        <f>IF(X63&lt;=17,"F",IF(Z63&lt;=39,"F",IF(Z63&lt;=49,"P",IF(Z63&lt;=54,"C",IF(Z63&lt;=59,"B",IF(Z63&lt;=69,"B+",IF(Z63&lt;=79,"A",IF(Z63&lt;=89,"A+","O"))))))))</f>
        <v/>
      </c>
      <c r="AD63" s="18">
        <f>AA63*AB63</f>
        <v/>
      </c>
      <c r="AE63" s="18" t="n"/>
      <c r="AF63" s="46" t="n">
        <v>38</v>
      </c>
      <c r="AG63" s="46" t="n">
        <v>26</v>
      </c>
      <c r="AH63" s="9" t="n"/>
      <c r="AI63" s="18">
        <f>SUM(AF63:AG63)</f>
        <v/>
      </c>
      <c r="AJ63" s="18" t="n">
        <v>3</v>
      </c>
      <c r="AK63" s="18">
        <f>IF(AG63&lt;=17,"0",IF(AI63&lt;=39,"0",IF(AI63&lt;=49,"4",IF(AI63&lt;=54,"5",IF(AI63&lt;=59,"6",IF(AI63&lt;=69,"7",IF(AI63&lt;=79,"8",IF(AI63&lt;=89,"9","10"))))))))</f>
        <v/>
      </c>
      <c r="AL63" s="18">
        <f>IF(AG63&lt;=17,"F",IF(AI63&lt;=39,"F",IF(AI63&lt;=49,"P",IF(AI63&lt;=54,"C",IF(AI63&lt;=59,"B",IF(AI63&lt;=69,"B+",IF(AI63&lt;=79,"A",IF(AI63&lt;=89,"A+","O"))))))))</f>
        <v/>
      </c>
      <c r="AM63" s="18">
        <f>AJ63*AK63</f>
        <v/>
      </c>
      <c r="AN63" s="18" t="n"/>
      <c r="AO63" s="46" t="n">
        <v>41</v>
      </c>
      <c r="AP63" s="46" t="n">
        <v>20</v>
      </c>
      <c r="AQ63" s="9" t="n"/>
      <c r="AR63" s="18">
        <f>(AO63+AP63)</f>
        <v/>
      </c>
      <c r="AS63" s="18" t="n">
        <v>3</v>
      </c>
      <c r="AT63" s="18">
        <f>IF(AP63&lt;=17,"0",IF(AR63&lt;=39,"0",IF(AR63&lt;=49,"4",IF(AR63&lt;=54,"5",IF(AR63&lt;=59,"6",IF(AR63&lt;=69,"7",IF(AR63&lt;=79,"8",IF(AR63&lt;=89,"9","10"))))))))</f>
        <v/>
      </c>
      <c r="AU63" s="18">
        <f>IF(AP63&lt;=17,"F",IF(AR63&lt;=39,"F",IF(AR63&lt;=49,"P",IF(AR63&lt;=54,"C",IF(AR63&lt;=59,"B",IF(AR63&lt;=69,"B+",IF(AR63&lt;=79,"A",IF(AR63&lt;=89,"A+","O"))))))))</f>
        <v/>
      </c>
      <c r="AV63" s="18">
        <f>AS63*AT63</f>
        <v/>
      </c>
      <c r="AW63" s="18" t="n"/>
      <c r="AX63" s="9" t="n">
        <v>45</v>
      </c>
      <c r="AY63" s="9" t="n">
        <v>20</v>
      </c>
      <c r="AZ63" s="9" t="n"/>
      <c r="BA63" s="18">
        <f>(AX63+AY63)</f>
        <v/>
      </c>
      <c r="BB63" s="18" t="n">
        <v>1</v>
      </c>
      <c r="BC63" s="18">
        <f>IF(AY63&lt;=17,"0",IF(BA63&lt;=39,"0",IF(BA63&lt;=49,"4",IF(BA63&lt;=54,"5",IF(BA63&lt;=59,"6",IF(BA63&lt;=69,"7",IF(BA63&lt;=79,"8",IF(BA63&lt;=89,"9","10"))))))))</f>
        <v/>
      </c>
      <c r="BD63" s="18">
        <f>IF(AY63&lt;=17,"F",IF(BA63&lt;=39,"F",IF(BA63&lt;=49,"P",IF(BA63&lt;=54,"C",IF(BA63&lt;=59,"B",IF(BA63&lt;=69,"B+",IF(BA63&lt;=79,"A",IF(BA63&lt;=89,"A+","O"))))))))</f>
        <v/>
      </c>
      <c r="BE63" s="18">
        <f>BB63*BC63</f>
        <v/>
      </c>
      <c r="BF63" s="43" t="inlineStr">
        <is>
          <t>Samskrutika Kannada</t>
        </is>
      </c>
      <c r="BG63" s="9" t="n">
        <v>46</v>
      </c>
      <c r="BH63" s="9" t="n">
        <v>37</v>
      </c>
      <c r="BI63" s="9" t="n"/>
      <c r="BJ63" s="18">
        <f>(BG63+BH63)</f>
        <v/>
      </c>
      <c r="BK63" s="18" t="n">
        <v>1</v>
      </c>
      <c r="BL63" s="18">
        <f>IF(BH63&lt;=17,"0",IF(BJ63&lt;=39,"0",IF(BJ63&lt;=49,"4",IF(BJ63&lt;=54,"5",IF(BJ63&lt;=59,"6",IF(BJ63&lt;=69,"7",IF(BJ63&lt;=79,"8",IF(BJ63&lt;=89,"9","10"))))))))</f>
        <v/>
      </c>
      <c r="BM63" s="18">
        <f>IF(BH63&lt;=17,"F",IF(BJ63&lt;=39,"F",IF(BJ63&lt;=49,"P",IF(BJ63&lt;=54,"C",IF(BJ63&lt;=59,"B",IF(BJ63&lt;=69,"B+",IF(BJ63&lt;=79,"A",IF(BJ63&lt;=89,"A+","O"))))))))</f>
        <v/>
      </c>
      <c r="BN63" s="18">
        <f>BK63*BL63</f>
        <v/>
      </c>
      <c r="BO63" s="18" t="n"/>
      <c r="BP63" s="9" t="n">
        <v>43</v>
      </c>
      <c r="BQ63" s="9" t="n">
        <v>38</v>
      </c>
      <c r="BR63" s="9" t="n"/>
      <c r="BS63" s="18">
        <f>(BP63+BQ63)</f>
        <v/>
      </c>
      <c r="BT63" s="18" t="n">
        <v>1</v>
      </c>
      <c r="BU63" s="18">
        <f>IF(BQ63&lt;=17,"0",IF(BS63&lt;=39,"0",IF(BS63&lt;=49,"4",IF(BS63&lt;=54,"5",IF(BS63&lt;=59,"6",IF(BS63&lt;=69,"7",IF(BS63&lt;=79,"8",IF(BS63&lt;=89,"9","10"))))))))</f>
        <v/>
      </c>
      <c r="BV63" s="18">
        <f>IF(BQ63&lt;=17,"F",IF(BS63&lt;=39,"F",IF(BS63&lt;=49,"P",IF(BS63&lt;=54,"C",IF(BS63&lt;=59,"B",IF(BS63&lt;=69,"B+",IF(BS63&lt;=79,"A",IF(BS63&lt;=89,"A+","O"))))))))</f>
        <v/>
      </c>
      <c r="BW63" s="18">
        <f>BT63*BU63</f>
        <v/>
      </c>
      <c r="BX63" s="18" t="n"/>
      <c r="BY63" s="18" t="n"/>
      <c r="BZ63" s="18">
        <f>L63+U63+AD63+AM63+AV63+BE63+BN63+BW63</f>
        <v/>
      </c>
      <c r="CA63" s="19">
        <f>BZ63/20</f>
        <v/>
      </c>
      <c r="CB63" s="28">
        <f>IF(CA63&lt;4,"F",IF(BV63="F","F",IF(BM63="F","F",IF(BD63="F","F",IF(AU63="F","F",IF(AL63="F","F",IF(AC63="F","F",IF(T63="F","F",IF(K63="F","F",IF(CA63&lt;=5,"C",IF(CA63&lt;6,"B",IF(CA63&lt;7,"B+",IF(CA63&lt;8,"A",IF(CA63&lt;=9,"A+","O"))))))))))))))</f>
        <v/>
      </c>
      <c r="CC63" s="27">
        <f>CA63*9.5</f>
        <v/>
      </c>
      <c r="CD63" s="27" t="n"/>
      <c r="CE63" s="28">
        <f>SUM(BS63,BJ63,BA63,AR63,AI63,Z63,Q63,H63)</f>
        <v/>
      </c>
      <c r="CF63" s="28">
        <f>(CE63/800)*100</f>
        <v/>
      </c>
      <c r="CG63" s="27" t="n"/>
      <c r="CH63" s="27" t="n"/>
      <c r="CI63" s="27">
        <f>IF(CA63&lt;=4,"F",IF(CA63&lt;=6,"PASS",IF(CA63&lt;=6.5,"SC",IF(CA63&lt;=7.5,"FC",IF(CA63&lt;="10","FCD")))))</f>
        <v/>
      </c>
    </row>
    <row r="64" ht="15.75" customHeight="1">
      <c r="A64" s="35">
        <f>A63+1</f>
        <v/>
      </c>
      <c r="B64" s="37" t="inlineStr">
        <is>
          <t>1BI22CD046</t>
        </is>
      </c>
      <c r="C64" s="44" t="inlineStr">
        <is>
          <t>SARANG SINGH</t>
        </is>
      </c>
      <c r="D64" s="47" t="inlineStr">
        <is>
          <t>D</t>
        </is>
      </c>
      <c r="E64" s="9" t="n">
        <v>46</v>
      </c>
      <c r="F64" s="9" t="n">
        <v>28</v>
      </c>
      <c r="G64" s="9" t="n"/>
      <c r="H64" s="18">
        <f>SUM(E64:F64)</f>
        <v/>
      </c>
      <c r="I64" s="18" t="n">
        <v>4</v>
      </c>
      <c r="J64" s="18">
        <f>IF(F64&lt;=17,"0",IF(H64&lt;=39,"0",IF(H64&lt;=49,"4",IF(H64&lt;=54,"5",IF(H64&lt;=59,"6",IF(H64&lt;=69,"7",IF(H64&lt;=79,"8",IF(H64&lt;=89,"9","10"))))))))</f>
        <v/>
      </c>
      <c r="K64" s="18">
        <f>IF(F64&lt;=17,"F",IF(H64&lt;=39,"F",IF(H64&lt;=49,"P",IF(H64&lt;=54,"C",IF(H64&lt;=59,"B",IF(H64&lt;=69,"B+",IF(H64&lt;=79,"A",IF(H64&lt;=89,"A+","O"))))))))</f>
        <v/>
      </c>
      <c r="L64" s="18">
        <f>I64*J64</f>
        <v/>
      </c>
      <c r="M64" s="18" t="n"/>
      <c r="N64" s="9" t="n">
        <v>42</v>
      </c>
      <c r="O64" s="9" t="n">
        <v>21</v>
      </c>
      <c r="P64" s="9" t="n"/>
      <c r="Q64" s="18">
        <f>SUM(N64:O64)</f>
        <v/>
      </c>
      <c r="R64" s="18" t="n">
        <v>4</v>
      </c>
      <c r="S64" s="18">
        <f>IF(O64&lt;=17,"0",IF(Q64&lt;=39,"4",IF(Q64&lt;=49,"4",IF(Q64&lt;=54,"5",IF(Q64&lt;=59,"6",IF(Q64&lt;=69,"7",IF(Q64&lt;=79,"8",IF(Q64&lt;=89,"9","10"))))))))</f>
        <v/>
      </c>
      <c r="T64" s="18">
        <f>IF(O64&lt;=17,"F",IF(Q64&lt;=39,"F",IF(Q64&lt;=49,"P",IF(Q64&lt;=54,"C",IF(Q64&lt;=59,"B",IF(Q64&lt;=69,"B+",IF(Q64&lt;=79,"A",IF(Q64&lt;=89,"A+","O"))))))))</f>
        <v/>
      </c>
      <c r="U64" s="18">
        <f>R64*S64</f>
        <v/>
      </c>
      <c r="V64" s="18" t="n"/>
      <c r="W64" s="9" t="n">
        <v>32</v>
      </c>
      <c r="X64" s="9" t="n">
        <v>36</v>
      </c>
      <c r="Y64" s="18" t="n"/>
      <c r="Z64" s="18">
        <f>SUM(W64:X64)</f>
        <v/>
      </c>
      <c r="AA64" s="18" t="n">
        <v>3</v>
      </c>
      <c r="AB64" s="18">
        <f>IF(X64&lt;=17,"0",IF(Z64&lt;=39,"0",IF(Z64&lt;=49,"4",IF(Z64&lt;=54,"5",IF(Z64&lt;=59,"6",IF(Z64&lt;=69,"7",IF(Z64&lt;=79,"8",IF(Z64&lt;=89,"9","10"))))))))</f>
        <v/>
      </c>
      <c r="AC64" s="18">
        <f>IF(X64&lt;=17,"F",IF(Z64&lt;=39,"F",IF(Z64&lt;=49,"P",IF(Z64&lt;=54,"C",IF(Z64&lt;=59,"B",IF(Z64&lt;=69,"B+",IF(Z64&lt;=79,"A",IF(Z64&lt;=89,"A+","O"))))))))</f>
        <v/>
      </c>
      <c r="AD64" s="18">
        <f>AA64*AB64</f>
        <v/>
      </c>
      <c r="AE64" s="18" t="n"/>
      <c r="AF64" s="46" t="n">
        <v>30</v>
      </c>
      <c r="AG64" s="46" t="n">
        <v>28</v>
      </c>
      <c r="AH64" s="9" t="n"/>
      <c r="AI64" s="18">
        <f>SUM(AF64:AG64)</f>
        <v/>
      </c>
      <c r="AJ64" s="18" t="n">
        <v>3</v>
      </c>
      <c r="AK64" s="18">
        <f>IF(AG64&lt;=17,"0",IF(AI64&lt;=39,"0",IF(AI64&lt;=49,"4",IF(AI64&lt;=54,"5",IF(AI64&lt;=59,"6",IF(AI64&lt;=69,"7",IF(AI64&lt;=79,"8",IF(AI64&lt;=89,"9","10"))))))))</f>
        <v/>
      </c>
      <c r="AL64" s="18">
        <f>IF(AG64&lt;=17,"F",IF(AI64&lt;=39,"F",IF(AI64&lt;=49,"P",IF(AI64&lt;=54,"C",IF(AI64&lt;=59,"B",IF(AI64&lt;=69,"B+",IF(AI64&lt;=79,"A",IF(AI64&lt;=89,"A+","O"))))))))</f>
        <v/>
      </c>
      <c r="AM64" s="18">
        <f>AJ64*AK64</f>
        <v/>
      </c>
      <c r="AN64" s="18" t="n"/>
      <c r="AO64" s="46" t="n">
        <v>41</v>
      </c>
      <c r="AP64" s="46" t="n">
        <v>42</v>
      </c>
      <c r="AQ64" s="9" t="n"/>
      <c r="AR64" s="18">
        <f>(AO64+AP64)</f>
        <v/>
      </c>
      <c r="AS64" s="18" t="n">
        <v>3</v>
      </c>
      <c r="AT64" s="18">
        <f>IF(AP64&lt;=17,"0",IF(AR64&lt;=39,"0",IF(AR64&lt;=49,"4",IF(AR64&lt;=54,"5",IF(AR64&lt;=59,"6",IF(AR64&lt;=69,"7",IF(AR64&lt;=79,"8",IF(AR64&lt;=89,"9","10"))))))))</f>
        <v/>
      </c>
      <c r="AU64" s="18">
        <f>IF(AP64&lt;=17,"F",IF(AR64&lt;=39,"F",IF(AR64&lt;=49,"P",IF(AR64&lt;=54,"C",IF(AR64&lt;=59,"B",IF(AR64&lt;=69,"B+",IF(AR64&lt;=79,"A",IF(AR64&lt;=89,"A+","O"))))))))</f>
        <v/>
      </c>
      <c r="AV64" s="18">
        <f>AS64*AT64</f>
        <v/>
      </c>
      <c r="AW64" s="18" t="n"/>
      <c r="AX64" s="9" t="n">
        <v>45</v>
      </c>
      <c r="AY64" s="9" t="n">
        <v>30</v>
      </c>
      <c r="AZ64" s="9" t="n"/>
      <c r="BA64" s="18">
        <f>(AX64+AY64)</f>
        <v/>
      </c>
      <c r="BB64" s="18" t="n">
        <v>1</v>
      </c>
      <c r="BC64" s="18">
        <f>IF(AY64&lt;=17,"0",IF(BA64&lt;=39,"0",IF(BA64&lt;=49,"4",IF(BA64&lt;=54,"5",IF(BA64&lt;=59,"6",IF(BA64&lt;=69,"7",IF(BA64&lt;=79,"8",IF(BA64&lt;=89,"9","10"))))))))</f>
        <v/>
      </c>
      <c r="BD64" s="18">
        <f>IF(AY64&lt;=17,"F",IF(BA64&lt;=39,"F",IF(BA64&lt;=49,"P",IF(BA64&lt;=54,"C",IF(BA64&lt;=59,"B",IF(BA64&lt;=69,"B+",IF(BA64&lt;=79,"A",IF(BA64&lt;=89,"A+","O"))))))))</f>
        <v/>
      </c>
      <c r="BE64" s="18">
        <f>BB64*BC64</f>
        <v/>
      </c>
      <c r="BF64" s="43" t="inlineStr">
        <is>
          <t>Balake Kannada</t>
        </is>
      </c>
      <c r="BG64" s="9" t="n">
        <v>46</v>
      </c>
      <c r="BH64" s="9" t="n">
        <v>28</v>
      </c>
      <c r="BI64" s="9" t="n"/>
      <c r="BJ64" s="18">
        <f>(BG64+BH64)</f>
        <v/>
      </c>
      <c r="BK64" s="18" t="n">
        <v>1</v>
      </c>
      <c r="BL64" s="18">
        <f>IF(BH64&lt;=17,"0",IF(BJ64&lt;=39,"0",IF(BJ64&lt;=49,"4",IF(BJ64&lt;=54,"5",IF(BJ64&lt;=59,"6",IF(BJ64&lt;=69,"7",IF(BJ64&lt;=79,"8",IF(BJ64&lt;=89,"9","10"))))))))</f>
        <v/>
      </c>
      <c r="BM64" s="18">
        <f>IF(BH64&lt;=17,"F",IF(BJ64&lt;=39,"F",IF(BJ64&lt;=49,"P",IF(BJ64&lt;=54,"C",IF(BJ64&lt;=59,"B",IF(BJ64&lt;=69,"B+",IF(BJ64&lt;=79,"A",IF(BJ64&lt;=89,"A+","O"))))))))</f>
        <v/>
      </c>
      <c r="BN64" s="18">
        <f>BK64*BL64</f>
        <v/>
      </c>
      <c r="BO64" s="18" t="n"/>
      <c r="BP64" s="9" t="n">
        <v>43</v>
      </c>
      <c r="BQ64" s="9" t="n">
        <v>39</v>
      </c>
      <c r="BR64" s="9" t="n"/>
      <c r="BS64" s="18">
        <f>(BP64+BQ64)</f>
        <v/>
      </c>
      <c r="BT64" s="18" t="n">
        <v>1</v>
      </c>
      <c r="BU64" s="18">
        <f>IF(BQ64&lt;=17,"0",IF(BS64&lt;=39,"0",IF(BS64&lt;=49,"4",IF(BS64&lt;=54,"5",IF(BS64&lt;=59,"6",IF(BS64&lt;=69,"7",IF(BS64&lt;=79,"8",IF(BS64&lt;=89,"9","10"))))))))</f>
        <v/>
      </c>
      <c r="BV64" s="18">
        <f>IF(BQ64&lt;=17,"F",IF(BS64&lt;=39,"F",IF(BS64&lt;=49,"P",IF(BS64&lt;=54,"C",IF(BS64&lt;=59,"B",IF(BS64&lt;=69,"B+",IF(BS64&lt;=79,"A",IF(BS64&lt;=89,"A+","O"))))))))</f>
        <v/>
      </c>
      <c r="BW64" s="18">
        <f>BT64*BU64</f>
        <v/>
      </c>
      <c r="BX64" s="18" t="n"/>
      <c r="BY64" s="18" t="n"/>
      <c r="BZ64" s="18">
        <f>L64+U64+AD64+AM64+AV64+BE64+BN64+BW64</f>
        <v/>
      </c>
      <c r="CA64" s="19">
        <f>BZ64/20</f>
        <v/>
      </c>
      <c r="CB64" s="28">
        <f>IF(CA64&lt;4,"F",IF(BV64="F","F",IF(BM64="F","F",IF(BD64="F","F",IF(AU64="F","F",IF(AL64="F","F",IF(AC64="F","F",IF(T64="F","F",IF(K64="F","F",IF(CA64&lt;=5,"C",IF(CA64&lt;6,"B",IF(CA64&lt;7,"B+",IF(CA64&lt;8,"A",IF(CA64&lt;=9,"A+","O"))))))))))))))</f>
        <v/>
      </c>
      <c r="CC64" s="27">
        <f>CA64*9.5</f>
        <v/>
      </c>
      <c r="CD64" s="27" t="n"/>
      <c r="CE64" s="28">
        <f>SUM(BS64,BJ64,BA64,AR64,AI64,Z64,Q64,H64)</f>
        <v/>
      </c>
      <c r="CF64" s="28">
        <f>(CE64/800)*100</f>
        <v/>
      </c>
      <c r="CG64" s="27" t="n"/>
      <c r="CH64" s="27" t="n"/>
      <c r="CI64" s="27">
        <f>IF(CA64&lt;=4,"F",IF(CA64&lt;=6,"PASS",IF(CA64&lt;=6.5,"SC",IF(CA64&lt;=7.5,"FC",IF(CA64&lt;="10","FCD")))))</f>
        <v/>
      </c>
    </row>
    <row r="65" ht="15.75" customHeight="1">
      <c r="A65" s="35">
        <f>A64+1</f>
        <v/>
      </c>
      <c r="B65" s="37" t="inlineStr">
        <is>
          <t>1BI22CD043</t>
        </is>
      </c>
      <c r="C65" s="44" t="inlineStr">
        <is>
          <t>SAIYAM JAIN H M</t>
        </is>
      </c>
      <c r="D65" s="47" t="inlineStr">
        <is>
          <t>D</t>
        </is>
      </c>
      <c r="E65" s="9" t="n">
        <v>43</v>
      </c>
      <c r="F65" s="9" t="n">
        <v>27</v>
      </c>
      <c r="G65" s="9" t="n"/>
      <c r="H65" s="18">
        <f>SUM(E65:F65)</f>
        <v/>
      </c>
      <c r="I65" s="18" t="n">
        <v>4</v>
      </c>
      <c r="J65" s="18">
        <f>IF(F65&lt;=17,"0",IF(H65&lt;=39,"0",IF(H65&lt;=49,"4",IF(H65&lt;=54,"5",IF(H65&lt;=59,"6",IF(H65&lt;=69,"7",IF(H65&lt;=79,"8",IF(H65&lt;=89,"9","10"))))))))</f>
        <v/>
      </c>
      <c r="K65" s="18">
        <f>IF(F65&lt;=17,"F",IF(H65&lt;=39,"F",IF(H65&lt;=49,"P",IF(H65&lt;=54,"C",IF(H65&lt;=59,"B",IF(H65&lt;=69,"B+",IF(H65&lt;=79,"A",IF(H65&lt;=89,"A+","O"))))))))</f>
        <v/>
      </c>
      <c r="L65" s="18">
        <f>I65*J65</f>
        <v/>
      </c>
      <c r="M65" s="18" t="n"/>
      <c r="N65" s="9" t="n">
        <v>44</v>
      </c>
      <c r="O65" s="9" t="n">
        <v>20</v>
      </c>
      <c r="P65" s="9" t="n"/>
      <c r="Q65" s="18">
        <f>SUM(N65:O65)</f>
        <v/>
      </c>
      <c r="R65" s="18" t="n">
        <v>4</v>
      </c>
      <c r="S65" s="18">
        <f>IF(O65&lt;=17,"0",IF(Q65&lt;=39,"4",IF(Q65&lt;=49,"4",IF(Q65&lt;=54,"5",IF(Q65&lt;=59,"6",IF(Q65&lt;=69,"7",IF(Q65&lt;=79,"8",IF(Q65&lt;=89,"9","10"))))))))</f>
        <v/>
      </c>
      <c r="T65" s="18">
        <f>IF(O65&lt;=17,"F",IF(Q65&lt;=39,"F",IF(Q65&lt;=49,"P",IF(Q65&lt;=54,"C",IF(Q65&lt;=59,"B",IF(Q65&lt;=69,"B+",IF(Q65&lt;=79,"A",IF(Q65&lt;=89,"A+","O"))))))))</f>
        <v/>
      </c>
      <c r="U65" s="18">
        <f>R65*S65</f>
        <v/>
      </c>
      <c r="V65" s="18" t="n"/>
      <c r="W65" s="9" t="n">
        <v>40</v>
      </c>
      <c r="X65" s="9" t="n">
        <v>37</v>
      </c>
      <c r="Y65" s="18" t="n"/>
      <c r="Z65" s="18">
        <f>SUM(W65:X65)</f>
        <v/>
      </c>
      <c r="AA65" s="18" t="n">
        <v>3</v>
      </c>
      <c r="AB65" s="18">
        <f>IF(X65&lt;=17,"0",IF(Z65&lt;=39,"0",IF(Z65&lt;=49,"4",IF(Z65&lt;=54,"5",IF(Z65&lt;=59,"6",IF(Z65&lt;=69,"7",IF(Z65&lt;=79,"8",IF(Z65&lt;=89,"9","10"))))))))</f>
        <v/>
      </c>
      <c r="AC65" s="18">
        <f>IF(X65&lt;=17,"F",IF(Z65&lt;=39,"F",IF(Z65&lt;=49,"P",IF(Z65&lt;=54,"C",IF(Z65&lt;=59,"B",IF(Z65&lt;=69,"B+",IF(Z65&lt;=79,"A",IF(Z65&lt;=89,"A+","O"))))))))</f>
        <v/>
      </c>
      <c r="AD65" s="18">
        <f>AA65*AB65</f>
        <v/>
      </c>
      <c r="AE65" s="18" t="n"/>
      <c r="AF65" s="46" t="n">
        <v>38</v>
      </c>
      <c r="AG65" s="46" t="n">
        <v>25</v>
      </c>
      <c r="AH65" s="9" t="n"/>
      <c r="AI65" s="18">
        <f>SUM(AF65:AG65)</f>
        <v/>
      </c>
      <c r="AJ65" s="18" t="n">
        <v>3</v>
      </c>
      <c r="AK65" s="18">
        <f>IF(AG65&lt;=17,"0",IF(AI65&lt;=39,"0",IF(AI65&lt;=49,"4",IF(AI65&lt;=54,"5",IF(AI65&lt;=59,"6",IF(AI65&lt;=69,"7",IF(AI65&lt;=79,"8",IF(AI65&lt;=89,"9","10"))))))))</f>
        <v/>
      </c>
      <c r="AL65" s="18">
        <f>IF(AG65&lt;=17,"F",IF(AI65&lt;=39,"F",IF(AI65&lt;=49,"P",IF(AI65&lt;=54,"C",IF(AI65&lt;=59,"B",IF(AI65&lt;=69,"B+",IF(AI65&lt;=79,"A",IF(AI65&lt;=89,"A+","O"))))))))</f>
        <v/>
      </c>
      <c r="AM65" s="18">
        <f>AJ65*AK65</f>
        <v/>
      </c>
      <c r="AN65" s="18" t="n"/>
      <c r="AO65" s="46" t="n">
        <v>40</v>
      </c>
      <c r="AP65" s="46" t="n">
        <v>22</v>
      </c>
      <c r="AQ65" s="9" t="n"/>
      <c r="AR65" s="18">
        <f>(AO65+AP65)</f>
        <v/>
      </c>
      <c r="AS65" s="18" t="n">
        <v>3</v>
      </c>
      <c r="AT65" s="18">
        <f>IF(AP65&lt;=17,"0",IF(AR65&lt;=39,"0",IF(AR65&lt;=49,"4",IF(AR65&lt;=54,"5",IF(AR65&lt;=59,"6",IF(AR65&lt;=69,"7",IF(AR65&lt;=79,"8",IF(AR65&lt;=89,"9","10"))))))))</f>
        <v/>
      </c>
      <c r="AU65" s="18">
        <f>IF(AP65&lt;=17,"F",IF(AR65&lt;=39,"F",IF(AR65&lt;=49,"P",IF(AR65&lt;=54,"C",IF(AR65&lt;=59,"B",IF(AR65&lt;=69,"B+",IF(AR65&lt;=79,"A",IF(AR65&lt;=89,"A+","O"))))))))</f>
        <v/>
      </c>
      <c r="AV65" s="18">
        <f>AS65*AT65</f>
        <v/>
      </c>
      <c r="AW65" s="18" t="n"/>
      <c r="AX65" s="9" t="n">
        <v>45</v>
      </c>
      <c r="AY65" s="9" t="n">
        <v>31</v>
      </c>
      <c r="AZ65" s="9" t="n"/>
      <c r="BA65" s="18">
        <f>(AX65+AY65)</f>
        <v/>
      </c>
      <c r="BB65" s="18" t="n">
        <v>1</v>
      </c>
      <c r="BC65" s="18">
        <f>IF(AY65&lt;=17,"0",IF(BA65&lt;=39,"0",IF(BA65&lt;=49,"4",IF(BA65&lt;=54,"5",IF(BA65&lt;=59,"6",IF(BA65&lt;=69,"7",IF(BA65&lt;=79,"8",IF(BA65&lt;=89,"9","10"))))))))</f>
        <v/>
      </c>
      <c r="BD65" s="18">
        <f>IF(AY65&lt;=17,"F",IF(BA65&lt;=39,"F",IF(BA65&lt;=49,"P",IF(BA65&lt;=54,"C",IF(BA65&lt;=59,"B",IF(BA65&lt;=69,"B+",IF(BA65&lt;=79,"A",IF(BA65&lt;=89,"A+","O"))))))))</f>
        <v/>
      </c>
      <c r="BE65" s="18">
        <f>BB65*BC65</f>
        <v/>
      </c>
      <c r="BF65" s="43" t="inlineStr">
        <is>
          <t>Samskrutika Kannada</t>
        </is>
      </c>
      <c r="BG65" s="9" t="n">
        <v>45</v>
      </c>
      <c r="BH65" s="9" t="n">
        <v>28</v>
      </c>
      <c r="BI65" s="9" t="n"/>
      <c r="BJ65" s="18">
        <f>(BG65+BH65)</f>
        <v/>
      </c>
      <c r="BK65" s="18" t="n">
        <v>1</v>
      </c>
      <c r="BL65" s="18">
        <f>IF(BH65&lt;=17,"0",IF(BJ65&lt;=39,"0",IF(BJ65&lt;=49,"4",IF(BJ65&lt;=54,"5",IF(BJ65&lt;=59,"6",IF(BJ65&lt;=69,"7",IF(BJ65&lt;=79,"8",IF(BJ65&lt;=89,"9","10"))))))))</f>
        <v/>
      </c>
      <c r="BM65" s="18">
        <f>IF(BH65&lt;=17,"F",IF(BJ65&lt;=39,"F",IF(BJ65&lt;=49,"P",IF(BJ65&lt;=54,"C",IF(BJ65&lt;=59,"B",IF(BJ65&lt;=69,"B+",IF(BJ65&lt;=79,"A",IF(BJ65&lt;=89,"A+","O"))))))))</f>
        <v/>
      </c>
      <c r="BN65" s="18">
        <f>BK65*BL65</f>
        <v/>
      </c>
      <c r="BO65" s="18" t="n"/>
      <c r="BP65" s="9" t="n">
        <v>41</v>
      </c>
      <c r="BQ65" s="9" t="n">
        <v>38</v>
      </c>
      <c r="BR65" s="9" t="n"/>
      <c r="BS65" s="18">
        <f>(BP65+BQ65)</f>
        <v/>
      </c>
      <c r="BT65" s="18" t="n">
        <v>1</v>
      </c>
      <c r="BU65" s="18">
        <f>IF(BQ65&lt;=17,"0",IF(BS65&lt;=39,"0",IF(BS65&lt;=49,"4",IF(BS65&lt;=54,"5",IF(BS65&lt;=59,"6",IF(BS65&lt;=69,"7",IF(BS65&lt;=79,"8",IF(BS65&lt;=89,"9","10"))))))))</f>
        <v/>
      </c>
      <c r="BV65" s="18">
        <f>IF(BQ65&lt;=17,"F",IF(BS65&lt;=39,"F",IF(BS65&lt;=49,"P",IF(BS65&lt;=54,"C",IF(BS65&lt;=59,"B",IF(BS65&lt;=69,"B+",IF(BS65&lt;=79,"A",IF(BS65&lt;=89,"A+","O"))))))))</f>
        <v/>
      </c>
      <c r="BW65" s="18">
        <f>BT65*BU65</f>
        <v/>
      </c>
      <c r="BX65" s="18" t="n"/>
      <c r="BY65" s="18" t="n"/>
      <c r="BZ65" s="18">
        <f>L65+U65+AD65+AM65+AV65+BE65+BN65+BW65</f>
        <v/>
      </c>
      <c r="CA65" s="19">
        <f>BZ65/20</f>
        <v/>
      </c>
      <c r="CB65" s="28">
        <f>IF(CA65&lt;4,"F",IF(BV65="F","F",IF(BM65="F","F",IF(BD65="F","F",IF(AU65="F","F",IF(AL65="F","F",IF(AC65="F","F",IF(T65="F","F",IF(K65="F","F",IF(CA65&lt;=5,"C",IF(CA65&lt;6,"B",IF(CA65&lt;7,"B+",IF(CA65&lt;8,"A",IF(CA65&lt;=9,"A+","O"))))))))))))))</f>
        <v/>
      </c>
      <c r="CC65" s="27">
        <f>CA65*9.5</f>
        <v/>
      </c>
      <c r="CD65" s="27" t="n"/>
      <c r="CE65" s="28">
        <f>SUM(BS65,BJ65,BA65,AR65,AI65,Z65,Q65,H65)</f>
        <v/>
      </c>
      <c r="CF65" s="28">
        <f>(CE65/800)*100</f>
        <v/>
      </c>
      <c r="CG65" s="27" t="n"/>
      <c r="CH65" s="27" t="n"/>
      <c r="CI65" s="27">
        <f>IF(CA65&lt;=4,"F",IF(CA65&lt;=6,"PASS",IF(CA65&lt;=6.5,"SC",IF(CA65&lt;=7.5,"FC",IF(CA65&lt;="10","FCD")))))</f>
        <v/>
      </c>
    </row>
    <row r="66" ht="15.75" customHeight="1">
      <c r="A66" s="35">
        <f>A65+1</f>
        <v/>
      </c>
      <c r="B66" s="37" t="inlineStr">
        <is>
          <t>1BI22CD020</t>
        </is>
      </c>
      <c r="C66" s="44" t="inlineStr">
        <is>
          <t>KRUTHIKA S</t>
        </is>
      </c>
      <c r="D66" s="47" t="inlineStr">
        <is>
          <t>D</t>
        </is>
      </c>
      <c r="E66" s="9" t="n">
        <v>44</v>
      </c>
      <c r="F66" s="9" t="n">
        <v>18</v>
      </c>
      <c r="G66" s="9" t="n"/>
      <c r="H66" s="18">
        <f>SUM(E66:F66)</f>
        <v/>
      </c>
      <c r="I66" s="18" t="n">
        <v>4</v>
      </c>
      <c r="J66" s="18">
        <f>IF(F66&lt;=17,"0",IF(H66&lt;=39,"0",IF(H66&lt;=49,"4",IF(H66&lt;=54,"5",IF(H66&lt;=59,"6",IF(H66&lt;=69,"7",IF(H66&lt;=79,"8",IF(H66&lt;=89,"9","10"))))))))</f>
        <v/>
      </c>
      <c r="K66" s="18">
        <f>IF(F66&lt;=17,"F",IF(H66&lt;=39,"F",IF(H66&lt;=49,"P",IF(H66&lt;=54,"C",IF(H66&lt;=59,"B",IF(H66&lt;=69,"B+",IF(H66&lt;=79,"A",IF(H66&lt;=89,"A+","O"))))))))</f>
        <v/>
      </c>
      <c r="L66" s="18">
        <f>I66*J66</f>
        <v/>
      </c>
      <c r="M66" s="18" t="n"/>
      <c r="N66" s="9" t="n">
        <v>43</v>
      </c>
      <c r="O66" s="9" t="n">
        <v>25</v>
      </c>
      <c r="P66" s="9" t="n"/>
      <c r="Q66" s="18">
        <f>SUM(N66:O66)</f>
        <v/>
      </c>
      <c r="R66" s="18" t="n">
        <v>4</v>
      </c>
      <c r="S66" s="18">
        <f>IF(O66&lt;=17,"0",IF(Q66&lt;=39,"4",IF(Q66&lt;=49,"4",IF(Q66&lt;=54,"5",IF(Q66&lt;=59,"6",IF(Q66&lt;=69,"7",IF(Q66&lt;=79,"8",IF(Q66&lt;=89,"9","10"))))))))</f>
        <v/>
      </c>
      <c r="T66" s="18">
        <f>IF(O66&lt;=17,"F",IF(Q66&lt;=39,"F",IF(Q66&lt;=49,"P",IF(Q66&lt;=54,"C",IF(Q66&lt;=59,"B",IF(Q66&lt;=69,"B+",IF(Q66&lt;=79,"A",IF(Q66&lt;=89,"A+","O"))))))))</f>
        <v/>
      </c>
      <c r="U66" s="18">
        <f>R66*S66</f>
        <v/>
      </c>
      <c r="V66" s="18" t="n"/>
      <c r="W66" s="9" t="n">
        <v>46</v>
      </c>
      <c r="X66" s="9" t="n">
        <v>34</v>
      </c>
      <c r="Y66" s="18" t="n"/>
      <c r="Z66" s="18">
        <f>SUM(W66:X66)</f>
        <v/>
      </c>
      <c r="AA66" s="18" t="n">
        <v>3</v>
      </c>
      <c r="AB66" s="18">
        <f>IF(X66&lt;=17,"0",IF(Z66&lt;=39,"0",IF(Z66&lt;=49,"4",IF(Z66&lt;=54,"5",IF(Z66&lt;=59,"6",IF(Z66&lt;=69,"7",IF(Z66&lt;=79,"8",IF(Z66&lt;=89,"9","10"))))))))</f>
        <v/>
      </c>
      <c r="AC66" s="18">
        <f>IF(X66&lt;=17,"F",IF(Z66&lt;=39,"F",IF(Z66&lt;=49,"P",IF(Z66&lt;=54,"C",IF(Z66&lt;=59,"B",IF(Z66&lt;=69,"B+",IF(Z66&lt;=79,"A",IF(Z66&lt;=89,"A+","O"))))))))</f>
        <v/>
      </c>
      <c r="AD66" s="18">
        <f>AA66*AB66</f>
        <v/>
      </c>
      <c r="AE66" s="18" t="n"/>
      <c r="AF66" s="46" t="n">
        <v>38</v>
      </c>
      <c r="AG66" s="46" t="n">
        <v>24</v>
      </c>
      <c r="AH66" s="9" t="n"/>
      <c r="AI66" s="18">
        <f>SUM(AF66:AG66)</f>
        <v/>
      </c>
      <c r="AJ66" s="18" t="n">
        <v>3</v>
      </c>
      <c r="AK66" s="18">
        <f>IF(AG66&lt;=17,"0",IF(AI66&lt;=39,"0",IF(AI66&lt;=49,"4",IF(AI66&lt;=54,"5",IF(AI66&lt;=59,"6",IF(AI66&lt;=69,"7",IF(AI66&lt;=79,"8",IF(AI66&lt;=89,"9","10"))))))))</f>
        <v/>
      </c>
      <c r="AL66" s="18">
        <f>IF(AG66&lt;=17,"F",IF(AI66&lt;=39,"F",IF(AI66&lt;=49,"P",IF(AI66&lt;=54,"C",IF(AI66&lt;=59,"B",IF(AI66&lt;=69,"B+",IF(AI66&lt;=79,"A",IF(AI66&lt;=89,"A+","O"))))))))</f>
        <v/>
      </c>
      <c r="AM66" s="18">
        <f>AJ66*AK66</f>
        <v/>
      </c>
      <c r="AN66" s="18" t="n"/>
      <c r="AO66" s="46" t="n">
        <v>44</v>
      </c>
      <c r="AP66" s="46" t="n">
        <v>21</v>
      </c>
      <c r="AQ66" s="9" t="n"/>
      <c r="AR66" s="18">
        <f>(AO66+AP66)</f>
        <v/>
      </c>
      <c r="AS66" s="18" t="n">
        <v>3</v>
      </c>
      <c r="AT66" s="18">
        <f>IF(AP66&lt;=17,"0",IF(AR66&lt;=39,"0",IF(AR66&lt;=49,"4",IF(AR66&lt;=54,"5",IF(AR66&lt;=59,"6",IF(AR66&lt;=69,"7",IF(AR66&lt;=79,"8",IF(AR66&lt;=89,"9","10"))))))))</f>
        <v/>
      </c>
      <c r="AU66" s="18">
        <f>IF(AP66&lt;=17,"F",IF(AR66&lt;=39,"F",IF(AR66&lt;=49,"P",IF(AR66&lt;=54,"C",IF(AR66&lt;=59,"B",IF(AR66&lt;=69,"B+",IF(AR66&lt;=79,"A",IF(AR66&lt;=89,"A+","O"))))))))</f>
        <v/>
      </c>
      <c r="AV66" s="18">
        <f>AS66*AT66</f>
        <v/>
      </c>
      <c r="AW66" s="18" t="n"/>
      <c r="AX66" s="9" t="n">
        <v>44</v>
      </c>
      <c r="AY66" s="9" t="n">
        <v>27</v>
      </c>
      <c r="AZ66" s="9" t="n"/>
      <c r="BA66" s="18">
        <f>(AX66+AY66)</f>
        <v/>
      </c>
      <c r="BB66" s="18" t="n">
        <v>1</v>
      </c>
      <c r="BC66" s="18">
        <f>IF(AY66&lt;=17,"0",IF(BA66&lt;=39,"0",IF(BA66&lt;=49,"4",IF(BA66&lt;=54,"5",IF(BA66&lt;=59,"6",IF(BA66&lt;=69,"7",IF(BA66&lt;=79,"8",IF(BA66&lt;=89,"9","10"))))))))</f>
        <v/>
      </c>
      <c r="BD66" s="18">
        <f>IF(AY66&lt;=17,"F",IF(BA66&lt;=39,"F",IF(BA66&lt;=49,"P",IF(BA66&lt;=54,"C",IF(BA66&lt;=59,"B",IF(BA66&lt;=69,"B+",IF(BA66&lt;=79,"A",IF(BA66&lt;=89,"A+","O"))))))))</f>
        <v/>
      </c>
      <c r="BE66" s="18">
        <f>BB66*BC66</f>
        <v/>
      </c>
      <c r="BF66" s="69" t="inlineStr">
        <is>
          <t>Samskrutika Kannada</t>
        </is>
      </c>
      <c r="BG66" s="9" t="n">
        <v>45</v>
      </c>
      <c r="BH66" s="9" t="n">
        <v>24</v>
      </c>
      <c r="BI66" s="9" t="n"/>
      <c r="BJ66" s="18">
        <f>(BG66+BH66)</f>
        <v/>
      </c>
      <c r="BK66" s="18" t="n">
        <v>1</v>
      </c>
      <c r="BL66" s="18">
        <f>IF(BH66&lt;=17,"0",IF(BJ66&lt;=39,"0",IF(BJ66&lt;=49,"4",IF(BJ66&lt;=54,"5",IF(BJ66&lt;=59,"6",IF(BJ66&lt;=69,"7",IF(BJ66&lt;=79,"8",IF(BJ66&lt;=89,"9","10"))))))))</f>
        <v/>
      </c>
      <c r="BM66" s="18">
        <f>IF(BH66&lt;=17,"F",IF(BJ66&lt;=39,"F",IF(BJ66&lt;=49,"P",IF(BJ66&lt;=54,"C",IF(BJ66&lt;=59,"B",IF(BJ66&lt;=69,"B+",IF(BJ66&lt;=79,"A",IF(BJ66&lt;=89,"A+","O"))))))))</f>
        <v/>
      </c>
      <c r="BN66" s="18">
        <f>BK66*BL66</f>
        <v/>
      </c>
      <c r="BO66" s="18" t="n"/>
      <c r="BP66" s="9" t="n">
        <v>46</v>
      </c>
      <c r="BQ66" s="9" t="n">
        <v>39</v>
      </c>
      <c r="BR66" s="9" t="n"/>
      <c r="BS66" s="18">
        <f>(BP66+BQ66)</f>
        <v/>
      </c>
      <c r="BT66" s="18" t="n">
        <v>1</v>
      </c>
      <c r="BU66" s="18">
        <f>IF(BQ66&lt;=17,"0",IF(BS66&lt;=39,"0",IF(BS66&lt;=49,"4",IF(BS66&lt;=54,"5",IF(BS66&lt;=59,"6",IF(BS66&lt;=69,"7",IF(BS66&lt;=79,"8",IF(BS66&lt;=89,"9","10"))))))))</f>
        <v/>
      </c>
      <c r="BV66" s="18">
        <f>IF(BQ66&lt;=17,"F",IF(BS66&lt;=39,"F",IF(BS66&lt;=49,"P",IF(BS66&lt;=54,"C",IF(BS66&lt;=59,"B",IF(BS66&lt;=69,"B+",IF(BS66&lt;=79,"A",IF(BS66&lt;=89,"A+","O"))))))))</f>
        <v/>
      </c>
      <c r="BW66" s="18">
        <f>BT66*BU66</f>
        <v/>
      </c>
      <c r="BX66" s="18" t="n"/>
      <c r="BY66" s="18" t="n"/>
      <c r="BZ66" s="18">
        <f>L66+U66+AD66+AM66+AV66+BE66+BN66+BW66</f>
        <v/>
      </c>
      <c r="CA66" s="19">
        <f>BZ66/20</f>
        <v/>
      </c>
      <c r="CB66" s="28">
        <f>IF(CA66&lt;4,"F",IF(BV66="F","F",IF(BM66="F","F",IF(BD66="F","F",IF(AU66="F","F",IF(AL66="F","F",IF(AC66="F","F",IF(T66="F","F",IF(K66="F","F",IF(CA66&lt;=5,"C",IF(CA66&lt;6,"B",IF(CA66&lt;7,"B+",IF(CA66&lt;8,"A",IF(CA66&lt;=9,"A+","O"))))))))))))))</f>
        <v/>
      </c>
      <c r="CC66" s="27">
        <f>CA66*9.5</f>
        <v/>
      </c>
      <c r="CD66" s="27" t="n"/>
      <c r="CE66" s="28">
        <f>SUM(BS66,BJ66,BA66,AR66,AI66,Z66,Q66,H66)</f>
        <v/>
      </c>
      <c r="CF66" s="28">
        <f>(CE66/800)*100</f>
        <v/>
      </c>
      <c r="CG66" s="27" t="n"/>
      <c r="CH66" s="27" t="n"/>
      <c r="CI66" s="27">
        <f>IF(CA66&lt;=4,"F",IF(CA66&lt;=6,"PASS",IF(CA66&lt;=6.5,"SC",IF(CA66&lt;=7.5,"FC",IF(CA66&lt;="10","FCD")))))</f>
        <v/>
      </c>
    </row>
    <row r="67" ht="15.75" customHeight="1">
      <c r="A67" s="35">
        <f>A66+1</f>
        <v/>
      </c>
      <c r="B67" s="37" t="inlineStr">
        <is>
          <t>1BI22CD050</t>
        </is>
      </c>
      <c r="C67" s="44" t="inlineStr">
        <is>
          <t>SHREELAKSHMI C GOWDA</t>
        </is>
      </c>
      <c r="D67" s="47" t="inlineStr">
        <is>
          <t>D</t>
        </is>
      </c>
      <c r="E67" s="9" t="n">
        <v>41</v>
      </c>
      <c r="F67" s="9" t="n">
        <v>21</v>
      </c>
      <c r="G67" s="9" t="n"/>
      <c r="H67" s="18">
        <f>SUM(E67:F67)</f>
        <v/>
      </c>
      <c r="I67" s="18" t="n">
        <v>4</v>
      </c>
      <c r="J67" s="18">
        <f>IF(F67&lt;=17,"0",IF(H67&lt;=39,"0",IF(H67&lt;=49,"4",IF(H67&lt;=54,"5",IF(H67&lt;=59,"6",IF(H67&lt;=69,"7",IF(H67&lt;=79,"8",IF(H67&lt;=89,"9","10"))))))))</f>
        <v/>
      </c>
      <c r="K67" s="18">
        <f>IF(F67&lt;=17,"F",IF(H67&lt;=39,"F",IF(H67&lt;=49,"P",IF(H67&lt;=54,"C",IF(H67&lt;=59,"B",IF(H67&lt;=69,"B+",IF(H67&lt;=79,"A",IF(H67&lt;=89,"A+","O"))))))))</f>
        <v/>
      </c>
      <c r="L67" s="18">
        <f>I67*J67</f>
        <v/>
      </c>
      <c r="M67" s="18" t="n"/>
      <c r="N67" s="9" t="n">
        <v>40</v>
      </c>
      <c r="O67" s="9" t="n">
        <v>26</v>
      </c>
      <c r="P67" s="9" t="n"/>
      <c r="Q67" s="18">
        <f>SUM(N67:O67)</f>
        <v/>
      </c>
      <c r="R67" s="18" t="n">
        <v>4</v>
      </c>
      <c r="S67" s="18">
        <f>IF(O67&lt;=17,"0",IF(Q67&lt;=39,"4",IF(Q67&lt;=49,"4",IF(Q67&lt;=54,"5",IF(Q67&lt;=59,"6",IF(Q67&lt;=69,"7",IF(Q67&lt;=79,"8",IF(Q67&lt;=89,"9","10"))))))))</f>
        <v/>
      </c>
      <c r="T67" s="18">
        <f>IF(O67&lt;=17,"F",IF(Q67&lt;=39,"F",IF(Q67&lt;=49,"P",IF(Q67&lt;=54,"C",IF(Q67&lt;=59,"B",IF(Q67&lt;=69,"B+",IF(Q67&lt;=79,"A",IF(Q67&lt;=89,"A+","O"))))))))</f>
        <v/>
      </c>
      <c r="U67" s="18">
        <f>R67*S67</f>
        <v/>
      </c>
      <c r="V67" s="18" t="n"/>
      <c r="W67" s="9" t="n">
        <v>38</v>
      </c>
      <c r="X67" s="9" t="n">
        <v>20</v>
      </c>
      <c r="Y67" s="18" t="n"/>
      <c r="Z67" s="18">
        <f>SUM(W67:X67)</f>
        <v/>
      </c>
      <c r="AA67" s="18" t="n">
        <v>3</v>
      </c>
      <c r="AB67" s="18">
        <f>IF(X67&lt;=17,"0",IF(Z67&lt;=39,"0",IF(Z67&lt;=49,"4",IF(Z67&lt;=54,"5",IF(Z67&lt;=59,"6",IF(Z67&lt;=69,"7",IF(Z67&lt;=79,"8",IF(Z67&lt;=89,"9","10"))))))))</f>
        <v/>
      </c>
      <c r="AC67" s="18">
        <f>IF(X67&lt;=17,"F",IF(Z67&lt;=39,"F",IF(Z67&lt;=49,"P",IF(Z67&lt;=54,"C",IF(Z67&lt;=59,"B",IF(Z67&lt;=69,"B+",IF(Z67&lt;=79,"A",IF(Z67&lt;=89,"A+","O"))))))))</f>
        <v/>
      </c>
      <c r="AD67" s="18">
        <f>AA67*AB67</f>
        <v/>
      </c>
      <c r="AE67" s="18" t="n"/>
      <c r="AF67" s="46" t="n">
        <v>40</v>
      </c>
      <c r="AG67" s="46" t="n">
        <v>31</v>
      </c>
      <c r="AH67" s="9" t="n"/>
      <c r="AI67" s="18">
        <f>SUM(AF67:AG67)</f>
        <v/>
      </c>
      <c r="AJ67" s="18" t="n">
        <v>3</v>
      </c>
      <c r="AK67" s="18">
        <f>IF(AG67&lt;=17,"0",IF(AI67&lt;=39,"0",IF(AI67&lt;=49,"4",IF(AI67&lt;=54,"5",IF(AI67&lt;=59,"6",IF(AI67&lt;=69,"7",IF(AI67&lt;=79,"8",IF(AI67&lt;=89,"9","10"))))))))</f>
        <v/>
      </c>
      <c r="AL67" s="18">
        <f>IF(AG67&lt;=17,"F",IF(AI67&lt;=39,"F",IF(AI67&lt;=49,"P",IF(AI67&lt;=54,"C",IF(AI67&lt;=59,"B",IF(AI67&lt;=69,"B+",IF(AI67&lt;=79,"A",IF(AI67&lt;=89,"A+","O"))))))))</f>
        <v/>
      </c>
      <c r="AM67" s="18">
        <f>AJ67*AK67</f>
        <v/>
      </c>
      <c r="AN67" s="18" t="n"/>
      <c r="AO67" s="46" t="n">
        <v>42</v>
      </c>
      <c r="AP67" s="46" t="n">
        <v>29</v>
      </c>
      <c r="AQ67" s="9" t="n"/>
      <c r="AR67" s="18">
        <f>(AO67+AP67)</f>
        <v/>
      </c>
      <c r="AS67" s="18" t="n">
        <v>3</v>
      </c>
      <c r="AT67" s="18">
        <f>IF(AP67&lt;=17,"0",IF(AR67&lt;=39,"0",IF(AR67&lt;=49,"4",IF(AR67&lt;=54,"5",IF(AR67&lt;=59,"6",IF(AR67&lt;=69,"7",IF(AR67&lt;=79,"8",IF(AR67&lt;=89,"9","10"))))))))</f>
        <v/>
      </c>
      <c r="AU67" s="18">
        <f>IF(AP67&lt;=17,"F",IF(AR67&lt;=39,"F",IF(AR67&lt;=49,"P",IF(AR67&lt;=54,"C",IF(AR67&lt;=59,"B",IF(AR67&lt;=69,"B+",IF(AR67&lt;=79,"A",IF(AR67&lt;=89,"A+","O"))))))))</f>
        <v/>
      </c>
      <c r="AV67" s="18">
        <f>AS67*AT67</f>
        <v/>
      </c>
      <c r="AW67" s="18" t="n"/>
      <c r="AX67" s="9" t="n">
        <v>45</v>
      </c>
      <c r="AY67" s="9" t="n">
        <v>26</v>
      </c>
      <c r="AZ67" s="9" t="n"/>
      <c r="BA67" s="18">
        <f>(AX67+AY67)</f>
        <v/>
      </c>
      <c r="BB67" s="18" t="n">
        <v>1</v>
      </c>
      <c r="BC67" s="18">
        <f>IF(AY67&lt;=17,"0",IF(BA67&lt;=39,"0",IF(BA67&lt;=49,"4",IF(BA67&lt;=54,"5",IF(BA67&lt;=59,"6",IF(BA67&lt;=69,"7",IF(BA67&lt;=79,"8",IF(BA67&lt;=89,"9","10"))))))))</f>
        <v/>
      </c>
      <c r="BD67" s="18">
        <f>IF(AY67&lt;=17,"F",IF(BA67&lt;=39,"F",IF(BA67&lt;=49,"P",IF(BA67&lt;=54,"C",IF(BA67&lt;=59,"B",IF(BA67&lt;=69,"B+",IF(BA67&lt;=79,"A",IF(BA67&lt;=89,"A+","O"))))))))</f>
        <v/>
      </c>
      <c r="BE67" s="18">
        <f>BB67*BC67</f>
        <v/>
      </c>
      <c r="BF67" s="43" t="inlineStr">
        <is>
          <t>Samskrutika Kannada</t>
        </is>
      </c>
      <c r="BG67" s="9" t="n">
        <v>44</v>
      </c>
      <c r="BH67" s="9" t="n">
        <v>33</v>
      </c>
      <c r="BI67" s="9" t="n"/>
      <c r="BJ67" s="18">
        <f>(BG67+BH67)</f>
        <v/>
      </c>
      <c r="BK67" s="18" t="n">
        <v>1</v>
      </c>
      <c r="BL67" s="18">
        <f>IF(BH67&lt;=17,"0",IF(BJ67&lt;=39,"0",IF(BJ67&lt;=49,"4",IF(BJ67&lt;=54,"5",IF(BJ67&lt;=59,"6",IF(BJ67&lt;=69,"7",IF(BJ67&lt;=79,"8",IF(BJ67&lt;=89,"9","10"))))))))</f>
        <v/>
      </c>
      <c r="BM67" s="18">
        <f>IF(BH67&lt;=17,"F",IF(BJ67&lt;=39,"F",IF(BJ67&lt;=49,"P",IF(BJ67&lt;=54,"C",IF(BJ67&lt;=59,"B",IF(BJ67&lt;=69,"B+",IF(BJ67&lt;=79,"A",IF(BJ67&lt;=89,"A+","O"))))))))</f>
        <v/>
      </c>
      <c r="BN67" s="18">
        <f>BK67*BL67</f>
        <v/>
      </c>
      <c r="BO67" s="18" t="n"/>
      <c r="BP67" s="9" t="n">
        <v>45</v>
      </c>
      <c r="BQ67" s="9" t="n">
        <v>39</v>
      </c>
      <c r="BR67" s="9" t="n"/>
      <c r="BS67" s="18">
        <f>(BP67+BQ67)</f>
        <v/>
      </c>
      <c r="BT67" s="18" t="n">
        <v>1</v>
      </c>
      <c r="BU67" s="18">
        <f>IF(BQ67&lt;=17,"0",IF(BS67&lt;=39,"0",IF(BS67&lt;=49,"4",IF(BS67&lt;=54,"5",IF(BS67&lt;=59,"6",IF(BS67&lt;=69,"7",IF(BS67&lt;=79,"8",IF(BS67&lt;=89,"9","10"))))))))</f>
        <v/>
      </c>
      <c r="BV67" s="18">
        <f>IF(BQ67&lt;=17,"F",IF(BS67&lt;=39,"F",IF(BS67&lt;=49,"P",IF(BS67&lt;=54,"C",IF(BS67&lt;=59,"B",IF(BS67&lt;=69,"B+",IF(BS67&lt;=79,"A",IF(BS67&lt;=89,"A+","O"))))))))</f>
        <v/>
      </c>
      <c r="BW67" s="18">
        <f>BT67*BU67</f>
        <v/>
      </c>
      <c r="BX67" s="18" t="n"/>
      <c r="BY67" s="18" t="n"/>
      <c r="BZ67" s="18">
        <f>L67+U67+AD67+AM67+AV67+BE67+BN67+BW67</f>
        <v/>
      </c>
      <c r="CA67" s="19">
        <f>BZ67/20</f>
        <v/>
      </c>
      <c r="CB67" s="28">
        <f>IF(CA67&lt;4,"F",IF(BV67="F","F",IF(BM67="F","F",IF(BD67="F","F",IF(AU67="F","F",IF(AL67="F","F",IF(AC67="F","F",IF(T67="F","F",IF(K67="F","F",IF(CA67&lt;=5,"C",IF(CA67&lt;6,"B",IF(CA67&lt;7,"B+",IF(CA67&lt;8,"A",IF(CA67&lt;=9,"A+","O"))))))))))))))</f>
        <v/>
      </c>
      <c r="CC67" s="27">
        <f>CA67*9.5</f>
        <v/>
      </c>
      <c r="CD67" s="27" t="n"/>
      <c r="CE67" s="28">
        <f>SUM(BS67,BJ67,BA67,AR67,AI67,Z67,Q67,H67)</f>
        <v/>
      </c>
      <c r="CF67" s="28">
        <f>(CE67/800)*100</f>
        <v/>
      </c>
      <c r="CG67" s="27" t="n"/>
      <c r="CH67" s="27" t="n"/>
      <c r="CI67" s="27">
        <f>IF(CA67&lt;=4,"F",IF(CA67&lt;=6,"PASS",IF(CA67&lt;=6.5,"SC",IF(CA67&lt;=7.5,"FC",IF(CA67&lt;="10","FCD")))))</f>
        <v/>
      </c>
    </row>
    <row r="68" ht="15.75" customHeight="1">
      <c r="A68" s="35">
        <f>A67+1</f>
        <v/>
      </c>
      <c r="B68" s="37" t="inlineStr">
        <is>
          <t>1BI22CD039</t>
        </is>
      </c>
      <c r="C68" s="44" t="inlineStr">
        <is>
          <t>REESHA L N PRABHU</t>
        </is>
      </c>
      <c r="D68" s="47" t="inlineStr">
        <is>
          <t>D</t>
        </is>
      </c>
      <c r="E68" s="9" t="n">
        <v>46</v>
      </c>
      <c r="F68" s="9" t="n">
        <v>18</v>
      </c>
      <c r="G68" s="9" t="n"/>
      <c r="H68" s="18">
        <f>SUM(E68:F68)</f>
        <v/>
      </c>
      <c r="I68" s="18" t="n">
        <v>4</v>
      </c>
      <c r="J68" s="18">
        <f>IF(F68&lt;=17,"0",IF(H68&lt;=39,"0",IF(H68&lt;=49,"4",IF(H68&lt;=54,"5",IF(H68&lt;=59,"6",IF(H68&lt;=69,"7",IF(H68&lt;=79,"8",IF(H68&lt;=89,"9","10"))))))))</f>
        <v/>
      </c>
      <c r="K68" s="18">
        <f>IF(F68&lt;=17,"F",IF(H68&lt;=39,"F",IF(H68&lt;=49,"P",IF(H68&lt;=54,"C",IF(H68&lt;=59,"B",IF(H68&lt;=69,"B+",IF(H68&lt;=79,"A",IF(H68&lt;=89,"A+","O"))))))))</f>
        <v/>
      </c>
      <c r="L68" s="18">
        <f>I68*J68</f>
        <v/>
      </c>
      <c r="M68" s="18" t="n"/>
      <c r="N68" s="9" t="n">
        <v>44</v>
      </c>
      <c r="O68" s="9" t="n">
        <v>24</v>
      </c>
      <c r="P68" s="9" t="n"/>
      <c r="Q68" s="18">
        <f>SUM(N68:O68)</f>
        <v/>
      </c>
      <c r="R68" s="18" t="n">
        <v>4</v>
      </c>
      <c r="S68" s="18">
        <f>IF(O68&lt;=17,"0",IF(Q68&lt;=39,"4",IF(Q68&lt;=49,"4",IF(Q68&lt;=54,"5",IF(Q68&lt;=59,"6",IF(Q68&lt;=69,"7",IF(Q68&lt;=79,"8",IF(Q68&lt;=89,"9","10"))))))))</f>
        <v/>
      </c>
      <c r="T68" s="18">
        <f>IF(O68&lt;=17,"F",IF(Q68&lt;=39,"F",IF(Q68&lt;=49,"P",IF(Q68&lt;=54,"C",IF(Q68&lt;=59,"B",IF(Q68&lt;=69,"B+",IF(Q68&lt;=79,"A",IF(Q68&lt;=89,"A+","O"))))))))</f>
        <v/>
      </c>
      <c r="U68" s="18">
        <f>R68*S68</f>
        <v/>
      </c>
      <c r="V68" s="18" t="n"/>
      <c r="W68" s="9" t="n">
        <v>40</v>
      </c>
      <c r="X68" s="9" t="n">
        <v>36</v>
      </c>
      <c r="Y68" s="18" t="n"/>
      <c r="Z68" s="18">
        <f>SUM(W68:X68)</f>
        <v/>
      </c>
      <c r="AA68" s="18" t="n">
        <v>3</v>
      </c>
      <c r="AB68" s="18">
        <f>IF(X68&lt;=17,"0",IF(Z68&lt;=39,"0",IF(Z68&lt;=49,"4",IF(Z68&lt;=54,"5",IF(Z68&lt;=59,"6",IF(Z68&lt;=69,"7",IF(Z68&lt;=79,"8",IF(Z68&lt;=89,"9","10"))))))))</f>
        <v/>
      </c>
      <c r="AC68" s="18">
        <f>IF(X68&lt;=17,"F",IF(Z68&lt;=39,"F",IF(Z68&lt;=49,"P",IF(Z68&lt;=54,"C",IF(Z68&lt;=59,"B",IF(Z68&lt;=69,"B+",IF(Z68&lt;=79,"A",IF(Z68&lt;=89,"A+","O"))))))))</f>
        <v/>
      </c>
      <c r="AD68" s="18">
        <f>AA68*AB68</f>
        <v/>
      </c>
      <c r="AE68" s="18" t="n"/>
      <c r="AF68" s="46" t="n">
        <v>40</v>
      </c>
      <c r="AG68" s="46" t="n">
        <v>22</v>
      </c>
      <c r="AH68" s="9" t="n"/>
      <c r="AI68" s="18">
        <f>SUM(AF68:AG68)</f>
        <v/>
      </c>
      <c r="AJ68" s="18" t="n">
        <v>3</v>
      </c>
      <c r="AK68" s="18">
        <f>IF(AG68&lt;=17,"0",IF(AI68&lt;=39,"0",IF(AI68&lt;=49,"4",IF(AI68&lt;=54,"5",IF(AI68&lt;=59,"6",IF(AI68&lt;=69,"7",IF(AI68&lt;=79,"8",IF(AI68&lt;=89,"9","10"))))))))</f>
        <v/>
      </c>
      <c r="AL68" s="18">
        <f>IF(AG68&lt;=17,"F",IF(AI68&lt;=39,"F",IF(AI68&lt;=49,"P",IF(AI68&lt;=54,"C",IF(AI68&lt;=59,"B",IF(AI68&lt;=69,"B+",IF(AI68&lt;=79,"A",IF(AI68&lt;=89,"A+","O"))))))))</f>
        <v/>
      </c>
      <c r="AM68" s="18">
        <f>AJ68*AK68</f>
        <v/>
      </c>
      <c r="AN68" s="18" t="n"/>
      <c r="AO68" s="46" t="n">
        <v>40</v>
      </c>
      <c r="AP68" s="46" t="n">
        <v>19</v>
      </c>
      <c r="AQ68" s="9" t="n"/>
      <c r="AR68" s="18">
        <f>(AO68+AP68)</f>
        <v/>
      </c>
      <c r="AS68" s="18" t="n">
        <v>3</v>
      </c>
      <c r="AT68" s="18">
        <f>IF(AP68&lt;=17,"0",IF(AR68&lt;=39,"0",IF(AR68&lt;=49,"4",IF(AR68&lt;=54,"5",IF(AR68&lt;=59,"6",IF(AR68&lt;=69,"7",IF(AR68&lt;=79,"8",IF(AR68&lt;=89,"9","10"))))))))</f>
        <v/>
      </c>
      <c r="AU68" s="18">
        <f>IF(AP68&lt;=17,"F",IF(AR68&lt;=39,"F",IF(AR68&lt;=49,"P",IF(AR68&lt;=54,"C",IF(AR68&lt;=59,"B",IF(AR68&lt;=69,"B+",IF(AR68&lt;=79,"A",IF(AR68&lt;=89,"A+","O"))))))))</f>
        <v/>
      </c>
      <c r="AV68" s="18">
        <f>AS68*AT68</f>
        <v/>
      </c>
      <c r="AW68" s="18" t="n"/>
      <c r="AX68" s="9" t="n">
        <v>45</v>
      </c>
      <c r="AY68" s="9" t="n">
        <v>40</v>
      </c>
      <c r="AZ68" s="9" t="n"/>
      <c r="BA68" s="18">
        <f>(AX68+AY68)</f>
        <v/>
      </c>
      <c r="BB68" s="18" t="n">
        <v>1</v>
      </c>
      <c r="BC68" s="18">
        <f>IF(AY68&lt;=17,"0",IF(BA68&lt;=39,"0",IF(BA68&lt;=49,"4",IF(BA68&lt;=54,"5",IF(BA68&lt;=59,"6",IF(BA68&lt;=69,"7",IF(BA68&lt;=79,"8",IF(BA68&lt;=89,"9","10"))))))))</f>
        <v/>
      </c>
      <c r="BD68" s="18">
        <f>IF(AY68&lt;=17,"F",IF(BA68&lt;=39,"F",IF(BA68&lt;=49,"P",IF(BA68&lt;=54,"C",IF(BA68&lt;=59,"B",IF(BA68&lt;=69,"B+",IF(BA68&lt;=79,"A",IF(BA68&lt;=89,"A+","O"))))))))</f>
        <v/>
      </c>
      <c r="BE68" s="18">
        <f>BB68*BC68</f>
        <v/>
      </c>
      <c r="BF68" s="43" t="inlineStr">
        <is>
          <t>Samskrutika Kannada</t>
        </is>
      </c>
      <c r="BG68" s="9" t="n">
        <v>46</v>
      </c>
      <c r="BH68" s="9" t="n">
        <v>37</v>
      </c>
      <c r="BI68" s="9" t="n"/>
      <c r="BJ68" s="18">
        <f>(BG68+BH68)</f>
        <v/>
      </c>
      <c r="BK68" s="18" t="n">
        <v>1</v>
      </c>
      <c r="BL68" s="18">
        <f>IF(BH68&lt;=17,"0",IF(BJ68&lt;=39,"0",IF(BJ68&lt;=49,"4",IF(BJ68&lt;=54,"5",IF(BJ68&lt;=59,"6",IF(BJ68&lt;=69,"7",IF(BJ68&lt;=79,"8",IF(BJ68&lt;=89,"9","10"))))))))</f>
        <v/>
      </c>
      <c r="BM68" s="18">
        <f>IF(BH68&lt;=17,"F",IF(BJ68&lt;=39,"F",IF(BJ68&lt;=49,"P",IF(BJ68&lt;=54,"C",IF(BJ68&lt;=59,"B",IF(BJ68&lt;=69,"B+",IF(BJ68&lt;=79,"A",IF(BJ68&lt;=89,"A+","O"))))))))</f>
        <v/>
      </c>
      <c r="BN68" s="18">
        <f>BK68*BL68</f>
        <v/>
      </c>
      <c r="BO68" s="18" t="n"/>
      <c r="BP68" s="9" t="n">
        <v>45</v>
      </c>
      <c r="BQ68" s="9" t="n">
        <v>38</v>
      </c>
      <c r="BR68" s="9" t="n"/>
      <c r="BS68" s="18">
        <f>(BP68+BQ68)</f>
        <v/>
      </c>
      <c r="BT68" s="18" t="n">
        <v>1</v>
      </c>
      <c r="BU68" s="18">
        <f>IF(BQ68&lt;=17,"0",IF(BS68&lt;=39,"0",IF(BS68&lt;=49,"4",IF(BS68&lt;=54,"5",IF(BS68&lt;=59,"6",IF(BS68&lt;=69,"7",IF(BS68&lt;=79,"8",IF(BS68&lt;=89,"9","10"))))))))</f>
        <v/>
      </c>
      <c r="BV68" s="18">
        <f>IF(BQ68&lt;=17,"F",IF(BS68&lt;=39,"F",IF(BS68&lt;=49,"P",IF(BS68&lt;=54,"C",IF(BS68&lt;=59,"B",IF(BS68&lt;=69,"B+",IF(BS68&lt;=79,"A",IF(BS68&lt;=89,"A+","O"))))))))</f>
        <v/>
      </c>
      <c r="BW68" s="18">
        <f>BT68*BU68</f>
        <v/>
      </c>
      <c r="BX68" s="18" t="n"/>
      <c r="BY68" s="18" t="n"/>
      <c r="BZ68" s="18">
        <f>L68+U68+AD68+AM68+AV68+BE68+BN68+BW68</f>
        <v/>
      </c>
      <c r="CA68" s="19">
        <f>BZ68/20</f>
        <v/>
      </c>
      <c r="CB68" s="28">
        <f>IF(CA68&lt;4,"F",IF(BV68="F","F",IF(BM68="F","F",IF(BD68="F","F",IF(AU68="F","F",IF(AL68="F","F",IF(AC68="F","F",IF(T68="F","F",IF(K68="F","F",IF(CA68&lt;=5,"C",IF(CA68&lt;6,"B",IF(CA68&lt;7,"B+",IF(CA68&lt;8,"A",IF(CA68&lt;=9,"A+","O"))))))))))))))</f>
        <v/>
      </c>
      <c r="CC68" s="27">
        <f>CA68*9.5</f>
        <v/>
      </c>
      <c r="CD68" s="27" t="n"/>
      <c r="CE68" s="28">
        <f>SUM(BS68,BJ68,BA68,AR68,AI68,Z68,Q68,H68)</f>
        <v/>
      </c>
      <c r="CF68" s="28">
        <f>(CE68/800)*100</f>
        <v/>
      </c>
      <c r="CG68" s="27" t="n"/>
      <c r="CH68" s="27" t="n"/>
      <c r="CI68" s="27">
        <f>IF(CA68&lt;=4,"F",IF(CA68&lt;=6,"PASS",IF(CA68&lt;=6.5,"SC",IF(CA68&lt;=7.5,"FC",IF(CA68&lt;="10","FCD")))))</f>
        <v/>
      </c>
    </row>
    <row r="69" ht="15.75" customHeight="1">
      <c r="A69" s="49">
        <f>A68+1</f>
        <v/>
      </c>
      <c r="B69" s="50" t="inlineStr">
        <is>
          <t>1BI22CD004</t>
        </is>
      </c>
      <c r="C69" s="51" t="inlineStr">
        <is>
          <t>ARVIND</t>
        </is>
      </c>
      <c r="D69" s="52" t="inlineStr">
        <is>
          <t>D</t>
        </is>
      </c>
      <c r="E69" s="53" t="n">
        <v>40</v>
      </c>
      <c r="F69" s="53" t="n">
        <v>10</v>
      </c>
      <c r="G69" s="53" t="n"/>
      <c r="H69" s="54">
        <f>SUM(E69:F69)</f>
        <v/>
      </c>
      <c r="I69" s="54" t="n">
        <v>4</v>
      </c>
      <c r="J69" s="54">
        <f>IF(F69&lt;=17,"0",IF(H69&lt;=39,"0",IF(H69&lt;=49,"4",IF(H69&lt;=54,"5",IF(H69&lt;=59,"6",IF(H69&lt;=69,"7",IF(H69&lt;=79,"8",IF(H69&lt;=89,"9","10"))))))))</f>
        <v/>
      </c>
      <c r="K69" s="54">
        <f>IF(F69&lt;=17,"F",IF(H69&lt;=39,"F",IF(H69&lt;=49,"P",IF(H69&lt;=54,"C",IF(H69&lt;=59,"B",IF(H69&lt;=69,"B+",IF(H69&lt;=79,"A",IF(H69&lt;=89,"A+","O"))))))))</f>
        <v/>
      </c>
      <c r="L69" s="54">
        <f>I69*J69</f>
        <v/>
      </c>
      <c r="M69" s="54" t="n"/>
      <c r="N69" s="53" t="n">
        <v>42</v>
      </c>
      <c r="O69" s="53" t="n">
        <v>32</v>
      </c>
      <c r="P69" s="53" t="n"/>
      <c r="Q69" s="54">
        <f>SUM(N69:O69)</f>
        <v/>
      </c>
      <c r="R69" s="54" t="n">
        <v>4</v>
      </c>
      <c r="S69" s="54">
        <f>IF(O69&lt;=17,"0",IF(Q69&lt;=39,"4",IF(Q69&lt;=49,"4",IF(Q69&lt;=54,"5",IF(Q69&lt;=59,"6",IF(Q69&lt;=69,"7",IF(Q69&lt;=79,"8",IF(Q69&lt;=89,"9","10"))))))))</f>
        <v/>
      </c>
      <c r="T69" s="54">
        <f>IF(O69&lt;=17,"F",IF(Q69&lt;=39,"F",IF(Q69&lt;=49,"P",IF(Q69&lt;=54,"C",IF(Q69&lt;=59,"B",IF(Q69&lt;=69,"B+",IF(Q69&lt;=79,"A",IF(Q69&lt;=89,"A+","O"))))))))</f>
        <v/>
      </c>
      <c r="U69" s="54">
        <f>R69*S69</f>
        <v/>
      </c>
      <c r="V69" s="54" t="n"/>
      <c r="W69" s="53" t="n">
        <v>45</v>
      </c>
      <c r="X69" s="53" t="n">
        <v>45</v>
      </c>
      <c r="Y69" s="54" t="n"/>
      <c r="Z69" s="54">
        <f>SUM(W69:X69)</f>
        <v/>
      </c>
      <c r="AA69" s="54" t="n">
        <v>3</v>
      </c>
      <c r="AB69" s="54">
        <f>IF(X69&lt;=17,"0",IF(Z69&lt;=39,"0",IF(Z69&lt;=49,"4",IF(Z69&lt;=54,"5",IF(Z69&lt;=59,"6",IF(Z69&lt;=69,"7",IF(Z69&lt;=79,"8",IF(Z69&lt;=89,"9","10"))))))))</f>
        <v/>
      </c>
      <c r="AC69" s="54">
        <f>IF(X69&lt;=17,"F",IF(Z69&lt;=39,"F",IF(Z69&lt;=49,"P",IF(Z69&lt;=54,"C",IF(Z69&lt;=59,"B",IF(Z69&lt;=69,"B+",IF(Z69&lt;=79,"A",IF(Z69&lt;=89,"A+","O"))))))))</f>
        <v/>
      </c>
      <c r="AD69" s="54">
        <f>AA69*AB69</f>
        <v/>
      </c>
      <c r="AE69" s="54" t="n"/>
      <c r="AF69" s="55" t="n">
        <v>33</v>
      </c>
      <c r="AG69" s="55" t="n">
        <v>21</v>
      </c>
      <c r="AH69" s="53" t="n"/>
      <c r="AI69" s="54">
        <f>SUM(AF69:AG69)</f>
        <v/>
      </c>
      <c r="AJ69" s="54" t="n">
        <v>3</v>
      </c>
      <c r="AK69" s="54">
        <f>IF(AG69&lt;=17,"0",IF(AI69&lt;=39,"0",IF(AI69&lt;=49,"4",IF(AI69&lt;=54,"5",IF(AI69&lt;=59,"6",IF(AI69&lt;=69,"7",IF(AI69&lt;=79,"8",IF(AI69&lt;=89,"9","10"))))))))</f>
        <v/>
      </c>
      <c r="AL69" s="54">
        <f>IF(AG69&lt;=17,"F",IF(AI69&lt;=39,"F",IF(AI69&lt;=49,"P",IF(AI69&lt;=54,"C",IF(AI69&lt;=59,"B",IF(AI69&lt;=69,"B+",IF(AI69&lt;=79,"A",IF(AI69&lt;=89,"A+","O"))))))))</f>
        <v/>
      </c>
      <c r="AM69" s="54">
        <f>AJ69*AK69</f>
        <v/>
      </c>
      <c r="AN69" s="54" t="n"/>
      <c r="AO69" s="55" t="n">
        <v>45</v>
      </c>
      <c r="AP69" s="55" t="n">
        <v>24</v>
      </c>
      <c r="AQ69" s="53" t="n"/>
      <c r="AR69" s="54">
        <f>(AO69+AP69)</f>
        <v/>
      </c>
      <c r="AS69" s="54" t="n">
        <v>3</v>
      </c>
      <c r="AT69" s="54">
        <f>IF(AP69&lt;=17,"0",IF(AR69&lt;=39,"0",IF(AR69&lt;=49,"4",IF(AR69&lt;=54,"5",IF(AR69&lt;=59,"6",IF(AR69&lt;=69,"7",IF(AR69&lt;=79,"8",IF(AR69&lt;=89,"9","10"))))))))</f>
        <v/>
      </c>
      <c r="AU69" s="54">
        <f>IF(AP69&lt;=17,"F",IF(AR69&lt;=39,"F",IF(AR69&lt;=49,"P",IF(AR69&lt;=54,"C",IF(AR69&lt;=59,"B",IF(AR69&lt;=69,"B+",IF(AR69&lt;=79,"A",IF(AR69&lt;=89,"A+","O"))))))))</f>
        <v/>
      </c>
      <c r="AV69" s="54">
        <f>AS69*AT69</f>
        <v/>
      </c>
      <c r="AW69" s="54" t="n"/>
      <c r="AX69" s="53" t="n">
        <v>46</v>
      </c>
      <c r="AY69" s="53" t="n">
        <v>36</v>
      </c>
      <c r="AZ69" s="53" t="n"/>
      <c r="BA69" s="54">
        <f>(AX69+AY69)</f>
        <v/>
      </c>
      <c r="BB69" s="54" t="n">
        <v>1</v>
      </c>
      <c r="BC69" s="54">
        <f>IF(AY69&lt;=17,"0",IF(BA69&lt;=39,"0",IF(BA69&lt;=49,"4",IF(BA69&lt;=54,"5",IF(BA69&lt;=59,"6",IF(BA69&lt;=69,"7",IF(BA69&lt;=79,"8",IF(BA69&lt;=89,"9","10"))))))))</f>
        <v/>
      </c>
      <c r="BD69" s="54">
        <f>IF(AY69&lt;=17,"F",IF(BA69&lt;=39,"F",IF(BA69&lt;=49,"P",IF(BA69&lt;=54,"C",IF(BA69&lt;=59,"B",IF(BA69&lt;=69,"B+",IF(BA69&lt;=79,"A",IF(BA69&lt;=89,"A+","O"))))))))</f>
        <v/>
      </c>
      <c r="BE69" s="54">
        <f>BB69*BC69</f>
        <v/>
      </c>
      <c r="BF69" s="43" t="inlineStr">
        <is>
          <t>Samskrutika Kannada</t>
        </is>
      </c>
      <c r="BG69" s="53" t="n">
        <v>41</v>
      </c>
      <c r="BH69" s="53" t="n">
        <v>37</v>
      </c>
      <c r="BI69" s="53" t="n"/>
      <c r="BJ69" s="54">
        <f>(BG69+BH69)</f>
        <v/>
      </c>
      <c r="BK69" s="54" t="n">
        <v>1</v>
      </c>
      <c r="BL69" s="54">
        <f>IF(BH69&lt;=17,"0",IF(BJ69&lt;=39,"0",IF(BJ69&lt;=49,"4",IF(BJ69&lt;=54,"5",IF(BJ69&lt;=59,"6",IF(BJ69&lt;=69,"7",IF(BJ69&lt;=79,"8",IF(BJ69&lt;=89,"9","10"))))))))</f>
        <v/>
      </c>
      <c r="BM69" s="54">
        <f>IF(BH69&lt;=17,"F",IF(BJ69&lt;=39,"F",IF(BJ69&lt;=49,"P",IF(BJ69&lt;=54,"C",IF(BJ69&lt;=59,"B",IF(BJ69&lt;=69,"B+",IF(BJ69&lt;=79,"A",IF(BJ69&lt;=89,"A+","O"))))))))</f>
        <v/>
      </c>
      <c r="BN69" s="54">
        <f>BK69*BL69</f>
        <v/>
      </c>
      <c r="BO69" s="54" t="n"/>
      <c r="BP69" s="53" t="n">
        <v>45</v>
      </c>
      <c r="BQ69" s="53" t="n">
        <v>29</v>
      </c>
      <c r="BR69" s="53" t="n"/>
      <c r="BS69" s="54">
        <f>(BP69+BQ69)</f>
        <v/>
      </c>
      <c r="BT69" s="54" t="n">
        <v>1</v>
      </c>
      <c r="BU69" s="54">
        <f>IF(BQ69&lt;=17,"0",IF(BS69&lt;=39,"0",IF(BS69&lt;=49,"4",IF(BS69&lt;=54,"5",IF(BS69&lt;=59,"6",IF(BS69&lt;=69,"7",IF(BS69&lt;=79,"8",IF(BS69&lt;=89,"9","10"))))))))</f>
        <v/>
      </c>
      <c r="BV69" s="54">
        <f>IF(BQ69&lt;=17,"F",IF(BS69&lt;=39,"F",IF(BS69&lt;=49,"P",IF(BS69&lt;=54,"C",IF(BS69&lt;=59,"B",IF(BS69&lt;=69,"B+",IF(BS69&lt;=79,"A",IF(BS69&lt;=89,"A+","O"))))))))</f>
        <v/>
      </c>
      <c r="BW69" s="54">
        <f>BT69*BU69</f>
        <v/>
      </c>
      <c r="BX69" s="54" t="n"/>
      <c r="BY69" s="54" t="n"/>
      <c r="BZ69" s="54">
        <f>L69+U69+AD69+AM69+AV69+BE69+BN69+BW69</f>
        <v/>
      </c>
      <c r="CA69" s="56">
        <f>BZ69/20</f>
        <v/>
      </c>
      <c r="CB69" s="57">
        <f>IF(CA69&lt;4,"F",IF(BV69="F","F",IF(BM69="F","F",IF(BD69="F","F",IF(AU69="F","F",IF(AL69="F","F",IF(AC69="F","F",IF(T69="F","F",IF(K69="F","F",IF(CA69&lt;=5,"C",IF(CA69&lt;6,"B",IF(CA69&lt;7,"B+",IF(CA69&lt;8,"A",IF(CA69&lt;=9,"A+","O"))))))))))))))</f>
        <v/>
      </c>
      <c r="CC69" s="58">
        <f>CA69*9.5</f>
        <v/>
      </c>
      <c r="CD69" s="58" t="n"/>
      <c r="CE69" s="57">
        <f>SUM(BS69,BJ69,BA69,AR69,AI69,Z69,Q69,H69)</f>
        <v/>
      </c>
      <c r="CF69" s="57">
        <f>(CE69/800)*100</f>
        <v/>
      </c>
      <c r="CG69" s="58" t="n"/>
      <c r="CH69" s="58" t="n"/>
      <c r="CI69" s="58" t="inlineStr">
        <is>
          <t>F</t>
        </is>
      </c>
    </row>
    <row r="70" ht="15.75" customHeight="1">
      <c r="A70" s="49">
        <f>A69+1</f>
        <v/>
      </c>
      <c r="B70" s="50" t="inlineStr">
        <is>
          <t>1BI22CD008</t>
        </is>
      </c>
      <c r="C70" s="51" t="inlineStr">
        <is>
          <t>CHARITHA D</t>
        </is>
      </c>
      <c r="D70" s="52" t="inlineStr">
        <is>
          <t>D</t>
        </is>
      </c>
      <c r="E70" s="53" t="n">
        <v>41</v>
      </c>
      <c r="F70" s="53" t="n">
        <v>11</v>
      </c>
      <c r="G70" s="53" t="n"/>
      <c r="H70" s="54">
        <f>SUM(E70:F70)</f>
        <v/>
      </c>
      <c r="I70" s="54" t="n">
        <v>4</v>
      </c>
      <c r="J70" s="54">
        <f>IF(F70&lt;=17,"0",IF(H70&lt;=39,"0",IF(H70&lt;=49,"4",IF(H70&lt;=54,"5",IF(H70&lt;=59,"6",IF(H70&lt;=69,"7",IF(H70&lt;=79,"8",IF(H70&lt;=89,"9","10"))))))))</f>
        <v/>
      </c>
      <c r="K70" s="54">
        <f>IF(F70&lt;=17,"F",IF(H70&lt;=39,"F",IF(H70&lt;=49,"P",IF(H70&lt;=54,"C",IF(H70&lt;=59,"B",IF(H70&lt;=69,"B+",IF(H70&lt;=79,"A",IF(H70&lt;=89,"A+","O"))))))))</f>
        <v/>
      </c>
      <c r="L70" s="54">
        <f>I70*J70</f>
        <v/>
      </c>
      <c r="M70" s="54" t="n"/>
      <c r="N70" s="53" t="n">
        <v>45</v>
      </c>
      <c r="O70" s="53" t="n">
        <v>13</v>
      </c>
      <c r="P70" s="53" t="n"/>
      <c r="Q70" s="54">
        <f>SUM(N70:O70)</f>
        <v/>
      </c>
      <c r="R70" s="54" t="n">
        <v>4</v>
      </c>
      <c r="S70" s="54">
        <f>IF(O70&lt;=17,"0",IF(Q70&lt;=39,"4",IF(Q70&lt;=49,"4",IF(Q70&lt;=54,"5",IF(Q70&lt;=59,"6",IF(Q70&lt;=69,"7",IF(Q70&lt;=79,"8",IF(Q70&lt;=89,"9","10"))))))))</f>
        <v/>
      </c>
      <c r="T70" s="54">
        <f>IF(O70&lt;=17,"F",IF(Q70&lt;=39,"F",IF(Q70&lt;=49,"P",IF(Q70&lt;=54,"C",IF(Q70&lt;=59,"B",IF(Q70&lt;=69,"B+",IF(Q70&lt;=79,"A",IF(Q70&lt;=89,"A+","O"))))))))</f>
        <v/>
      </c>
      <c r="U70" s="54">
        <f>R70*S70</f>
        <v/>
      </c>
      <c r="V70" s="54" t="n"/>
      <c r="W70" s="53" t="n">
        <v>45</v>
      </c>
      <c r="X70" s="53" t="n">
        <v>36</v>
      </c>
      <c r="Y70" s="54" t="n"/>
      <c r="Z70" s="54">
        <f>SUM(W70:X70)</f>
        <v/>
      </c>
      <c r="AA70" s="54" t="n">
        <v>3</v>
      </c>
      <c r="AB70" s="54">
        <f>IF(X70&lt;=17,"0",IF(Z70&lt;=39,"0",IF(Z70&lt;=49,"4",IF(Z70&lt;=54,"5",IF(Z70&lt;=59,"6",IF(Z70&lt;=69,"7",IF(Z70&lt;=79,"8",IF(Z70&lt;=89,"9","10"))))))))</f>
        <v/>
      </c>
      <c r="AC70" s="54">
        <f>IF(X70&lt;=17,"F",IF(Z70&lt;=39,"F",IF(Z70&lt;=49,"P",IF(Z70&lt;=54,"C",IF(Z70&lt;=59,"B",IF(Z70&lt;=69,"B+",IF(Z70&lt;=79,"A",IF(Z70&lt;=89,"A+","O"))))))))</f>
        <v/>
      </c>
      <c r="AD70" s="54">
        <f>AA70*AB70</f>
        <v/>
      </c>
      <c r="AE70" s="54" t="n"/>
      <c r="AF70" s="55" t="n">
        <v>40</v>
      </c>
      <c r="AG70" s="55" t="n">
        <v>23</v>
      </c>
      <c r="AH70" s="53" t="n"/>
      <c r="AI70" s="54">
        <f>SUM(AF70:AG70)</f>
        <v/>
      </c>
      <c r="AJ70" s="54" t="n">
        <v>3</v>
      </c>
      <c r="AK70" s="54">
        <f>IF(AG70&lt;=17,"0",IF(AI70&lt;=39,"0",IF(AI70&lt;=49,"4",IF(AI70&lt;=54,"5",IF(AI70&lt;=59,"6",IF(AI70&lt;=69,"7",IF(AI70&lt;=79,"8",IF(AI70&lt;=89,"9","10"))))))))</f>
        <v/>
      </c>
      <c r="AL70" s="54">
        <f>IF(AG70&lt;=17,"F",IF(AI70&lt;=39,"F",IF(AI70&lt;=49,"P",IF(AI70&lt;=54,"C",IF(AI70&lt;=59,"B",IF(AI70&lt;=69,"B+",IF(AI70&lt;=79,"A",IF(AI70&lt;=89,"A+","O"))))))))</f>
        <v/>
      </c>
      <c r="AM70" s="54">
        <f>AJ70*AK70</f>
        <v/>
      </c>
      <c r="AN70" s="54" t="n"/>
      <c r="AO70" s="55" t="n">
        <v>42</v>
      </c>
      <c r="AP70" s="55" t="n">
        <v>11</v>
      </c>
      <c r="AQ70" s="53" t="n"/>
      <c r="AR70" s="54">
        <f>(AO70+AP70)</f>
        <v/>
      </c>
      <c r="AS70" s="54" t="n">
        <v>3</v>
      </c>
      <c r="AT70" s="54">
        <f>IF(AP70&lt;=17,"0",IF(AR70&lt;=39,"0",IF(AR70&lt;=49,"4",IF(AR70&lt;=54,"5",IF(AR70&lt;=59,"6",IF(AR70&lt;=69,"7",IF(AR70&lt;=79,"8",IF(AR70&lt;=89,"9","10"))))))))</f>
        <v/>
      </c>
      <c r="AU70" s="54">
        <f>IF(AP70&lt;=17,"F",IF(AR70&lt;=39,"F",IF(AR70&lt;=49,"P",IF(AR70&lt;=54,"C",IF(AR70&lt;=59,"B",IF(AR70&lt;=69,"B+",IF(AR70&lt;=79,"A",IF(AR70&lt;=89,"A+","O"))))))))</f>
        <v/>
      </c>
      <c r="AV70" s="54">
        <f>AS70*AT70</f>
        <v/>
      </c>
      <c r="AW70" s="54" t="n"/>
      <c r="AX70" s="53" t="n">
        <v>45</v>
      </c>
      <c r="AY70" s="53" t="n">
        <v>20</v>
      </c>
      <c r="AZ70" s="53" t="n"/>
      <c r="BA70" s="54">
        <f>(AX70+AY70)</f>
        <v/>
      </c>
      <c r="BB70" s="54" t="n">
        <v>1</v>
      </c>
      <c r="BC70" s="54">
        <f>IF(AY70&lt;=17,"0",IF(BA70&lt;=39,"0",IF(BA70&lt;=49,"4",IF(BA70&lt;=54,"5",IF(BA70&lt;=59,"6",IF(BA70&lt;=69,"7",IF(BA70&lt;=79,"8",IF(BA70&lt;=89,"9","10"))))))))</f>
        <v/>
      </c>
      <c r="BD70" s="54">
        <f>IF(AY70&lt;=17,"F",IF(BA70&lt;=39,"F",IF(BA70&lt;=49,"P",IF(BA70&lt;=54,"C",IF(BA70&lt;=59,"B",IF(BA70&lt;=69,"B+",IF(BA70&lt;=79,"A",IF(BA70&lt;=89,"A+","O"))))))))</f>
        <v/>
      </c>
      <c r="BE70" s="54">
        <f>BB70*BC70</f>
        <v/>
      </c>
      <c r="BF70" s="43" t="inlineStr">
        <is>
          <t>Samskrutika Kannada</t>
        </is>
      </c>
      <c r="BG70" s="53" t="n">
        <v>46</v>
      </c>
      <c r="BH70" s="53" t="n">
        <v>23</v>
      </c>
      <c r="BI70" s="53" t="n"/>
      <c r="BJ70" s="54">
        <f>(BG70+BH70)</f>
        <v/>
      </c>
      <c r="BK70" s="54" t="n">
        <v>1</v>
      </c>
      <c r="BL70" s="54">
        <f>IF(BH70&lt;=17,"0",IF(BJ70&lt;=39,"0",IF(BJ70&lt;=49,"4",IF(BJ70&lt;=54,"5",IF(BJ70&lt;=59,"6",IF(BJ70&lt;=69,"7",IF(BJ70&lt;=79,"8",IF(BJ70&lt;=89,"9","10"))))))))</f>
        <v/>
      </c>
      <c r="BM70" s="54">
        <f>IF(BH70&lt;=17,"F",IF(BJ70&lt;=39,"F",IF(BJ70&lt;=49,"P",IF(BJ70&lt;=54,"C",IF(BJ70&lt;=59,"B",IF(BJ70&lt;=69,"B+",IF(BJ70&lt;=79,"A",IF(BJ70&lt;=89,"A+","O"))))))))</f>
        <v/>
      </c>
      <c r="BN70" s="54">
        <f>BK70*BL70</f>
        <v/>
      </c>
      <c r="BO70" s="54" t="n"/>
      <c r="BP70" s="53" t="n">
        <v>45</v>
      </c>
      <c r="BQ70" s="53" t="n">
        <v>36</v>
      </c>
      <c r="BR70" s="53" t="n"/>
      <c r="BS70" s="54">
        <f>(BP70+BQ70)</f>
        <v/>
      </c>
      <c r="BT70" s="54" t="n">
        <v>1</v>
      </c>
      <c r="BU70" s="54">
        <f>IF(BQ70&lt;=17,"0",IF(BS70&lt;=39,"0",IF(BS70&lt;=49,"4",IF(BS70&lt;=54,"5",IF(BS70&lt;=59,"6",IF(BS70&lt;=69,"7",IF(BS70&lt;=79,"8",IF(BS70&lt;=89,"9","10"))))))))</f>
        <v/>
      </c>
      <c r="BV70" s="54">
        <f>IF(BQ70&lt;=17,"F",IF(BS70&lt;=39,"F",IF(BS70&lt;=49,"P",IF(BS70&lt;=54,"C",IF(BS70&lt;=59,"B",IF(BS70&lt;=69,"B+",IF(BS70&lt;=79,"A",IF(BS70&lt;=89,"A+","O"))))))))</f>
        <v/>
      </c>
      <c r="BW70" s="54">
        <f>BT70*BU70</f>
        <v/>
      </c>
      <c r="BX70" s="54" t="n"/>
      <c r="BY70" s="54" t="n"/>
      <c r="BZ70" s="54">
        <f>L70+U70+AD70+AM70+AV70+BE70+BN70+BW70</f>
        <v/>
      </c>
      <c r="CA70" s="56">
        <f>BZ70/20</f>
        <v/>
      </c>
      <c r="CB70" s="57">
        <f>IF(CA70&lt;4,"F",IF(BV70="F","F",IF(BM70="F","F",IF(BD70="F","F",IF(AU70="F","F",IF(AL70="F","F",IF(AC70="F","F",IF(T70="F","F",IF(K70="F","F",IF(CA70&lt;=5,"C",IF(CA70&lt;6,"B",IF(CA70&lt;7,"B+",IF(CA70&lt;8,"A",IF(CA70&lt;=9,"A+","O"))))))))))))))</f>
        <v/>
      </c>
      <c r="CC70" s="58">
        <f>CA70*9.5</f>
        <v/>
      </c>
      <c r="CD70" s="58" t="n"/>
      <c r="CE70" s="57">
        <f>SUM(BS70,BJ70,BA70,AR70,AI70,Z70,Q70,H70)</f>
        <v/>
      </c>
      <c r="CF70" s="57">
        <f>(CE70/800)*100</f>
        <v/>
      </c>
      <c r="CG70" s="58" t="n"/>
      <c r="CH70" s="58" t="n"/>
      <c r="CI70" s="58">
        <f>IF(CA70&lt;=4,"F",IF(CA70&lt;=6,"PASS",IF(CA70&lt;=6.5,"SC",IF(CA70&lt;=7.5,"FC",IF(CA70&lt;="10","FCD")))))</f>
        <v/>
      </c>
    </row>
    <row r="71">
      <c r="A71" s="70" t="n"/>
      <c r="B71" s="4" t="n"/>
      <c r="C71" s="4" t="n"/>
      <c r="D71" s="71" t="n"/>
      <c r="E71" s="15" t="n"/>
      <c r="F71" s="4" t="n"/>
      <c r="G71" s="4" t="n"/>
      <c r="H71" s="4" t="n"/>
      <c r="I71" s="4" t="n"/>
      <c r="J71" s="4" t="n"/>
      <c r="K71" s="4" t="n"/>
      <c r="L71" s="16" t="n"/>
      <c r="M71" s="17" t="n"/>
      <c r="N71" s="15" t="n"/>
      <c r="O71" s="4" t="n"/>
      <c r="P71" s="4" t="n"/>
      <c r="Q71" s="4" t="n"/>
      <c r="R71" s="4" t="n"/>
      <c r="S71" s="4" t="n"/>
      <c r="T71" s="4" t="n"/>
      <c r="U71" s="16" t="n"/>
      <c r="V71" s="17" t="n"/>
      <c r="W71" s="15" t="n"/>
      <c r="X71" s="4" t="n"/>
      <c r="Y71" s="4" t="n"/>
      <c r="Z71" s="4" t="n"/>
      <c r="AA71" s="4" t="n"/>
      <c r="AB71" s="4" t="n"/>
      <c r="AC71" s="4" t="n"/>
      <c r="AD71" s="16" t="n"/>
      <c r="AE71" s="17" t="n"/>
      <c r="AF71" s="72" t="n"/>
      <c r="AG71" s="73" t="n"/>
      <c r="AH71" s="4" t="n"/>
      <c r="AI71" s="4" t="n"/>
      <c r="AJ71" s="4" t="n"/>
      <c r="AK71" s="4" t="n"/>
      <c r="AL71" s="4" t="n"/>
      <c r="AM71" s="16" t="n"/>
      <c r="AN71" s="17" t="n"/>
      <c r="AO71" s="72" t="n"/>
      <c r="AP71" s="73" t="n"/>
      <c r="AQ71" s="4" t="n"/>
      <c r="AR71" s="4" t="n"/>
      <c r="AS71" s="4" t="n"/>
      <c r="AT71" s="4" t="n"/>
      <c r="AU71" s="4" t="n"/>
      <c r="AV71" s="16" t="n"/>
      <c r="AW71" s="17" t="n"/>
      <c r="AX71" s="15" t="n"/>
      <c r="AY71" s="4" t="n"/>
      <c r="AZ71" s="4" t="n"/>
      <c r="BA71" s="4" t="n"/>
      <c r="BB71" s="4" t="n"/>
      <c r="BC71" s="4" t="n"/>
      <c r="BD71" s="4" t="n"/>
      <c r="BE71" s="16" t="n"/>
      <c r="BG71" s="15" t="n"/>
      <c r="BH71" s="4" t="n"/>
      <c r="BI71" s="4" t="n"/>
      <c r="BJ71" s="4" t="n"/>
      <c r="BK71" s="4" t="n"/>
      <c r="BL71" s="4" t="n"/>
      <c r="BM71" s="4" t="n"/>
      <c r="BN71" s="16" t="n"/>
      <c r="BO71" s="17" t="n"/>
      <c r="BP71" s="15" t="n"/>
      <c r="BQ71" s="4" t="n"/>
      <c r="BR71" s="4" t="n"/>
      <c r="BS71" s="4" t="n"/>
      <c r="BT71" s="4" t="n"/>
      <c r="BU71" s="4" t="n"/>
      <c r="BV71" s="4" t="n"/>
      <c r="BW71" s="16" t="n"/>
      <c r="BX71" s="16" t="n"/>
      <c r="BY71" s="17" t="n"/>
      <c r="BZ71" s="17" t="n"/>
      <c r="CA71" s="17" t="n"/>
      <c r="CB71" s="48" t="n"/>
      <c r="CC71" s="23" t="n"/>
      <c r="CE71" s="48" t="n"/>
      <c r="CF71" s="48" t="n"/>
    </row>
    <row r="72" ht="15.75" customHeight="1">
      <c r="D72" s="1" t="n"/>
      <c r="E72" s="97" t="inlineStr">
        <is>
          <t xml:space="preserve">Mathematics for CSE Stream -II </t>
        </is>
      </c>
      <c r="F72" s="112" t="n"/>
      <c r="G72" s="112" t="n"/>
      <c r="H72" s="112" t="n"/>
      <c r="I72" s="112" t="n"/>
      <c r="J72" s="112" t="n"/>
      <c r="K72" s="112" t="n"/>
      <c r="L72" s="112" t="n"/>
      <c r="M72" s="27" t="n"/>
      <c r="N72" s="96" t="inlineStr">
        <is>
          <t>Chemistry for CSE Stream</t>
        </is>
      </c>
      <c r="O72" s="112" t="n"/>
      <c r="P72" s="112" t="n"/>
      <c r="Q72" s="112" t="n"/>
      <c r="R72" s="112" t="n"/>
      <c r="S72" s="112" t="n"/>
      <c r="T72" s="112" t="n"/>
      <c r="U72" s="112" t="n"/>
      <c r="V72" s="27" t="n"/>
      <c r="W72" s="96" t="inlineStr">
        <is>
          <t xml:space="preserve">Computer-Aided Engineering Drawing </t>
        </is>
      </c>
      <c r="X72" s="112" t="n"/>
      <c r="Y72" s="112" t="n"/>
      <c r="Z72" s="112" t="n"/>
      <c r="AA72" s="112" t="n"/>
      <c r="AB72" s="112" t="n"/>
      <c r="AC72" s="112" t="n"/>
      <c r="AD72" s="112" t="n"/>
      <c r="AE72" s="27" t="n"/>
      <c r="AF72" s="96" t="inlineStr">
        <is>
          <t xml:space="preserve">Introduction to Electronics Engineering </t>
        </is>
      </c>
      <c r="AG72" s="112" t="n"/>
      <c r="AH72" s="112" t="n"/>
      <c r="AI72" s="112" t="n"/>
      <c r="AJ72" s="112" t="n"/>
      <c r="AK72" s="112" t="n"/>
      <c r="AL72" s="112" t="n"/>
      <c r="AM72" s="112" t="n"/>
      <c r="AN72" s="27" t="n"/>
      <c r="AO72" s="96" t="inlineStr">
        <is>
          <t>Introduction to Python Programming</t>
        </is>
      </c>
      <c r="AP72" s="112" t="n"/>
      <c r="AQ72" s="112" t="n"/>
      <c r="AR72" s="112" t="n"/>
      <c r="AS72" s="112" t="n"/>
      <c r="AT72" s="112" t="n"/>
      <c r="AU72" s="112" t="n"/>
      <c r="AV72" s="112" t="n"/>
      <c r="AW72" s="27" t="n"/>
      <c r="AX72" s="96" t="inlineStr">
        <is>
          <t>Professional Writing Skills in English</t>
        </is>
      </c>
      <c r="AY72" s="112" t="n"/>
      <c r="AZ72" s="112" t="n"/>
      <c r="BA72" s="112" t="n"/>
      <c r="BB72" s="112" t="n"/>
      <c r="BC72" s="112" t="n"/>
      <c r="BD72" s="112" t="n"/>
      <c r="BE72" s="112" t="n"/>
      <c r="BF72" s="27" t="n"/>
      <c r="BG72" s="96" t="inlineStr">
        <is>
          <t xml:space="preserve">Samskrutika Kannada / Balake Kannada </t>
        </is>
      </c>
      <c r="BH72" s="112" t="n"/>
      <c r="BI72" s="112" t="n"/>
      <c r="BJ72" s="112" t="n"/>
      <c r="BK72" s="112" t="n"/>
      <c r="BL72" s="112" t="n"/>
      <c r="BM72" s="112" t="n"/>
      <c r="BN72" s="112" t="n"/>
      <c r="BO72" s="27" t="n"/>
      <c r="BP72" s="96" t="inlineStr">
        <is>
          <t xml:space="preserve">Scientific Foundations of Health </t>
        </is>
      </c>
      <c r="BQ72" s="112" t="n"/>
      <c r="BR72" s="112" t="n"/>
      <c r="BS72" s="112" t="n"/>
      <c r="BT72" s="112" t="n"/>
      <c r="BU72" s="112" t="n"/>
      <c r="BV72" s="112" t="n"/>
      <c r="BW72" s="112" t="n"/>
      <c r="BX72" s="27" t="n"/>
      <c r="BY72" s="27" t="n"/>
      <c r="BZ72" s="27" t="n"/>
      <c r="CA72" s="27" t="n"/>
      <c r="CB72" s="28" t="n"/>
      <c r="CC72" s="27" t="n"/>
      <c r="CD72" s="27" t="n"/>
      <c r="CE72" s="28" t="n"/>
      <c r="CF72" s="28" t="n"/>
      <c r="CG72" s="27" t="n"/>
      <c r="CH72" s="27" t="n"/>
      <c r="CI72" s="27" t="n"/>
    </row>
    <row r="73" ht="15.75" customHeight="1">
      <c r="C73" s="1" t="inlineStr">
        <is>
          <t>Total No. of</t>
        </is>
      </c>
      <c r="D73" s="1" t="n"/>
      <c r="E73" s="28" t="n"/>
      <c r="F73" s="28" t="n"/>
      <c r="G73" s="28" t="n"/>
      <c r="H73" s="28" t="n"/>
      <c r="I73" s="28" t="n"/>
      <c r="J73" s="27" t="inlineStr">
        <is>
          <t>O</t>
        </is>
      </c>
      <c r="K73" s="27">
        <f>COUNTIF(K9:K71,"O")</f>
        <v/>
      </c>
      <c r="L73" s="27" t="n"/>
      <c r="M73" s="27" t="n"/>
      <c r="N73" s="28" t="n"/>
      <c r="O73" s="28" t="n"/>
      <c r="P73" s="28" t="n"/>
      <c r="Q73" s="28" t="n"/>
      <c r="R73" s="28" t="n"/>
      <c r="S73" s="27" t="inlineStr">
        <is>
          <t>O</t>
        </is>
      </c>
      <c r="T73" s="27">
        <f>COUNTIF(T9:T71,"O")</f>
        <v/>
      </c>
      <c r="U73" s="27" t="n"/>
      <c r="V73" s="27" t="n"/>
      <c r="W73" s="27" t="n"/>
      <c r="X73" s="27" t="n"/>
      <c r="Y73" s="27" t="n"/>
      <c r="Z73" s="27" t="n"/>
      <c r="AA73" s="27" t="n"/>
      <c r="AB73" s="27" t="inlineStr">
        <is>
          <t>O</t>
        </is>
      </c>
      <c r="AC73" s="27">
        <f>COUNTIF(AC9:AC71,"O")</f>
        <v/>
      </c>
      <c r="AD73" s="27" t="n"/>
      <c r="AE73" s="27" t="n"/>
      <c r="AF73" s="27" t="n"/>
      <c r="AG73" s="27" t="n"/>
      <c r="AH73" s="27" t="n"/>
      <c r="AI73" s="27" t="n"/>
      <c r="AJ73" s="27" t="n"/>
      <c r="AK73" s="27" t="inlineStr">
        <is>
          <t>O</t>
        </is>
      </c>
      <c r="AL73" s="27">
        <f>COUNTIF(AL9:AL71,"O")</f>
        <v/>
      </c>
      <c r="AM73" s="27" t="n"/>
      <c r="AN73" s="27" t="n"/>
      <c r="AO73" s="27" t="n"/>
      <c r="AP73" s="27" t="n"/>
      <c r="AQ73" s="27" t="n"/>
      <c r="AR73" s="27" t="n"/>
      <c r="AS73" s="27" t="n"/>
      <c r="AT73" s="27" t="inlineStr">
        <is>
          <t>O</t>
        </is>
      </c>
      <c r="AU73" s="27">
        <f>COUNTIF(AU9:AU71,"O")</f>
        <v/>
      </c>
      <c r="AV73" s="27" t="n"/>
      <c r="AW73" s="27" t="n"/>
      <c r="AX73" s="27" t="n"/>
      <c r="AY73" s="27" t="n"/>
      <c r="AZ73" s="27" t="n"/>
      <c r="BA73" s="27" t="n"/>
      <c r="BB73" s="27" t="n"/>
      <c r="BC73" s="27" t="inlineStr">
        <is>
          <t>O</t>
        </is>
      </c>
      <c r="BD73" s="27">
        <f>COUNTIF(BD9:BD71,"O")</f>
        <v/>
      </c>
      <c r="BE73" s="27" t="n"/>
      <c r="BF73" s="27" t="n"/>
      <c r="BG73" s="27" t="n"/>
      <c r="BH73" s="27" t="n"/>
      <c r="BI73" s="27" t="n"/>
      <c r="BJ73" s="27" t="n"/>
      <c r="BK73" s="27" t="n"/>
      <c r="BL73" s="27" t="inlineStr">
        <is>
          <t>O</t>
        </is>
      </c>
      <c r="BM73" s="27">
        <f>COUNTIF(BM9:BM71,"O")</f>
        <v/>
      </c>
      <c r="BN73" s="27" t="n"/>
      <c r="BO73" s="27" t="n"/>
      <c r="BP73" s="27" t="n"/>
      <c r="BQ73" s="27" t="n"/>
      <c r="BR73" s="27" t="n"/>
      <c r="BS73" s="27" t="n"/>
      <c r="BT73" s="27" t="n"/>
      <c r="BU73" s="27" t="inlineStr">
        <is>
          <t>O</t>
        </is>
      </c>
      <c r="BV73" s="27">
        <f>COUNTIF(BV9:BV71,"O")</f>
        <v/>
      </c>
      <c r="BW73" s="27" t="n"/>
      <c r="BX73" s="27" t="n"/>
      <c r="BY73" s="27" t="n"/>
      <c r="BZ73" s="27" t="n"/>
      <c r="CA73" s="27" t="inlineStr">
        <is>
          <t>O</t>
        </is>
      </c>
      <c r="CB73" s="28">
        <f>COUNTIF(CB9:CB71,"O")</f>
        <v/>
      </c>
      <c r="CC73" s="27" t="n"/>
      <c r="CD73" s="27" t="n"/>
      <c r="CE73" s="28" t="n"/>
      <c r="CF73" s="28" t="n"/>
      <c r="CG73" s="27" t="n"/>
      <c r="CH73" s="27" t="inlineStr">
        <is>
          <t>FCD</t>
        </is>
      </c>
      <c r="CI73" s="27">
        <f>COUNTIF(CI9:CI71,"FCD")</f>
        <v/>
      </c>
    </row>
    <row r="74" ht="15.75" customHeight="1">
      <c r="C74" s="1" t="inlineStr">
        <is>
          <t>Total No. of</t>
        </is>
      </c>
      <c r="D74" s="1" t="n"/>
      <c r="E74" s="28" t="n"/>
      <c r="F74" s="28" t="n"/>
      <c r="G74" s="28" t="n"/>
      <c r="H74" s="28" t="n"/>
      <c r="I74" s="28" t="n"/>
      <c r="J74" s="27" t="inlineStr">
        <is>
          <t>A+</t>
        </is>
      </c>
      <c r="K74" s="27">
        <f>COUNTIF(K9:K71,"A+")</f>
        <v/>
      </c>
      <c r="L74" s="27" t="n"/>
      <c r="M74" s="27" t="n"/>
      <c r="N74" s="28" t="n"/>
      <c r="O74" s="28" t="n"/>
      <c r="P74" s="28" t="n"/>
      <c r="Q74" s="28" t="n"/>
      <c r="R74" s="28" t="n"/>
      <c r="S74" s="27" t="inlineStr">
        <is>
          <t>A+</t>
        </is>
      </c>
      <c r="T74" s="27">
        <f>COUNTIF(T9:T71,"A+")</f>
        <v/>
      </c>
      <c r="U74" s="27" t="n"/>
      <c r="V74" s="27" t="n"/>
      <c r="W74" s="27" t="n"/>
      <c r="X74" s="27" t="n"/>
      <c r="Y74" s="27" t="n"/>
      <c r="Z74" s="27" t="n"/>
      <c r="AA74" s="27" t="n"/>
      <c r="AB74" s="27" t="inlineStr">
        <is>
          <t>A+</t>
        </is>
      </c>
      <c r="AC74" s="27">
        <f>COUNTIF(AC9:AC71,"A+")</f>
        <v/>
      </c>
      <c r="AD74" s="27" t="n"/>
      <c r="AE74" s="27" t="n"/>
      <c r="AF74" s="27" t="n"/>
      <c r="AG74" s="27" t="n"/>
      <c r="AH74" s="27" t="n"/>
      <c r="AI74" s="27" t="n"/>
      <c r="AJ74" s="27" t="n"/>
      <c r="AK74" s="27" t="inlineStr">
        <is>
          <t>A+</t>
        </is>
      </c>
      <c r="AL74" s="27">
        <f>COUNTIF(AL9:AL71,"A+")</f>
        <v/>
      </c>
      <c r="AM74" s="27" t="n"/>
      <c r="AN74" s="27" t="n"/>
      <c r="AO74" s="27" t="n"/>
      <c r="AP74" s="27" t="n"/>
      <c r="AQ74" s="27" t="n"/>
      <c r="AR74" s="27" t="n"/>
      <c r="AS74" s="27" t="n"/>
      <c r="AT74" s="27" t="inlineStr">
        <is>
          <t>A+</t>
        </is>
      </c>
      <c r="AU74" s="27">
        <f>COUNTIF(AU9:AU71,"A+")</f>
        <v/>
      </c>
      <c r="AV74" s="27" t="n"/>
      <c r="AW74" s="27" t="n"/>
      <c r="AX74" s="27" t="n"/>
      <c r="AY74" s="27" t="n"/>
      <c r="AZ74" s="27" t="n"/>
      <c r="BA74" s="27" t="n"/>
      <c r="BB74" s="27" t="n"/>
      <c r="BC74" s="27" t="inlineStr">
        <is>
          <t>A+</t>
        </is>
      </c>
      <c r="BD74" s="27">
        <f>COUNTIF(BD9:BD71,"A+")</f>
        <v/>
      </c>
      <c r="BE74" s="27" t="n"/>
      <c r="BF74" s="27" t="n"/>
      <c r="BG74" s="27" t="n"/>
      <c r="BH74" s="27" t="n"/>
      <c r="BI74" s="27" t="n"/>
      <c r="BJ74" s="27" t="n"/>
      <c r="BK74" s="27" t="n"/>
      <c r="BL74" s="27" t="inlineStr">
        <is>
          <t>A+</t>
        </is>
      </c>
      <c r="BM74" s="27">
        <f>COUNTIF(BM9:BM71,"A+")</f>
        <v/>
      </c>
      <c r="BN74" s="27" t="n"/>
      <c r="BO74" s="27" t="n"/>
      <c r="BP74" s="27" t="n"/>
      <c r="BQ74" s="27" t="n"/>
      <c r="BR74" s="27" t="n"/>
      <c r="BS74" s="27" t="n"/>
      <c r="BT74" s="27" t="n"/>
      <c r="BU74" s="27" t="inlineStr">
        <is>
          <t>A+</t>
        </is>
      </c>
      <c r="BV74" s="27">
        <f>COUNTIF(BV9:BV71,"A+")</f>
        <v/>
      </c>
      <c r="BW74" s="27" t="n"/>
      <c r="BX74" s="27" t="n"/>
      <c r="BY74" s="27" t="n"/>
      <c r="BZ74" s="27" t="n"/>
      <c r="CA74" s="27" t="inlineStr">
        <is>
          <t>A+</t>
        </is>
      </c>
      <c r="CB74" s="28">
        <f>COUNTIF(CB9:CB71,"A+")</f>
        <v/>
      </c>
      <c r="CC74" s="27" t="n"/>
      <c r="CD74" s="27" t="n"/>
      <c r="CE74" s="28" t="n"/>
      <c r="CF74" s="28" t="n"/>
      <c r="CG74" s="27" t="n"/>
      <c r="CH74" s="27" t="inlineStr">
        <is>
          <t>FC</t>
        </is>
      </c>
      <c r="CI74" s="27">
        <f>COUNTIF(CI9:CI71,"FC")</f>
        <v/>
      </c>
    </row>
    <row r="75" ht="15.75" customHeight="1">
      <c r="C75" s="1" t="inlineStr">
        <is>
          <t>Total No. of</t>
        </is>
      </c>
      <c r="D75" s="1" t="n"/>
      <c r="E75" s="28" t="n"/>
      <c r="F75" s="28" t="n"/>
      <c r="G75" s="28" t="n"/>
      <c r="H75" s="28" t="n"/>
      <c r="I75" s="28" t="n"/>
      <c r="J75" s="27" t="inlineStr">
        <is>
          <t>A</t>
        </is>
      </c>
      <c r="K75" s="27">
        <f>COUNTIF(K9:K71,"A")</f>
        <v/>
      </c>
      <c r="L75" s="27" t="n"/>
      <c r="M75" s="27" t="n"/>
      <c r="N75" s="28" t="n"/>
      <c r="O75" s="28" t="n"/>
      <c r="P75" s="28" t="n"/>
      <c r="Q75" s="28" t="n"/>
      <c r="R75" s="28" t="n"/>
      <c r="S75" s="27" t="inlineStr">
        <is>
          <t>A</t>
        </is>
      </c>
      <c r="T75" s="27">
        <f>COUNTIF(T9:T71,"A")</f>
        <v/>
      </c>
      <c r="U75" s="27" t="n"/>
      <c r="V75" s="27" t="n"/>
      <c r="W75" s="27" t="n"/>
      <c r="X75" s="27" t="n"/>
      <c r="Y75" s="27" t="n"/>
      <c r="Z75" s="27" t="n"/>
      <c r="AA75" s="27" t="n"/>
      <c r="AB75" s="27" t="inlineStr">
        <is>
          <t>A</t>
        </is>
      </c>
      <c r="AC75" s="27">
        <f>COUNTIF(AC9:AC71,"A")</f>
        <v/>
      </c>
      <c r="AD75" s="27" t="n"/>
      <c r="AE75" s="27" t="n"/>
      <c r="AF75" s="27" t="n"/>
      <c r="AG75" s="27" t="n"/>
      <c r="AH75" s="27" t="n"/>
      <c r="AI75" s="27" t="n"/>
      <c r="AJ75" s="27" t="n"/>
      <c r="AK75" s="27" t="inlineStr">
        <is>
          <t>A</t>
        </is>
      </c>
      <c r="AL75" s="27">
        <f>COUNTIF(AL9:AL71,"A")</f>
        <v/>
      </c>
      <c r="AM75" s="27" t="n"/>
      <c r="AN75" s="27" t="n"/>
      <c r="AO75" s="27" t="n"/>
      <c r="AP75" s="27" t="n"/>
      <c r="AQ75" s="27" t="n"/>
      <c r="AR75" s="27" t="n"/>
      <c r="AS75" s="27" t="n"/>
      <c r="AT75" s="27" t="inlineStr">
        <is>
          <t>A</t>
        </is>
      </c>
      <c r="AU75" s="27">
        <f>COUNTIF(AU9:AU71,"A")</f>
        <v/>
      </c>
      <c r="AV75" s="27" t="n"/>
      <c r="AW75" s="27" t="n"/>
      <c r="AX75" s="27" t="n"/>
      <c r="AY75" s="27" t="n"/>
      <c r="AZ75" s="27" t="n"/>
      <c r="BA75" s="27" t="n"/>
      <c r="BB75" s="27" t="n"/>
      <c r="BC75" s="27" t="inlineStr">
        <is>
          <t>A</t>
        </is>
      </c>
      <c r="BD75" s="27">
        <f>COUNTIF(BD9:BD71,"A")</f>
        <v/>
      </c>
      <c r="BE75" s="27" t="n"/>
      <c r="BF75" s="27" t="n"/>
      <c r="BG75" s="27" t="n"/>
      <c r="BH75" s="27" t="n"/>
      <c r="BI75" s="27" t="n"/>
      <c r="BJ75" s="27" t="n"/>
      <c r="BK75" s="27" t="n"/>
      <c r="BL75" s="27" t="inlineStr">
        <is>
          <t>A</t>
        </is>
      </c>
      <c r="BM75" s="27">
        <f>COUNTIF(BM9:BM71,"A")</f>
        <v/>
      </c>
      <c r="BN75" s="27" t="n"/>
      <c r="BO75" s="27" t="n"/>
      <c r="BP75" s="27" t="n"/>
      <c r="BQ75" s="27" t="n"/>
      <c r="BR75" s="27" t="n"/>
      <c r="BS75" s="27" t="n"/>
      <c r="BT75" s="27" t="n"/>
      <c r="BU75" s="27" t="inlineStr">
        <is>
          <t>A</t>
        </is>
      </c>
      <c r="BV75" s="27">
        <f>COUNTIF(BV9:BV71,"A")</f>
        <v/>
      </c>
      <c r="BW75" s="27" t="n"/>
      <c r="BX75" s="27" t="n"/>
      <c r="BY75" s="27" t="n"/>
      <c r="BZ75" s="27" t="n"/>
      <c r="CA75" s="27" t="inlineStr">
        <is>
          <t>A</t>
        </is>
      </c>
      <c r="CB75" s="28">
        <f>COUNTIF(CB9:CB71,"A")</f>
        <v/>
      </c>
      <c r="CC75" s="27" t="n"/>
      <c r="CD75" s="27" t="n"/>
      <c r="CE75" s="28" t="n"/>
      <c r="CF75" s="28" t="n"/>
      <c r="CG75" s="27" t="n"/>
      <c r="CH75" s="27" t="inlineStr">
        <is>
          <t>SC</t>
        </is>
      </c>
      <c r="CI75" s="27">
        <f>COUNTIF(CI9:CI71,"SC")</f>
        <v/>
      </c>
    </row>
    <row r="76" ht="15.75" customHeight="1">
      <c r="C76" s="1" t="inlineStr">
        <is>
          <t>Total No. of</t>
        </is>
      </c>
      <c r="D76" s="1" t="n"/>
      <c r="E76" s="28" t="n"/>
      <c r="F76" s="28" t="n"/>
      <c r="G76" s="28" t="n"/>
      <c r="H76" s="28" t="n"/>
      <c r="I76" s="28" t="n"/>
      <c r="J76" s="27" t="inlineStr">
        <is>
          <t>B+</t>
        </is>
      </c>
      <c r="K76" s="27">
        <f>COUNTIF(K9:K71,"B+")</f>
        <v/>
      </c>
      <c r="L76" s="27" t="n"/>
      <c r="M76" s="27" t="n"/>
      <c r="N76" s="28" t="n"/>
      <c r="O76" s="28" t="n"/>
      <c r="P76" s="28" t="n"/>
      <c r="Q76" s="28" t="n"/>
      <c r="R76" s="28" t="n"/>
      <c r="S76" s="27" t="inlineStr">
        <is>
          <t>B+</t>
        </is>
      </c>
      <c r="T76" s="27">
        <f>COUNTIF(T9:T71,"B+")</f>
        <v/>
      </c>
      <c r="U76" s="27" t="n"/>
      <c r="V76" s="27" t="n"/>
      <c r="W76" s="27" t="n"/>
      <c r="X76" s="27" t="n"/>
      <c r="Y76" s="27" t="n"/>
      <c r="Z76" s="27" t="n"/>
      <c r="AA76" s="27" t="n"/>
      <c r="AB76" s="27" t="inlineStr">
        <is>
          <t>B+</t>
        </is>
      </c>
      <c r="AC76" s="27">
        <f>COUNTIF(AC9:AC71,"B+")</f>
        <v/>
      </c>
      <c r="AD76" s="27" t="n"/>
      <c r="AE76" s="27" t="n"/>
      <c r="AF76" s="27" t="n"/>
      <c r="AG76" s="27" t="n"/>
      <c r="AH76" s="27" t="n"/>
      <c r="AI76" s="27" t="n"/>
      <c r="AJ76" s="27" t="n"/>
      <c r="AK76" s="27" t="inlineStr">
        <is>
          <t>B+</t>
        </is>
      </c>
      <c r="AL76" s="27">
        <f>COUNTIF(AL9:AL71,"B+")</f>
        <v/>
      </c>
      <c r="AM76" s="27" t="n"/>
      <c r="AN76" s="27" t="n"/>
      <c r="AO76" s="27" t="n"/>
      <c r="AP76" s="27" t="n"/>
      <c r="AQ76" s="27" t="n"/>
      <c r="AR76" s="27" t="n"/>
      <c r="AS76" s="27" t="n"/>
      <c r="AT76" s="27" t="inlineStr">
        <is>
          <t>B+</t>
        </is>
      </c>
      <c r="AU76" s="27">
        <f>COUNTIF(AU9:AU71,"B+")</f>
        <v/>
      </c>
      <c r="AV76" s="27" t="n"/>
      <c r="AW76" s="27" t="n"/>
      <c r="AX76" s="27" t="n"/>
      <c r="AY76" s="27" t="n"/>
      <c r="AZ76" s="27" t="n"/>
      <c r="BA76" s="27" t="n"/>
      <c r="BB76" s="27" t="n"/>
      <c r="BC76" s="27" t="inlineStr">
        <is>
          <t>B+</t>
        </is>
      </c>
      <c r="BD76" s="27">
        <f>COUNTIF(BD9:BD71,"B+")</f>
        <v/>
      </c>
      <c r="BE76" s="27" t="n"/>
      <c r="BF76" s="27" t="n"/>
      <c r="BG76" s="27" t="n"/>
      <c r="BH76" s="27" t="n"/>
      <c r="BI76" s="27" t="n"/>
      <c r="BJ76" s="27" t="n"/>
      <c r="BK76" s="27" t="n"/>
      <c r="BL76" s="27" t="inlineStr">
        <is>
          <t>B+</t>
        </is>
      </c>
      <c r="BM76" s="27">
        <f>COUNTIF(BM9:BM71,"B+")</f>
        <v/>
      </c>
      <c r="BN76" s="27" t="n"/>
      <c r="BO76" s="27" t="n"/>
      <c r="BP76" s="27" t="n"/>
      <c r="BQ76" s="27" t="n"/>
      <c r="BR76" s="27" t="n"/>
      <c r="BS76" s="27" t="n"/>
      <c r="BT76" s="27" t="n"/>
      <c r="BU76" s="27" t="inlineStr">
        <is>
          <t>B+</t>
        </is>
      </c>
      <c r="BV76" s="27">
        <f>COUNTIF(BV9:BV71,"B+")</f>
        <v/>
      </c>
      <c r="BW76" s="27" t="n"/>
      <c r="BX76" s="27" t="n"/>
      <c r="BY76" s="27" t="n"/>
      <c r="BZ76" s="27" t="n"/>
      <c r="CA76" s="27" t="inlineStr">
        <is>
          <t>B+</t>
        </is>
      </c>
      <c r="CB76" s="28">
        <f>COUNTIF(CB9:CB71,"B+")</f>
        <v/>
      </c>
      <c r="CC76" s="27" t="n"/>
      <c r="CD76" s="27" t="n"/>
      <c r="CE76" s="28" t="n"/>
      <c r="CF76" s="28" t="n"/>
      <c r="CG76" s="27" t="n"/>
      <c r="CH76" s="27" t="inlineStr">
        <is>
          <t>PASS</t>
        </is>
      </c>
      <c r="CI76" s="27">
        <f>COUNTIF(CI9:CI71,"PASS")</f>
        <v/>
      </c>
    </row>
    <row r="77" ht="15.75" customHeight="1">
      <c r="C77" s="1" t="inlineStr">
        <is>
          <t>Total No. of</t>
        </is>
      </c>
      <c r="D77" s="1" t="n"/>
      <c r="E77" s="28" t="n"/>
      <c r="F77" s="28" t="n"/>
      <c r="G77" s="28" t="n"/>
      <c r="H77" s="28" t="n"/>
      <c r="I77" s="28" t="n"/>
      <c r="J77" s="27" t="inlineStr">
        <is>
          <t>B</t>
        </is>
      </c>
      <c r="K77" s="27">
        <f>COUNTIF(K9:K71,"B")</f>
        <v/>
      </c>
      <c r="L77" s="27" t="n"/>
      <c r="M77" s="27" t="n"/>
      <c r="N77" s="28" t="n"/>
      <c r="O77" s="28" t="n"/>
      <c r="P77" s="28" t="n"/>
      <c r="Q77" s="28" t="n"/>
      <c r="R77" s="28" t="n"/>
      <c r="S77" s="27" t="inlineStr">
        <is>
          <t>B</t>
        </is>
      </c>
      <c r="T77" s="27">
        <f>COUNTIF(T9:T71,"B")</f>
        <v/>
      </c>
      <c r="U77" s="27" t="n"/>
      <c r="V77" s="27" t="n"/>
      <c r="W77" s="27" t="n"/>
      <c r="X77" s="27" t="n"/>
      <c r="Y77" s="27" t="n"/>
      <c r="Z77" s="27" t="n"/>
      <c r="AA77" s="27" t="n"/>
      <c r="AB77" s="27" t="inlineStr">
        <is>
          <t>B</t>
        </is>
      </c>
      <c r="AC77" s="27">
        <f>COUNTIF(AC9:AC71,"B")</f>
        <v/>
      </c>
      <c r="AD77" s="27" t="n"/>
      <c r="AE77" s="27" t="n"/>
      <c r="AF77" s="27" t="n"/>
      <c r="AG77" s="27" t="n"/>
      <c r="AH77" s="27" t="n"/>
      <c r="AI77" s="27" t="n"/>
      <c r="AJ77" s="27" t="n"/>
      <c r="AK77" s="27" t="inlineStr">
        <is>
          <t>B</t>
        </is>
      </c>
      <c r="AL77" s="27">
        <f>COUNTIF(AL9:AL71,"B")</f>
        <v/>
      </c>
      <c r="AM77" s="27" t="n"/>
      <c r="AN77" s="27" t="n"/>
      <c r="AO77" s="27" t="n"/>
      <c r="AP77" s="27" t="n"/>
      <c r="AQ77" s="27" t="n"/>
      <c r="AR77" s="27" t="n"/>
      <c r="AS77" s="27" t="n"/>
      <c r="AT77" s="27" t="inlineStr">
        <is>
          <t>B</t>
        </is>
      </c>
      <c r="AU77" s="27">
        <f>COUNTIF(AU9:AU71,"B")</f>
        <v/>
      </c>
      <c r="AV77" s="27" t="n"/>
      <c r="AW77" s="27" t="n"/>
      <c r="AX77" s="27" t="n"/>
      <c r="AY77" s="27" t="n"/>
      <c r="AZ77" s="27" t="n"/>
      <c r="BA77" s="27" t="n"/>
      <c r="BB77" s="27" t="n"/>
      <c r="BC77" s="27" t="inlineStr">
        <is>
          <t>B</t>
        </is>
      </c>
      <c r="BD77" s="27">
        <f>COUNTIF(BD9:BD71,"B")</f>
        <v/>
      </c>
      <c r="BE77" s="27" t="n"/>
      <c r="BF77" s="27" t="n"/>
      <c r="BG77" s="27" t="n"/>
      <c r="BH77" s="27" t="n"/>
      <c r="BI77" s="27" t="n"/>
      <c r="BJ77" s="27" t="n"/>
      <c r="BK77" s="27" t="n"/>
      <c r="BL77" s="27" t="inlineStr">
        <is>
          <t>B</t>
        </is>
      </c>
      <c r="BM77" s="27">
        <f>COUNTIF(BM9:BM71,"B")</f>
        <v/>
      </c>
      <c r="BN77" s="27" t="n"/>
      <c r="BO77" s="27" t="n"/>
      <c r="BP77" s="27" t="n"/>
      <c r="BQ77" s="27" t="n"/>
      <c r="BR77" s="27" t="n"/>
      <c r="BS77" s="27" t="n"/>
      <c r="BT77" s="27" t="n"/>
      <c r="BU77" s="27" t="inlineStr">
        <is>
          <t>B</t>
        </is>
      </c>
      <c r="BV77" s="27">
        <f>COUNTIF(BV9:BV71,"B")</f>
        <v/>
      </c>
      <c r="BW77" s="27" t="n"/>
      <c r="BX77" s="27" t="n"/>
      <c r="BY77" s="27" t="n"/>
      <c r="BZ77" s="27" t="n"/>
      <c r="CA77" s="27" t="inlineStr">
        <is>
          <t>B</t>
        </is>
      </c>
      <c r="CB77" s="28">
        <f>COUNTIF(CB9:CB71,"B")</f>
        <v/>
      </c>
      <c r="CC77" s="27" t="n"/>
      <c r="CD77" s="27" t="n"/>
      <c r="CE77" s="28" t="n"/>
      <c r="CF77" s="28" t="n"/>
      <c r="CG77" s="27" t="n"/>
      <c r="CH77" s="27" t="inlineStr">
        <is>
          <t>FAIL</t>
        </is>
      </c>
      <c r="CI77" s="27">
        <f>COUNTIF(CI9:CI71,"F")</f>
        <v/>
      </c>
    </row>
    <row r="78" ht="15.75" customHeight="1">
      <c r="C78" s="1" t="inlineStr">
        <is>
          <t>Total No. of</t>
        </is>
      </c>
      <c r="D78" s="1" t="n"/>
      <c r="E78" s="28" t="n"/>
      <c r="F78" s="28" t="n"/>
      <c r="G78" s="28" t="n"/>
      <c r="H78" s="28" t="n"/>
      <c r="I78" s="28" t="n"/>
      <c r="J78" s="27" t="inlineStr">
        <is>
          <t>C</t>
        </is>
      </c>
      <c r="K78" s="27">
        <f>COUNTIF(K9:K71,"C")</f>
        <v/>
      </c>
      <c r="L78" s="27" t="n"/>
      <c r="M78" s="27" t="n"/>
      <c r="N78" s="28" t="n"/>
      <c r="O78" s="28" t="n"/>
      <c r="P78" s="28" t="n"/>
      <c r="Q78" s="28" t="n"/>
      <c r="R78" s="28" t="n"/>
      <c r="S78" s="27" t="inlineStr">
        <is>
          <t>C</t>
        </is>
      </c>
      <c r="T78" s="27">
        <f>COUNTIF(T9:T71,"C")</f>
        <v/>
      </c>
      <c r="U78" s="27" t="n"/>
      <c r="V78" s="27" t="n"/>
      <c r="W78" s="27" t="n"/>
      <c r="X78" s="27" t="n"/>
      <c r="Y78" s="27" t="n"/>
      <c r="Z78" s="27" t="n"/>
      <c r="AA78" s="27" t="n"/>
      <c r="AB78" s="27" t="inlineStr">
        <is>
          <t>C</t>
        </is>
      </c>
      <c r="AC78" s="27">
        <f>COUNTIF(AC9:AC71,"C")</f>
        <v/>
      </c>
      <c r="AD78" s="27" t="n"/>
      <c r="AE78" s="27" t="n"/>
      <c r="AF78" s="27" t="n"/>
      <c r="AG78" s="27" t="n"/>
      <c r="AH78" s="27" t="n"/>
      <c r="AI78" s="27" t="n"/>
      <c r="AJ78" s="27" t="n"/>
      <c r="AK78" s="27" t="inlineStr">
        <is>
          <t>C</t>
        </is>
      </c>
      <c r="AL78" s="27">
        <f>COUNTIF(AL9:AL71,"C")</f>
        <v/>
      </c>
      <c r="AM78" s="27" t="n"/>
      <c r="AN78" s="27" t="n"/>
      <c r="AO78" s="27" t="n"/>
      <c r="AP78" s="27" t="n"/>
      <c r="AQ78" s="27" t="n"/>
      <c r="AR78" s="27" t="n"/>
      <c r="AS78" s="27" t="n"/>
      <c r="AT78" s="27" t="inlineStr">
        <is>
          <t>C</t>
        </is>
      </c>
      <c r="AU78" s="27">
        <f>COUNTIF(AU9:AU71,"C")</f>
        <v/>
      </c>
      <c r="AV78" s="27" t="n"/>
      <c r="AW78" s="27" t="n"/>
      <c r="AX78" s="27" t="n"/>
      <c r="AY78" s="27" t="n"/>
      <c r="AZ78" s="27" t="n"/>
      <c r="BA78" s="27" t="n"/>
      <c r="BB78" s="27" t="n"/>
      <c r="BC78" s="27" t="inlineStr">
        <is>
          <t>C</t>
        </is>
      </c>
      <c r="BD78" s="27">
        <f>COUNTIF(BD9:BD71,"C")</f>
        <v/>
      </c>
      <c r="BE78" s="27" t="n"/>
      <c r="BF78" s="27" t="n"/>
      <c r="BG78" s="27" t="n"/>
      <c r="BH78" s="27" t="n"/>
      <c r="BI78" s="27" t="n"/>
      <c r="BJ78" s="27" t="n"/>
      <c r="BK78" s="27" t="n"/>
      <c r="BL78" s="27" t="inlineStr">
        <is>
          <t>C</t>
        </is>
      </c>
      <c r="BM78" s="27">
        <f>COUNTIF(BM9:BM71,"C")</f>
        <v/>
      </c>
      <c r="BN78" s="27" t="n"/>
      <c r="BO78" s="27" t="n"/>
      <c r="BP78" s="27" t="n"/>
      <c r="BQ78" s="27" t="n"/>
      <c r="BR78" s="27" t="n"/>
      <c r="BS78" s="27" t="n"/>
      <c r="BT78" s="27" t="n"/>
      <c r="BU78" s="27" t="inlineStr">
        <is>
          <t>C</t>
        </is>
      </c>
      <c r="BV78" s="27">
        <f>COUNTIF(BV9:BV71,"C")</f>
        <v/>
      </c>
      <c r="BW78" s="27" t="n"/>
      <c r="BX78" s="27" t="n"/>
      <c r="BY78" s="27" t="n"/>
      <c r="BZ78" s="27" t="n"/>
      <c r="CA78" s="27" t="inlineStr">
        <is>
          <t>C</t>
        </is>
      </c>
      <c r="CB78" s="28">
        <f>COUNTIF(CB9:CB71,"C")</f>
        <v/>
      </c>
      <c r="CC78" s="27" t="n"/>
      <c r="CD78" s="27" t="n"/>
      <c r="CE78" s="28" t="n"/>
      <c r="CF78" s="28" t="n"/>
      <c r="CG78" s="27" t="n"/>
      <c r="CH78" s="27" t="n"/>
      <c r="CI78" s="27" t="n"/>
    </row>
    <row r="79" ht="15.75" customHeight="1">
      <c r="C79" s="1" t="inlineStr">
        <is>
          <t>Total No. of</t>
        </is>
      </c>
      <c r="D79" s="1" t="n"/>
      <c r="E79" s="28" t="n"/>
      <c r="F79" s="28" t="n"/>
      <c r="G79" s="28" t="n"/>
      <c r="H79" s="28" t="n"/>
      <c r="I79" s="28" t="n"/>
      <c r="J79" s="27" t="inlineStr">
        <is>
          <t>P</t>
        </is>
      </c>
      <c r="K79" s="27">
        <f>COUNTIF(K9:K71,"P")</f>
        <v/>
      </c>
      <c r="L79" s="27" t="n"/>
      <c r="M79" s="27" t="n"/>
      <c r="N79" s="28" t="n"/>
      <c r="O79" s="28" t="n"/>
      <c r="P79" s="28" t="n"/>
      <c r="Q79" s="28" t="n"/>
      <c r="R79" s="28" t="n"/>
      <c r="S79" s="27" t="inlineStr">
        <is>
          <t>P</t>
        </is>
      </c>
      <c r="T79" s="27">
        <f>COUNTIF(T9:T71,"P")</f>
        <v/>
      </c>
      <c r="U79" s="27" t="n"/>
      <c r="V79" s="27" t="n"/>
      <c r="W79" s="27" t="n"/>
      <c r="X79" s="27" t="n"/>
      <c r="Y79" s="27" t="n"/>
      <c r="Z79" s="27" t="n"/>
      <c r="AA79" s="27" t="n"/>
      <c r="AB79" s="27" t="inlineStr">
        <is>
          <t>P</t>
        </is>
      </c>
      <c r="AC79" s="27">
        <f>COUNTIF(AC9:AC71,"P")</f>
        <v/>
      </c>
      <c r="AD79" s="27" t="n"/>
      <c r="AE79" s="27" t="n"/>
      <c r="AF79" s="27" t="n"/>
      <c r="AG79" s="27" t="n"/>
      <c r="AH79" s="27" t="n"/>
      <c r="AI79" s="27" t="n"/>
      <c r="AJ79" s="27" t="n"/>
      <c r="AK79" s="27" t="inlineStr">
        <is>
          <t>P</t>
        </is>
      </c>
      <c r="AL79" s="27">
        <f>COUNTIF(AL9:AL71,"P")</f>
        <v/>
      </c>
      <c r="AM79" s="27" t="n"/>
      <c r="AN79" s="27" t="n"/>
      <c r="AO79" s="27" t="n"/>
      <c r="AP79" s="27" t="n"/>
      <c r="AQ79" s="27" t="n"/>
      <c r="AR79" s="27" t="n"/>
      <c r="AS79" s="27" t="n"/>
      <c r="AT79" s="27" t="inlineStr">
        <is>
          <t>P</t>
        </is>
      </c>
      <c r="AU79" s="27">
        <f>COUNTIF(AU9:AU71,"P")</f>
        <v/>
      </c>
      <c r="AV79" s="27" t="n"/>
      <c r="AW79" s="27" t="n"/>
      <c r="AX79" s="27" t="n"/>
      <c r="AY79" s="27" t="n"/>
      <c r="AZ79" s="27" t="n"/>
      <c r="BA79" s="27" t="n"/>
      <c r="BB79" s="27" t="n"/>
      <c r="BC79" s="27" t="inlineStr">
        <is>
          <t>P</t>
        </is>
      </c>
      <c r="BD79" s="27">
        <f>COUNTIF(BD9:BD71,"P")</f>
        <v/>
      </c>
      <c r="BE79" s="27" t="n"/>
      <c r="BF79" s="27" t="n"/>
      <c r="BG79" s="27" t="n"/>
      <c r="BH79" s="27" t="n"/>
      <c r="BI79" s="27" t="n"/>
      <c r="BJ79" s="27" t="n"/>
      <c r="BK79" s="27" t="n"/>
      <c r="BL79" s="27" t="inlineStr">
        <is>
          <t>P</t>
        </is>
      </c>
      <c r="BM79" s="27">
        <f>COUNTIF(BM9:BM71,"P")</f>
        <v/>
      </c>
      <c r="BN79" s="27" t="n"/>
      <c r="BO79" s="27" t="n"/>
      <c r="BP79" s="27" t="n"/>
      <c r="BQ79" s="27" t="n"/>
      <c r="BR79" s="27" t="n"/>
      <c r="BS79" s="27" t="n"/>
      <c r="BT79" s="27" t="n"/>
      <c r="BU79" s="27" t="inlineStr">
        <is>
          <t>P</t>
        </is>
      </c>
      <c r="BV79" s="27">
        <f>COUNTIF(BV9:BV71,"P")</f>
        <v/>
      </c>
      <c r="BW79" s="27" t="n"/>
      <c r="BX79" s="27" t="n"/>
      <c r="BY79" s="27" t="n"/>
      <c r="BZ79" s="27" t="n"/>
      <c r="CA79" s="27" t="inlineStr">
        <is>
          <t>P</t>
        </is>
      </c>
      <c r="CB79" s="28">
        <f>COUNTIF(CB9:CB71,"P")</f>
        <v/>
      </c>
      <c r="CC79" s="27" t="n"/>
      <c r="CD79" s="27" t="n"/>
      <c r="CE79" s="28" t="n"/>
      <c r="CF79" s="28" t="n"/>
      <c r="CG79" s="27" t="n"/>
      <c r="CH79" s="27" t="n"/>
      <c r="CI79" s="27" t="n"/>
    </row>
    <row r="80" ht="15.75" customHeight="1">
      <c r="C80" s="1" t="inlineStr">
        <is>
          <t>Total No. of</t>
        </is>
      </c>
      <c r="D80" s="1" t="n"/>
      <c r="E80" s="28" t="n"/>
      <c r="F80" s="28" t="n"/>
      <c r="G80" s="28" t="n"/>
      <c r="H80" s="28" t="n"/>
      <c r="I80" s="28" t="n"/>
      <c r="J80" s="27" t="inlineStr">
        <is>
          <t>F</t>
        </is>
      </c>
      <c r="K80" s="27">
        <f>COUNTIF(K9:K71,"F")</f>
        <v/>
      </c>
      <c r="L80" s="27" t="n"/>
      <c r="M80" s="27" t="n"/>
      <c r="N80" s="28" t="n"/>
      <c r="O80" s="28" t="n"/>
      <c r="P80" s="28" t="n"/>
      <c r="Q80" s="28" t="n"/>
      <c r="R80" s="28" t="n"/>
      <c r="S80" s="27" t="inlineStr">
        <is>
          <t>F</t>
        </is>
      </c>
      <c r="T80" s="27">
        <f>COUNTIF(T9:T71,"F")</f>
        <v/>
      </c>
      <c r="U80" s="27" t="n"/>
      <c r="V80" s="27" t="n"/>
      <c r="W80" s="27" t="n"/>
      <c r="X80" s="27" t="n"/>
      <c r="Y80" s="27" t="n"/>
      <c r="Z80" s="27" t="n"/>
      <c r="AA80" s="27" t="n"/>
      <c r="AB80" s="27" t="inlineStr">
        <is>
          <t>F</t>
        </is>
      </c>
      <c r="AC80" s="27">
        <f>COUNTIF(AC9:AC71,"F")</f>
        <v/>
      </c>
      <c r="AD80" s="27" t="n"/>
      <c r="AE80" s="27" t="n"/>
      <c r="AF80" s="27" t="n"/>
      <c r="AG80" s="27" t="n"/>
      <c r="AH80" s="27" t="n"/>
      <c r="AI80" s="27" t="n"/>
      <c r="AJ80" s="27" t="n"/>
      <c r="AK80" s="27" t="inlineStr">
        <is>
          <t>F</t>
        </is>
      </c>
      <c r="AL80" s="27">
        <f>COUNTIF(AL9:AL71,"F")</f>
        <v/>
      </c>
      <c r="AM80" s="27" t="n"/>
      <c r="AN80" s="27" t="n"/>
      <c r="AO80" s="27" t="n"/>
      <c r="AP80" s="27" t="n"/>
      <c r="AQ80" s="27" t="n"/>
      <c r="AR80" s="27" t="n"/>
      <c r="AS80" s="27" t="n"/>
      <c r="AT80" s="27" t="inlineStr">
        <is>
          <t>F</t>
        </is>
      </c>
      <c r="AU80" s="27">
        <f>COUNTIF(AU9:AU71,"F")</f>
        <v/>
      </c>
      <c r="AV80" s="27" t="n"/>
      <c r="AW80" s="27" t="n"/>
      <c r="AX80" s="27" t="n"/>
      <c r="AY80" s="27" t="n"/>
      <c r="AZ80" s="27" t="n"/>
      <c r="BA80" s="27" t="n"/>
      <c r="BB80" s="27" t="n"/>
      <c r="BC80" s="27" t="inlineStr">
        <is>
          <t>F</t>
        </is>
      </c>
      <c r="BD80" s="27">
        <f>COUNTIF(BD9:BD71,"F")</f>
        <v/>
      </c>
      <c r="BE80" s="27" t="n"/>
      <c r="BF80" s="27" t="n"/>
      <c r="BG80" s="27" t="n"/>
      <c r="BH80" s="27" t="n"/>
      <c r="BI80" s="27" t="n"/>
      <c r="BJ80" s="27" t="n"/>
      <c r="BK80" s="27" t="n"/>
      <c r="BL80" s="27" t="inlineStr">
        <is>
          <t>F</t>
        </is>
      </c>
      <c r="BM80" s="27">
        <f>COUNTIF(BM9:BM71,"F")</f>
        <v/>
      </c>
      <c r="BN80" s="27" t="n"/>
      <c r="BO80" s="27" t="n"/>
      <c r="BP80" s="27" t="n"/>
      <c r="BQ80" s="27" t="n"/>
      <c r="BR80" s="27" t="n"/>
      <c r="BS80" s="27" t="n"/>
      <c r="BT80" s="27" t="n"/>
      <c r="BU80" s="27" t="inlineStr">
        <is>
          <t>F</t>
        </is>
      </c>
      <c r="BV80" s="27">
        <f>COUNTIF(BV9:BV71,"F")</f>
        <v/>
      </c>
      <c r="BW80" s="27" t="n"/>
      <c r="BX80" s="27" t="n"/>
      <c r="BY80" s="27" t="n"/>
      <c r="BZ80" s="27" t="n"/>
      <c r="CA80" s="27" t="inlineStr">
        <is>
          <t>F</t>
        </is>
      </c>
      <c r="CB80" s="28">
        <f>COUNTIF(CB9:CB71,"F")</f>
        <v/>
      </c>
      <c r="CC80" s="27" t="n"/>
      <c r="CD80" s="27" t="n"/>
      <c r="CE80" s="28" t="n"/>
      <c r="CF80" s="28" t="n"/>
      <c r="CG80" s="27" t="n"/>
      <c r="CH80" s="27" t="n"/>
      <c r="CI80" s="27" t="n"/>
    </row>
    <row r="81" ht="15.75" customHeight="1">
      <c r="C81" s="1" t="inlineStr">
        <is>
          <t>Total No. of</t>
        </is>
      </c>
      <c r="D81" s="1" t="n"/>
      <c r="E81" s="28" t="n"/>
      <c r="F81" s="28" t="n"/>
      <c r="G81" s="28" t="n"/>
      <c r="H81" s="28" t="n"/>
      <c r="I81" s="28" t="n"/>
      <c r="J81" s="27" t="inlineStr">
        <is>
          <t>AB</t>
        </is>
      </c>
      <c r="K81" s="27">
        <f>COUNTIF(K9:K71,"AB")</f>
        <v/>
      </c>
      <c r="L81" s="27" t="n"/>
      <c r="M81" s="27" t="n"/>
      <c r="N81" s="28" t="n"/>
      <c r="O81" s="28" t="n"/>
      <c r="P81" s="28" t="n"/>
      <c r="Q81" s="28" t="n"/>
      <c r="R81" s="28" t="n"/>
      <c r="S81" s="27" t="inlineStr">
        <is>
          <t>AB</t>
        </is>
      </c>
      <c r="T81" s="27">
        <f>COUNTIF(T9:T71,"AB")</f>
        <v/>
      </c>
      <c r="U81" s="27" t="n"/>
      <c r="V81" s="27" t="n"/>
      <c r="W81" s="27" t="n"/>
      <c r="X81" s="27" t="n"/>
      <c r="Y81" s="27" t="n"/>
      <c r="Z81" s="27" t="n"/>
      <c r="AA81" s="27" t="n"/>
      <c r="AB81" s="27" t="inlineStr">
        <is>
          <t>AB</t>
        </is>
      </c>
      <c r="AC81" s="27">
        <f>COUNTIF(AC9:AC71,"AB")</f>
        <v/>
      </c>
      <c r="AD81" s="27" t="n"/>
      <c r="AE81" s="27" t="n"/>
      <c r="AF81" s="27" t="n"/>
      <c r="AG81" s="27" t="n"/>
      <c r="AH81" s="27" t="n"/>
      <c r="AI81" s="27" t="n"/>
      <c r="AJ81" s="27" t="n"/>
      <c r="AK81" s="27" t="inlineStr">
        <is>
          <t>AB</t>
        </is>
      </c>
      <c r="AL81" s="27">
        <f>COUNTIF(AL9:AL71,"AB")</f>
        <v/>
      </c>
      <c r="AM81" s="27" t="n"/>
      <c r="AN81" s="27" t="n"/>
      <c r="AO81" s="27" t="n"/>
      <c r="AP81" s="27" t="n"/>
      <c r="AQ81" s="27" t="n"/>
      <c r="AR81" s="27" t="n"/>
      <c r="AS81" s="27" t="n"/>
      <c r="AT81" s="27" t="inlineStr">
        <is>
          <t>AB</t>
        </is>
      </c>
      <c r="AU81" s="27">
        <f>COUNTIF(AU9:AU71,"AB")</f>
        <v/>
      </c>
      <c r="AV81" s="27" t="n"/>
      <c r="AW81" s="27" t="n"/>
      <c r="AX81" s="27" t="n"/>
      <c r="AY81" s="27" t="n"/>
      <c r="AZ81" s="27" t="n"/>
      <c r="BA81" s="27" t="n"/>
      <c r="BB81" s="27" t="n"/>
      <c r="BC81" s="27" t="inlineStr">
        <is>
          <t>AB</t>
        </is>
      </c>
      <c r="BD81" s="27">
        <f>COUNTIF(BD9:BD71,"AB")</f>
        <v/>
      </c>
      <c r="BE81" s="27" t="n"/>
      <c r="BF81" s="27" t="n"/>
      <c r="BG81" s="27" t="n"/>
      <c r="BH81" s="27" t="n"/>
      <c r="BI81" s="27" t="n"/>
      <c r="BJ81" s="27" t="n"/>
      <c r="BK81" s="27" t="n"/>
      <c r="BL81" s="27" t="inlineStr">
        <is>
          <t>AB</t>
        </is>
      </c>
      <c r="BM81" s="27">
        <f>COUNTIF(BM9:BM71,"AB")</f>
        <v/>
      </c>
      <c r="BN81" s="27" t="n"/>
      <c r="BO81" s="27" t="n"/>
      <c r="BP81" s="27" t="n"/>
      <c r="BQ81" s="27" t="n"/>
      <c r="BR81" s="27" t="n"/>
      <c r="BS81" s="27" t="n"/>
      <c r="BT81" s="27" t="n"/>
      <c r="BU81" s="27" t="inlineStr">
        <is>
          <t>AB</t>
        </is>
      </c>
      <c r="BV81" s="27">
        <f>COUNTIF(BV9:BV71,"AB")</f>
        <v/>
      </c>
      <c r="BW81" s="27" t="n"/>
      <c r="BX81" s="27" t="n"/>
      <c r="BY81" s="27" t="n"/>
      <c r="BZ81" s="27" t="n"/>
      <c r="CA81" s="27" t="inlineStr">
        <is>
          <t>AB</t>
        </is>
      </c>
      <c r="CB81" s="28">
        <f>COUNTIF(CB9:CB71,"AB")</f>
        <v/>
      </c>
      <c r="CC81" s="27" t="n"/>
      <c r="CD81" s="27" t="n"/>
      <c r="CE81" s="28" t="n"/>
      <c r="CF81" s="28" t="n"/>
      <c r="CG81" s="27" t="n"/>
      <c r="CH81" s="27" t="n"/>
      <c r="CI81" s="27" t="n"/>
    </row>
    <row r="82" ht="15.75" customHeight="1">
      <c r="D82" s="1" t="n"/>
      <c r="E82" s="28" t="n"/>
      <c r="F82" s="28" t="n"/>
      <c r="G82" s="28" t="n"/>
      <c r="H82" s="28" t="n"/>
      <c r="I82" s="28" t="n"/>
      <c r="J82" s="27" t="n"/>
      <c r="K82" s="27" t="n"/>
      <c r="L82" s="27" t="n"/>
      <c r="M82" s="27" t="n"/>
      <c r="N82" s="28" t="n"/>
      <c r="O82" s="28" t="n"/>
      <c r="P82" s="28" t="n"/>
      <c r="Q82" s="28" t="n"/>
      <c r="R82" s="28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7" t="n"/>
      <c r="AK82" s="27" t="n"/>
      <c r="AL82" s="27" t="n"/>
      <c r="AM82" s="27" t="n"/>
      <c r="AN82" s="27" t="n"/>
      <c r="AO82" s="27" t="n"/>
      <c r="AP82" s="27" t="n"/>
      <c r="AQ82" s="27" t="n"/>
      <c r="AR82" s="27" t="n"/>
      <c r="AS82" s="27" t="n"/>
      <c r="AT82" s="27" t="n"/>
      <c r="AU82" s="27" t="n"/>
      <c r="AV82" s="27" t="n"/>
      <c r="AW82" s="27" t="n"/>
      <c r="AX82" s="27" t="n"/>
      <c r="AY82" s="27" t="n"/>
      <c r="AZ82" s="27" t="n"/>
      <c r="BA82" s="27" t="n"/>
      <c r="BB82" s="27" t="n"/>
      <c r="BC82" s="27" t="n"/>
      <c r="BD82" s="27" t="n"/>
      <c r="BE82" s="27" t="n"/>
      <c r="BF82" s="27" t="n"/>
      <c r="BG82" s="27" t="n"/>
      <c r="BH82" s="27" t="n"/>
      <c r="BI82" s="27" t="n"/>
      <c r="BJ82" s="27" t="n"/>
      <c r="BK82" s="27" t="n"/>
      <c r="BL82" s="27" t="n"/>
      <c r="BM82" s="27" t="n"/>
      <c r="BN82" s="27" t="n"/>
      <c r="BO82" s="27" t="n"/>
      <c r="BP82" s="27" t="n"/>
      <c r="BQ82" s="27" t="n"/>
      <c r="BR82" s="27" t="n"/>
      <c r="BS82" s="27" t="n"/>
      <c r="BT82" s="27" t="n"/>
      <c r="BU82" s="27" t="n"/>
      <c r="BV82" s="27" t="n"/>
      <c r="BW82" s="27" t="n"/>
      <c r="BX82" s="27" t="n"/>
      <c r="BY82" s="27" t="n"/>
      <c r="BZ82" s="27" t="n"/>
      <c r="CA82" s="27" t="n"/>
      <c r="CB82" s="28" t="n"/>
      <c r="CC82" s="27" t="n"/>
      <c r="CD82" s="27" t="n"/>
      <c r="CE82" s="28" t="n"/>
      <c r="CF82" s="28" t="n"/>
      <c r="CG82" s="27" t="n"/>
      <c r="CH82" s="27" t="n"/>
      <c r="CI82" s="27" t="n"/>
    </row>
    <row r="83" ht="15.75" customHeight="1">
      <c r="C83" s="1" t="inlineStr">
        <is>
          <t>Total No. of Students Appeared</t>
        </is>
      </c>
      <c r="D83" s="1" t="n"/>
      <c r="E83" s="28" t="n"/>
      <c r="F83" s="28" t="n"/>
      <c r="G83" s="28" t="n"/>
      <c r="H83" s="28" t="n"/>
      <c r="I83" s="28" t="n"/>
      <c r="J83" s="28" t="n"/>
      <c r="K83" s="27" t="n">
        <v>63</v>
      </c>
      <c r="L83" s="27" t="n"/>
      <c r="M83" s="27" t="n"/>
      <c r="N83" s="28" t="n"/>
      <c r="O83" s="28" t="n"/>
      <c r="P83" s="28" t="n"/>
      <c r="Q83" s="28" t="n"/>
      <c r="R83" s="28" t="n"/>
      <c r="S83" s="28" t="n"/>
      <c r="T83" s="27" t="n">
        <v>63</v>
      </c>
      <c r="U83" s="27" t="n"/>
      <c r="V83" s="27" t="n"/>
      <c r="W83" s="27" t="n"/>
      <c r="X83" s="27" t="n"/>
      <c r="Y83" s="27" t="n"/>
      <c r="Z83" s="27" t="n"/>
      <c r="AA83" s="27" t="n"/>
      <c r="AB83" s="28" t="n"/>
      <c r="AC83" s="27" t="n">
        <v>63</v>
      </c>
      <c r="AD83" s="27" t="n"/>
      <c r="AE83" s="27" t="n"/>
      <c r="AF83" s="27" t="n"/>
      <c r="AG83" s="27" t="n"/>
      <c r="AH83" s="27" t="n"/>
      <c r="AI83" s="27" t="n"/>
      <c r="AJ83" s="27" t="n"/>
      <c r="AK83" s="28" t="n"/>
      <c r="AL83" s="27" t="n">
        <v>63</v>
      </c>
      <c r="AM83" s="27" t="n"/>
      <c r="AN83" s="27" t="n"/>
      <c r="AO83" s="27" t="n"/>
      <c r="AP83" s="27" t="n"/>
      <c r="AQ83" s="27" t="n"/>
      <c r="AR83" s="27" t="n"/>
      <c r="AS83" s="27" t="n"/>
      <c r="AT83" s="28" t="n"/>
      <c r="AU83" s="27" t="n">
        <v>63</v>
      </c>
      <c r="AV83" s="27" t="n"/>
      <c r="AW83" s="27" t="n"/>
      <c r="AX83" s="27" t="n"/>
      <c r="AY83" s="27" t="n"/>
      <c r="AZ83" s="27" t="n"/>
      <c r="BA83" s="27" t="n"/>
      <c r="BB83" s="27" t="n"/>
      <c r="BC83" s="28" t="n"/>
      <c r="BD83" s="27" t="n">
        <v>63</v>
      </c>
      <c r="BE83" s="27" t="n"/>
      <c r="BF83" s="27" t="n"/>
      <c r="BG83" s="27" t="n"/>
      <c r="BH83" s="27" t="n"/>
      <c r="BI83" s="27" t="n"/>
      <c r="BJ83" s="27" t="n"/>
      <c r="BK83" s="27" t="n"/>
      <c r="BL83" s="28" t="n"/>
      <c r="BM83" s="27" t="n">
        <v>63</v>
      </c>
      <c r="BN83" s="27" t="n"/>
      <c r="BO83" s="27" t="n"/>
      <c r="BP83" s="27" t="n"/>
      <c r="BQ83" s="27" t="n"/>
      <c r="BR83" s="27" t="n"/>
      <c r="BS83" s="27" t="n"/>
      <c r="BT83" s="27" t="n"/>
      <c r="BU83" s="28" t="n"/>
      <c r="BV83" s="27" t="n">
        <v>63</v>
      </c>
      <c r="BW83" s="27" t="n"/>
      <c r="BX83" s="27" t="n"/>
      <c r="BY83" s="27" t="n"/>
      <c r="BZ83" s="27" t="n"/>
      <c r="CA83" s="27" t="n"/>
      <c r="CB83" s="28" t="n">
        <v>63</v>
      </c>
      <c r="CC83" s="27" t="n"/>
      <c r="CD83" s="27" t="n"/>
      <c r="CE83" s="28" t="n"/>
      <c r="CF83" s="28" t="n"/>
      <c r="CG83" s="27" t="n"/>
      <c r="CH83" s="27" t="n"/>
      <c r="CI83" s="27" t="n"/>
    </row>
    <row r="84" ht="15.75" customHeight="1">
      <c r="C84" s="1" t="inlineStr">
        <is>
          <t>Total No. of Students Passed</t>
        </is>
      </c>
      <c r="D84" s="1" t="n"/>
      <c r="E84" s="28" t="n"/>
      <c r="F84" s="28" t="n"/>
      <c r="G84" s="28" t="n"/>
      <c r="H84" s="28" t="n"/>
      <c r="I84" s="28" t="n"/>
      <c r="J84" s="28" t="n"/>
      <c r="K84" s="27">
        <f>K83-K80</f>
        <v/>
      </c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>
        <f>T83-T80</f>
        <v/>
      </c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>
        <f>AC83-AC80</f>
        <v/>
      </c>
      <c r="AD84" s="27" t="n"/>
      <c r="AE84" s="27" t="n"/>
      <c r="AF84" s="27" t="n"/>
      <c r="AG84" s="27" t="n"/>
      <c r="AH84" s="27" t="n"/>
      <c r="AI84" s="27" t="n"/>
      <c r="AJ84" s="27" t="n"/>
      <c r="AK84" s="27" t="n"/>
      <c r="AL84" s="27">
        <f>AL83-AL80</f>
        <v/>
      </c>
      <c r="AM84" s="27" t="n"/>
      <c r="AN84" s="27" t="n"/>
      <c r="AO84" s="27" t="n"/>
      <c r="AP84" s="27" t="n"/>
      <c r="AQ84" s="27" t="n"/>
      <c r="AR84" s="27" t="n"/>
      <c r="AS84" s="27" t="n"/>
      <c r="AT84" s="27" t="n"/>
      <c r="AU84" s="27">
        <f>AU83-AU80</f>
        <v/>
      </c>
      <c r="AV84" s="27" t="n"/>
      <c r="AW84" s="27" t="n"/>
      <c r="AX84" s="27" t="n"/>
      <c r="AY84" s="27" t="n"/>
      <c r="AZ84" s="27" t="n"/>
      <c r="BA84" s="27" t="n"/>
      <c r="BB84" s="27" t="n"/>
      <c r="BC84" s="27" t="n"/>
      <c r="BD84" s="27">
        <f>BD83-BD80</f>
        <v/>
      </c>
      <c r="BE84" s="27" t="n"/>
      <c r="BF84" s="27" t="n"/>
      <c r="BG84" s="27" t="n"/>
      <c r="BH84" s="27" t="n"/>
      <c r="BI84" s="27" t="n"/>
      <c r="BJ84" s="27" t="n"/>
      <c r="BK84" s="27" t="n"/>
      <c r="BL84" s="27" t="n"/>
      <c r="BM84" s="27">
        <f>BM83-BM80</f>
        <v/>
      </c>
      <c r="BN84" s="27" t="n"/>
      <c r="BO84" s="27" t="n"/>
      <c r="BP84" s="27" t="n"/>
      <c r="BQ84" s="27" t="n"/>
      <c r="BR84" s="27" t="n"/>
      <c r="BS84" s="27" t="n"/>
      <c r="BT84" s="27" t="n"/>
      <c r="BU84" s="27" t="n"/>
      <c r="BV84" s="27">
        <f>BV83-BV80</f>
        <v/>
      </c>
      <c r="BW84" s="27" t="n"/>
      <c r="BX84" s="27" t="n"/>
      <c r="BY84" s="27" t="n"/>
      <c r="BZ84" s="27" t="n"/>
      <c r="CA84" s="27" t="n"/>
      <c r="CB84" s="28">
        <f>CB83-CB80</f>
        <v/>
      </c>
      <c r="CC84" s="27" t="n"/>
      <c r="CD84" s="27" t="n"/>
      <c r="CE84" s="28" t="n"/>
      <c r="CF84" s="28" t="n"/>
      <c r="CG84" s="27" t="n"/>
      <c r="CH84" s="27" t="n"/>
      <c r="CI84" s="27" t="n"/>
    </row>
    <row r="85" ht="15.75" customHeight="1">
      <c r="D85" s="1" t="n"/>
      <c r="E85" s="28" t="n"/>
      <c r="F85" s="28" t="n"/>
      <c r="G85" s="28" t="n"/>
      <c r="H85" s="28" t="n"/>
      <c r="I85" s="28" t="n"/>
      <c r="J85" s="28" t="n"/>
      <c r="K85" s="27" t="n"/>
      <c r="L85" s="27" t="n"/>
      <c r="M85" s="27" t="n"/>
      <c r="N85" s="28" t="n"/>
      <c r="O85" s="28" t="n"/>
      <c r="P85" s="28" t="n"/>
      <c r="Q85" s="28" t="n"/>
      <c r="R85" s="28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7" t="n"/>
      <c r="AK85" s="27" t="n"/>
      <c r="AL85" s="27" t="n"/>
      <c r="AM85" s="27" t="n"/>
      <c r="AN85" s="27" t="n"/>
      <c r="AO85" s="27" t="n"/>
      <c r="AP85" s="27" t="n"/>
      <c r="AQ85" s="27" t="n"/>
      <c r="AR85" s="27" t="n"/>
      <c r="AS85" s="27" t="n"/>
      <c r="AT85" s="27" t="n"/>
      <c r="AU85" s="27" t="n"/>
      <c r="AV85" s="27" t="n"/>
      <c r="AW85" s="27" t="n"/>
      <c r="AX85" s="27" t="n"/>
      <c r="AY85" s="27" t="n"/>
      <c r="AZ85" s="27" t="n"/>
      <c r="BA85" s="27" t="n"/>
      <c r="BB85" s="27" t="n"/>
      <c r="BC85" s="27" t="n"/>
      <c r="BD85" s="27" t="n"/>
      <c r="BE85" s="27" t="n"/>
      <c r="BF85" s="27" t="n"/>
      <c r="BG85" s="27" t="n"/>
      <c r="BH85" s="27" t="n"/>
      <c r="BI85" s="27" t="n"/>
      <c r="BJ85" s="27" t="n"/>
      <c r="BK85" s="27" t="n"/>
      <c r="BL85" s="27" t="n"/>
      <c r="BM85" s="27" t="n"/>
      <c r="BN85" s="27" t="n"/>
      <c r="BO85" s="27" t="n"/>
      <c r="BP85" s="27" t="n"/>
      <c r="BQ85" s="27" t="n"/>
      <c r="BR85" s="27" t="n"/>
      <c r="BS85" s="27" t="n"/>
      <c r="BT85" s="27" t="n"/>
      <c r="BU85" s="27" t="n"/>
      <c r="BV85" s="27" t="n"/>
      <c r="BW85" s="27" t="n"/>
      <c r="BX85" s="27" t="n"/>
      <c r="BY85" s="27" t="n"/>
      <c r="BZ85" s="27" t="n"/>
      <c r="CA85" s="27" t="n"/>
      <c r="CB85" s="28" t="n"/>
      <c r="CC85" s="27" t="n"/>
      <c r="CD85" s="27" t="n"/>
      <c r="CE85" s="28" t="n"/>
      <c r="CF85" s="28" t="n"/>
      <c r="CG85" s="27" t="n"/>
      <c r="CH85" s="27" t="n"/>
      <c r="CI85" s="27" t="n"/>
    </row>
    <row r="86" ht="15.75" customHeight="1">
      <c r="D86" s="1" t="n"/>
      <c r="E86" s="28" t="n"/>
      <c r="F86" s="28" t="n"/>
      <c r="G86" s="28" t="n"/>
      <c r="H86" s="28" t="n"/>
      <c r="I86" s="28" t="n"/>
      <c r="J86" s="28" t="n"/>
      <c r="K86" s="27" t="n"/>
      <c r="L86" s="27" t="n"/>
      <c r="M86" s="27" t="n"/>
      <c r="N86" s="28" t="n"/>
      <c r="O86" s="28" t="n"/>
      <c r="P86" s="28" t="n"/>
      <c r="Q86" s="28" t="n"/>
      <c r="R86" s="28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7" t="n"/>
      <c r="AK86" s="27" t="n"/>
      <c r="AL86" s="27" t="n"/>
      <c r="AM86" s="21" t="n"/>
      <c r="AN86" s="27" t="n"/>
      <c r="AO86" s="27" t="n"/>
      <c r="AP86" s="27" t="n"/>
      <c r="AQ86" s="27" t="n"/>
      <c r="AR86" s="27" t="n"/>
      <c r="AS86" s="27" t="n"/>
      <c r="AT86" s="27" t="n"/>
      <c r="AU86" s="27" t="n"/>
      <c r="AV86" s="27" t="n"/>
      <c r="AW86" s="27" t="n"/>
      <c r="AX86" s="27" t="n"/>
      <c r="AY86" s="27" t="n"/>
      <c r="AZ86" s="27" t="n"/>
      <c r="BA86" s="27" t="n"/>
      <c r="BB86" s="27" t="n"/>
      <c r="BC86" s="27" t="n"/>
      <c r="BD86" s="27" t="n"/>
      <c r="BE86" s="27" t="n"/>
      <c r="BF86" s="27" t="n"/>
      <c r="BG86" s="27" t="n"/>
      <c r="BH86" s="27" t="n"/>
      <c r="BI86" s="27" t="n"/>
      <c r="BJ86" s="27" t="n"/>
      <c r="BK86" s="27" t="n"/>
      <c r="BL86" s="27" t="n"/>
      <c r="BM86" s="27" t="n"/>
      <c r="BN86" s="27" t="n"/>
      <c r="BO86" s="27" t="n"/>
      <c r="BP86" s="27" t="n"/>
      <c r="BQ86" s="27" t="n"/>
      <c r="BR86" s="27" t="n"/>
      <c r="BS86" s="27" t="n"/>
      <c r="BT86" s="27" t="n"/>
      <c r="BU86" s="27" t="n"/>
      <c r="BV86" s="27" t="n"/>
      <c r="BW86" s="27" t="n"/>
      <c r="BX86" s="27" t="n"/>
      <c r="BY86" s="27" t="n"/>
      <c r="BZ86" s="27" t="n"/>
      <c r="CA86" s="27" t="n"/>
      <c r="CB86" s="28" t="n"/>
      <c r="CC86" s="27" t="n"/>
      <c r="CD86" s="27" t="n"/>
      <c r="CE86" s="28" t="n"/>
      <c r="CF86" s="28" t="n"/>
      <c r="CG86" s="27" t="n"/>
      <c r="CH86" s="27" t="n"/>
      <c r="CI86" s="27" t="n"/>
    </row>
    <row r="87" ht="15.75" customHeight="1">
      <c r="D87" s="1" t="n"/>
      <c r="E87" s="28" t="n"/>
      <c r="F87" s="28" t="n"/>
      <c r="G87" s="28" t="n"/>
      <c r="H87" s="28" t="n"/>
      <c r="I87" s="28" t="n"/>
      <c r="J87" s="28" t="n"/>
      <c r="K87" s="27" t="n"/>
      <c r="L87" s="27" t="n"/>
      <c r="M87" s="27" t="n"/>
      <c r="N87" s="28" t="n"/>
      <c r="O87" s="28" t="n"/>
      <c r="P87" s="28" t="n"/>
      <c r="Q87" s="28" t="n"/>
      <c r="R87" s="28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7" t="n"/>
      <c r="AK87" s="27" t="n"/>
      <c r="AL87" s="27" t="n"/>
      <c r="AM87" s="21" t="n"/>
      <c r="AN87" s="27" t="n"/>
      <c r="AO87" s="27" t="n"/>
      <c r="AP87" s="27" t="n"/>
      <c r="AQ87" s="27" t="n"/>
      <c r="AR87" s="27" t="n"/>
      <c r="AS87" s="27" t="n"/>
      <c r="AT87" s="27" t="n"/>
      <c r="AU87" s="27" t="n"/>
      <c r="AV87" s="27" t="n"/>
      <c r="AW87" s="27" t="n"/>
      <c r="AX87" s="27" t="n"/>
      <c r="AY87" s="27" t="n"/>
      <c r="AZ87" s="27" t="n"/>
      <c r="BA87" s="27" t="n"/>
      <c r="BB87" s="27" t="n"/>
      <c r="BC87" s="27" t="n"/>
      <c r="BD87" s="27" t="n"/>
      <c r="BE87" s="27" t="n"/>
      <c r="BF87" s="27" t="n"/>
      <c r="BG87" s="27" t="n"/>
      <c r="BH87" s="27" t="n"/>
      <c r="BI87" s="27" t="n"/>
      <c r="BJ87" s="27" t="n"/>
      <c r="BK87" s="27" t="n"/>
      <c r="BL87" s="27" t="n"/>
      <c r="BM87" s="27" t="n"/>
      <c r="BN87" s="27" t="n"/>
      <c r="BO87" s="27" t="n"/>
      <c r="BP87" s="27" t="n"/>
      <c r="BQ87" s="27" t="n"/>
      <c r="BR87" s="27" t="n"/>
      <c r="BS87" s="27" t="n"/>
      <c r="BT87" s="27" t="n"/>
      <c r="BU87" s="27" t="n"/>
      <c r="BV87" s="27" t="n"/>
      <c r="BW87" s="27" t="n"/>
      <c r="BX87" s="27" t="n"/>
      <c r="BY87" s="27" t="n"/>
      <c r="BZ87" s="27" t="n"/>
      <c r="CA87" s="27" t="n"/>
      <c r="CB87" s="28" t="n"/>
      <c r="CC87" s="27" t="n"/>
      <c r="CD87" s="27" t="n"/>
      <c r="CE87" s="28" t="n"/>
      <c r="CF87" s="28" t="n"/>
      <c r="CG87" s="27" t="n"/>
      <c r="CH87" s="27" t="n"/>
      <c r="CI87" s="27" t="n"/>
    </row>
    <row r="88" ht="15.75" customHeight="1">
      <c r="D88" s="1" t="n"/>
      <c r="AM88" s="21" t="n"/>
    </row>
    <row r="89" ht="15.75" customHeight="1">
      <c r="D89" s="1" t="n"/>
      <c r="AM89" s="21" t="n"/>
    </row>
    <row r="90" ht="15.75" customHeight="1">
      <c r="D90" s="1" t="n"/>
      <c r="AM90" s="21" t="n"/>
    </row>
    <row r="91" ht="15.75" customHeight="1">
      <c r="D91" s="1" t="n"/>
      <c r="AM91" s="21" t="n"/>
    </row>
    <row r="92">
      <c r="D92" s="1" t="n"/>
    </row>
    <row r="93">
      <c r="D93" s="1" t="n"/>
      <c r="E93" s="1" t="n"/>
      <c r="F93" s="1" t="n"/>
      <c r="G93" s="1" t="n"/>
      <c r="H93" s="1" t="n"/>
      <c r="I93" s="1" t="n"/>
      <c r="J93" s="1" t="n"/>
      <c r="N93" s="1" t="n"/>
      <c r="O93" s="1" t="n"/>
      <c r="P93" s="1" t="n"/>
      <c r="Q93" s="1" t="n"/>
      <c r="R93" s="1" t="n"/>
    </row>
    <row r="94">
      <c r="D94" s="1" t="n"/>
      <c r="E94" s="1" t="n"/>
      <c r="F94" s="1" t="n"/>
      <c r="G94" s="1" t="n"/>
      <c r="H94" s="1" t="n"/>
      <c r="I94" s="1" t="n"/>
      <c r="J94" s="1" t="n"/>
      <c r="N94" s="1" t="n"/>
      <c r="O94" s="1" t="n"/>
      <c r="P94" s="1" t="n"/>
      <c r="Q94" s="1" t="n"/>
      <c r="R94" s="1" t="n"/>
    </row>
    <row r="95">
      <c r="D95" s="1" t="n"/>
      <c r="E95" s="1" t="n"/>
      <c r="F95" s="1" t="n"/>
      <c r="G95" s="1" t="n"/>
      <c r="H95" s="1" t="n"/>
      <c r="I95" s="1" t="n"/>
      <c r="J95" s="1" t="n"/>
      <c r="N95" s="1" t="n"/>
      <c r="O95" s="1" t="n"/>
      <c r="P95" s="1" t="n"/>
      <c r="Q95" s="1" t="n"/>
      <c r="R95" s="1" t="n"/>
    </row>
    <row r="96">
      <c r="D96" s="1" t="n"/>
      <c r="E96" s="1" t="n"/>
      <c r="F96" s="1" t="n"/>
      <c r="G96" s="1" t="n"/>
      <c r="H96" s="1" t="n"/>
      <c r="I96" s="1" t="n"/>
      <c r="J96" s="1" t="n"/>
      <c r="N96" s="1" t="n"/>
      <c r="O96" s="1" t="n"/>
      <c r="P96" s="1" t="n"/>
      <c r="Q96" s="1" t="n"/>
      <c r="R96" s="1" t="n"/>
    </row>
    <row r="97">
      <c r="D97" s="1" t="n"/>
      <c r="E97" s="1" t="n"/>
      <c r="F97" s="1" t="n"/>
      <c r="G97" s="1" t="n"/>
      <c r="H97" s="1" t="n"/>
      <c r="I97" s="1" t="n"/>
      <c r="J97" s="1" t="n"/>
      <c r="N97" s="1" t="n"/>
      <c r="O97" s="1" t="n"/>
      <c r="P97" s="1" t="n"/>
      <c r="Q97" s="1" t="n"/>
      <c r="R97" s="1" t="n"/>
    </row>
    <row r="98">
      <c r="D98" s="1" t="n"/>
      <c r="E98" s="1" t="n"/>
      <c r="F98" s="1" t="n"/>
      <c r="G98" s="1" t="n"/>
      <c r="H98" s="1" t="n"/>
      <c r="I98" s="1" t="n"/>
      <c r="J98" s="1" t="n"/>
      <c r="N98" s="1" t="n"/>
      <c r="O98" s="1" t="n"/>
      <c r="P98" s="1" t="n"/>
      <c r="Q98" s="1" t="n"/>
      <c r="R98" s="1" t="n"/>
      <c r="CB98" s="1" t="n"/>
      <c r="CE98" s="1" t="n"/>
      <c r="CF98" s="1" t="n"/>
    </row>
    <row r="99">
      <c r="D99" s="1" t="n"/>
      <c r="E99" s="1" t="n"/>
      <c r="F99" s="1" t="n"/>
      <c r="G99" s="1" t="n"/>
      <c r="H99" s="1" t="n"/>
      <c r="I99" s="1" t="n"/>
      <c r="J99" s="1" t="n"/>
      <c r="N99" s="1" t="n"/>
      <c r="O99" s="1" t="n"/>
      <c r="P99" s="1" t="n"/>
      <c r="Q99" s="1" t="n"/>
      <c r="R99" s="1" t="n"/>
      <c r="CB99" s="1" t="n"/>
      <c r="CE99" s="1" t="n"/>
      <c r="CF99" s="1" t="n"/>
    </row>
    <row r="100">
      <c r="D100" s="1" t="n"/>
      <c r="E100" s="1" t="n"/>
      <c r="F100" s="1" t="n"/>
      <c r="G100" s="1" t="n"/>
      <c r="H100" s="1" t="n"/>
      <c r="I100" s="1" t="n"/>
      <c r="J100" s="1" t="n"/>
      <c r="N100" s="1" t="n"/>
      <c r="O100" s="1" t="n"/>
      <c r="P100" s="1" t="n"/>
      <c r="Q100" s="1" t="n"/>
      <c r="R100" s="1" t="n"/>
      <c r="CB100" s="1" t="n"/>
      <c r="CE100" s="1" t="n"/>
      <c r="CF100" s="1" t="n"/>
    </row>
    <row r="101">
      <c r="D101" s="1" t="n"/>
      <c r="E101" s="1" t="n"/>
      <c r="F101" s="1" t="n"/>
      <c r="G101" s="1" t="n"/>
      <c r="H101" s="1" t="n"/>
      <c r="I101" s="1" t="n"/>
      <c r="J101" s="1" t="n"/>
      <c r="N101" s="1" t="n"/>
      <c r="O101" s="1" t="n"/>
      <c r="P101" s="1" t="n"/>
      <c r="Q101" s="1" t="n"/>
      <c r="R101" s="1" t="n"/>
      <c r="CB101" s="1" t="n"/>
      <c r="CE101" s="1" t="n"/>
      <c r="CF101" s="1" t="n"/>
    </row>
    <row r="102">
      <c r="D102" s="22" t="n"/>
      <c r="E102" s="1" t="n"/>
      <c r="F102" s="1" t="n"/>
      <c r="G102" s="1" t="n"/>
      <c r="H102" s="1" t="n"/>
      <c r="I102" s="1" t="n"/>
      <c r="J102" s="1" t="n"/>
      <c r="N102" s="1" t="n"/>
      <c r="O102" s="1" t="n"/>
      <c r="P102" s="1" t="n"/>
      <c r="Q102" s="1" t="n"/>
      <c r="R102" s="1" t="n"/>
      <c r="CB102" s="1" t="n"/>
      <c r="CE102" s="1" t="n"/>
      <c r="CF102" s="1" t="n"/>
    </row>
    <row r="103">
      <c r="E103" s="1" t="n"/>
      <c r="F103" s="1" t="n"/>
      <c r="G103" s="1" t="n"/>
      <c r="H103" s="1" t="n"/>
      <c r="I103" s="1" t="n"/>
      <c r="J103" s="1" t="n"/>
      <c r="N103" s="1" t="n"/>
      <c r="O103" s="1" t="n"/>
      <c r="P103" s="1" t="n"/>
      <c r="Q103" s="1" t="n"/>
      <c r="R103" s="1" t="n"/>
      <c r="CB103" s="1" t="n"/>
      <c r="CE103" s="1" t="n"/>
      <c r="CF103" s="1" t="n"/>
    </row>
    <row r="104">
      <c r="E104" s="1" t="n"/>
      <c r="F104" s="1" t="n"/>
      <c r="G104" s="1" t="n"/>
      <c r="H104" s="1" t="n"/>
      <c r="I104" s="1" t="n"/>
      <c r="J104" s="1" t="n"/>
      <c r="N104" s="1" t="n"/>
      <c r="O104" s="1" t="n"/>
      <c r="P104" s="1" t="n"/>
      <c r="Q104" s="1" t="n"/>
      <c r="R104" s="1" t="n"/>
      <c r="CB104" s="1" t="n"/>
      <c r="CE104" s="1" t="n"/>
      <c r="CF104" s="1" t="n"/>
    </row>
    <row r="105">
      <c r="E105" s="1" t="n"/>
      <c r="F105" s="1" t="n"/>
      <c r="G105" s="1" t="n"/>
      <c r="H105" s="1" t="n"/>
      <c r="I105" s="1" t="n"/>
      <c r="J105" s="1" t="n"/>
      <c r="N105" s="1" t="n"/>
      <c r="O105" s="1" t="n"/>
      <c r="P105" s="1" t="n"/>
      <c r="Q105" s="1" t="n"/>
      <c r="R105" s="1" t="n"/>
      <c r="CB105" s="1" t="n"/>
      <c r="CE105" s="1" t="n"/>
      <c r="CF105" s="1" t="n"/>
    </row>
    <row r="106">
      <c r="E106" s="1" t="n"/>
      <c r="F106" s="1" t="n"/>
      <c r="G106" s="1" t="n"/>
      <c r="H106" s="1" t="n"/>
      <c r="I106" s="1" t="n"/>
      <c r="J106" s="1" t="n"/>
      <c r="N106" s="1" t="n"/>
      <c r="O106" s="1" t="n"/>
      <c r="P106" s="1" t="n"/>
      <c r="Q106" s="1" t="n"/>
      <c r="R106" s="1" t="n"/>
      <c r="CB106" s="1" t="n"/>
      <c r="CE106" s="1" t="n"/>
      <c r="CF106" s="1" t="n"/>
    </row>
    <row r="107">
      <c r="E107" s="1" t="n"/>
      <c r="F107" s="1" t="n"/>
      <c r="G107" s="1" t="n"/>
      <c r="H107" s="1" t="n"/>
      <c r="I107" s="1" t="n"/>
      <c r="J107" s="1" t="n"/>
      <c r="N107" s="1" t="n"/>
      <c r="O107" s="1" t="n"/>
      <c r="P107" s="1" t="n"/>
      <c r="Q107" s="1" t="n"/>
      <c r="R107" s="1" t="n"/>
      <c r="CB107" s="1" t="n"/>
      <c r="CE107" s="1" t="n"/>
      <c r="CF107" s="1" t="n"/>
    </row>
    <row r="108">
      <c r="E108" s="1" t="n"/>
      <c r="F108" s="1" t="n"/>
      <c r="G108" s="1" t="n"/>
      <c r="H108" s="1" t="n"/>
      <c r="I108" s="1" t="n"/>
      <c r="J108" s="1" t="n"/>
      <c r="N108" s="1" t="n"/>
      <c r="O108" s="1" t="n"/>
      <c r="P108" s="1" t="n"/>
      <c r="Q108" s="1" t="n"/>
      <c r="R108" s="1" t="n"/>
      <c r="CB108" s="1" t="n"/>
      <c r="CE108" s="1" t="n"/>
      <c r="CF108" s="1" t="n"/>
    </row>
    <row r="109">
      <c r="D109" s="1" t="n"/>
      <c r="E109" s="1" t="n"/>
      <c r="F109" s="1" t="n"/>
      <c r="G109" s="1" t="n"/>
      <c r="H109" s="1" t="n"/>
      <c r="I109" s="1" t="n"/>
      <c r="J109" s="1" t="n"/>
      <c r="N109" s="1" t="n"/>
      <c r="O109" s="1" t="n"/>
      <c r="P109" s="1" t="n"/>
      <c r="Q109" s="1" t="n"/>
      <c r="R109" s="1" t="n"/>
      <c r="CB109" s="1" t="n"/>
      <c r="CE109" s="1" t="n"/>
      <c r="CF109" s="1" t="n"/>
    </row>
    <row r="110">
      <c r="D110" s="1" t="n"/>
      <c r="E110" s="1" t="n"/>
      <c r="F110" s="1" t="n"/>
      <c r="G110" s="1" t="n"/>
      <c r="H110" s="1" t="n"/>
      <c r="I110" s="1" t="n"/>
      <c r="J110" s="1" t="n"/>
      <c r="N110" s="1" t="n"/>
      <c r="O110" s="1" t="n"/>
      <c r="P110" s="1" t="n"/>
      <c r="Q110" s="1" t="n"/>
      <c r="R110" s="1" t="n"/>
      <c r="CB110" s="1" t="n"/>
      <c r="CE110" s="1" t="n"/>
      <c r="CF110" s="1" t="n"/>
    </row>
    <row r="111">
      <c r="D111" s="1" t="n"/>
      <c r="E111" s="1" t="n"/>
      <c r="F111" s="1" t="n"/>
      <c r="G111" s="1" t="n"/>
      <c r="H111" s="1" t="n"/>
      <c r="I111" s="1" t="n"/>
      <c r="J111" s="1" t="n"/>
      <c r="N111" s="1" t="n"/>
      <c r="O111" s="1" t="n"/>
      <c r="P111" s="1" t="n"/>
      <c r="Q111" s="1" t="n"/>
      <c r="R111" s="1" t="n"/>
      <c r="CB111" s="1" t="n"/>
      <c r="CE111" s="1" t="n"/>
      <c r="CF111" s="1" t="n"/>
    </row>
    <row r="112">
      <c r="D112" s="1" t="n"/>
      <c r="E112" s="1" t="n"/>
      <c r="F112" s="1" t="n"/>
      <c r="G112" s="1" t="n"/>
      <c r="H112" s="1" t="n"/>
      <c r="I112" s="1" t="n"/>
      <c r="J112" s="1" t="n"/>
      <c r="N112" s="1" t="n"/>
      <c r="O112" s="1" t="n"/>
      <c r="P112" s="1" t="n"/>
      <c r="Q112" s="1" t="n"/>
      <c r="R112" s="1" t="n"/>
      <c r="CB112" s="1" t="n"/>
      <c r="CE112" s="1" t="n"/>
      <c r="CF112" s="1" t="n"/>
    </row>
    <row r="113" customFormat="1" s="1"/>
    <row r="114" customFormat="1" s="1"/>
    <row r="115" customFormat="1" s="1"/>
    <row r="116" customFormat="1" s="1"/>
    <row r="117" customFormat="1" s="1"/>
    <row r="118" customFormat="1" s="1"/>
    <row r="119" customFormat="1" s="1"/>
    <row r="120" customFormat="1" s="1"/>
    <row r="121" customFormat="1" s="1"/>
    <row r="122" customFormat="1" s="1"/>
    <row r="123" customFormat="1" s="1"/>
    <row r="124" customFormat="1" s="1"/>
    <row r="125" customFormat="1" s="1"/>
    <row r="126" customFormat="1" s="1"/>
    <row r="127" customFormat="1" s="1"/>
    <row r="128" customFormat="1" s="1"/>
    <row r="129" customFormat="1" s="1"/>
    <row r="130" customFormat="1" s="1"/>
    <row r="131" customFormat="1" s="1"/>
    <row r="132" customFormat="1" s="1"/>
    <row r="133" customFormat="1" s="1"/>
    <row r="134" customFormat="1" s="1"/>
    <row r="135" customFormat="1" s="1"/>
    <row r="136" customFormat="1" s="1"/>
    <row r="137" customFormat="1" s="1"/>
    <row r="138" customFormat="1" s="1"/>
    <row r="139" customFormat="1" s="1"/>
    <row r="140" customFormat="1" s="1"/>
    <row r="141" customFormat="1" s="1"/>
    <row r="142" customFormat="1" s="1"/>
    <row r="143" customFormat="1" s="1"/>
    <row r="144" customFormat="1" s="1"/>
    <row r="145" customFormat="1" s="1"/>
    <row r="146" customFormat="1" s="1"/>
    <row r="147" customFormat="1" s="1"/>
    <row r="148" customFormat="1" s="1"/>
    <row r="149" customFormat="1" s="1"/>
    <row r="150" customFormat="1" s="1"/>
    <row r="151" customFormat="1" s="1"/>
    <row r="152" customFormat="1" s="1"/>
    <row r="153" customFormat="1" s="1"/>
    <row r="154" customFormat="1" s="1"/>
    <row r="155" customFormat="1" s="1"/>
    <row r="156" customFormat="1" s="1"/>
    <row r="157" customFormat="1" s="1"/>
    <row r="158" customFormat="1" s="1"/>
    <row r="159" customFormat="1" s="1"/>
    <row r="160" customFormat="1" s="1"/>
    <row r="161" customFormat="1" s="1"/>
    <row r="162" customFormat="1" s="1"/>
    <row r="163" customFormat="1" s="1"/>
    <row r="164" customFormat="1" s="1"/>
    <row r="165" customFormat="1" s="1"/>
    <row r="166" customFormat="1" s="1"/>
    <row r="167" customFormat="1" s="1"/>
    <row r="168" customFormat="1" s="1"/>
    <row r="169" customFormat="1" s="1"/>
    <row r="170" customFormat="1" s="1"/>
    <row r="171" customFormat="1" s="1"/>
    <row r="172" customFormat="1" s="1"/>
    <row r="173" customFormat="1" s="1"/>
    <row r="174" customFormat="1" s="1"/>
    <row r="175" customFormat="1" s="1"/>
    <row r="176" customFormat="1" s="1"/>
    <row r="177" customFormat="1" s="1"/>
    <row r="178" customFormat="1" s="1"/>
    <row r="179" customFormat="1" s="1"/>
    <row r="180" customFormat="1" s="1"/>
    <row r="181" customFormat="1" s="1"/>
    <row r="182" customFormat="1" s="1"/>
    <row r="183" customFormat="1" s="1"/>
    <row r="184" customFormat="1" s="1"/>
    <row r="185" customFormat="1" s="1"/>
    <row r="186" customFormat="1" s="1"/>
    <row r="187" customFormat="1" s="1"/>
    <row r="188" customFormat="1" s="1"/>
    <row r="189" customFormat="1" s="1"/>
    <row r="190" customFormat="1" s="1"/>
    <row r="191" customFormat="1" s="1"/>
    <row r="192" customFormat="1" s="1"/>
    <row r="193" customFormat="1" s="1"/>
    <row r="194" customFormat="1" s="1"/>
    <row r="195" customFormat="1" s="1"/>
    <row r="196" customFormat="1" s="1"/>
    <row r="197" customFormat="1" s="1"/>
    <row r="198" customFormat="1" s="1"/>
    <row r="199" customFormat="1" s="1"/>
    <row r="200" customFormat="1" s="1"/>
    <row r="201" customFormat="1" s="1"/>
    <row r="202" customFormat="1" s="1"/>
    <row r="203" customFormat="1" s="1"/>
    <row r="204" customFormat="1" s="1"/>
    <row r="205" customFormat="1" s="1"/>
    <row r="206" customFormat="1" s="1"/>
    <row r="207" customFormat="1" s="1"/>
    <row r="208" customFormat="1" s="1"/>
    <row r="209" customFormat="1" s="1"/>
    <row r="210" customFormat="1" s="1"/>
    <row r="211" customFormat="1" s="1"/>
    <row r="212" customFormat="1" s="1"/>
    <row r="213" customFormat="1" s="1"/>
    <row r="214" customFormat="1" s="1"/>
    <row r="215" customFormat="1" s="1"/>
    <row r="216" customFormat="1" s="1"/>
    <row r="217" customFormat="1" s="1"/>
    <row r="218" customFormat="1" s="1"/>
    <row r="219" customFormat="1" s="1"/>
    <row r="220" customFormat="1" s="1"/>
    <row r="221" customFormat="1" s="1"/>
    <row r="222" customFormat="1" s="1"/>
    <row r="223" customFormat="1" s="1"/>
    <row r="224" customFormat="1" s="1"/>
    <row r="225" customFormat="1" s="1"/>
    <row r="226" customFormat="1" s="1"/>
    <row r="227" customFormat="1" s="1"/>
    <row r="228" customFormat="1" s="1"/>
    <row r="229" customFormat="1" s="1"/>
    <row r="230" customFormat="1" s="1"/>
    <row r="231" customFormat="1" s="1"/>
    <row r="232" customFormat="1" s="1"/>
    <row r="233" customFormat="1" s="1"/>
    <row r="234" customFormat="1" s="1"/>
    <row r="235" customFormat="1" s="1"/>
    <row r="236" customFormat="1" s="1"/>
    <row r="237" customFormat="1" s="1"/>
    <row r="238" customFormat="1" s="1"/>
    <row r="239" customFormat="1" s="1"/>
    <row r="240" customFormat="1" s="1"/>
    <row r="241" customFormat="1" s="1"/>
    <row r="242" customFormat="1" s="1"/>
    <row r="243" customFormat="1" s="1"/>
    <row r="244" customFormat="1" s="1"/>
    <row r="245" customFormat="1" s="1"/>
    <row r="246" customFormat="1" s="1"/>
    <row r="247" customFormat="1" s="1"/>
    <row r="248" customFormat="1" s="1"/>
    <row r="249" customFormat="1" s="1"/>
    <row r="250" customFormat="1" s="1"/>
    <row r="251" customFormat="1" s="1"/>
    <row r="252" customFormat="1" s="1"/>
    <row r="253" customFormat="1" s="1"/>
    <row r="254" customFormat="1" s="1"/>
    <row r="255" customFormat="1" s="1"/>
    <row r="256" customFormat="1" s="1"/>
    <row r="257" customFormat="1" s="1"/>
    <row r="258" customFormat="1" s="1"/>
    <row r="259" customFormat="1" s="1"/>
    <row r="260" customFormat="1" s="1"/>
    <row r="261" customFormat="1" s="1"/>
    <row r="262" customFormat="1" s="1"/>
    <row r="263" customFormat="1" s="1"/>
    <row r="264" customFormat="1" s="1"/>
    <row r="265" customFormat="1" s="1"/>
    <row r="266" customFormat="1" s="1"/>
    <row r="267" customFormat="1" s="1"/>
    <row r="268" customFormat="1" s="1"/>
    <row r="269" customFormat="1" s="1"/>
    <row r="270" customFormat="1" s="1"/>
    <row r="271" customFormat="1" s="1"/>
    <row r="272" customFormat="1" s="1"/>
    <row r="273" customFormat="1" s="1"/>
    <row r="274" customFormat="1" s="1"/>
    <row r="275" customFormat="1" s="1"/>
    <row r="276" customFormat="1" s="1"/>
    <row r="277" customFormat="1" s="1"/>
    <row r="278" customFormat="1" s="1"/>
    <row r="279" customFormat="1" s="1"/>
    <row r="280" customFormat="1" s="1"/>
    <row r="281" customFormat="1" s="1"/>
    <row r="282" customFormat="1" s="1"/>
    <row r="283" customFormat="1" s="1"/>
    <row r="284" customFormat="1" s="1"/>
    <row r="285" customFormat="1" s="1"/>
    <row r="286" customFormat="1" s="1"/>
    <row r="287" customFormat="1" s="1"/>
    <row r="288" customFormat="1" s="1"/>
    <row r="289" customFormat="1" s="1"/>
    <row r="290" customFormat="1" s="1"/>
    <row r="291" customFormat="1" s="1"/>
    <row r="292" customFormat="1" s="1"/>
    <row r="293" customFormat="1" s="1"/>
    <row r="294" customFormat="1" s="1"/>
    <row r="295" customFormat="1" s="1"/>
    <row r="296" customFormat="1" s="1"/>
    <row r="297" customFormat="1" s="1"/>
    <row r="298" customFormat="1" s="1"/>
    <row r="299" customFormat="1" s="1"/>
    <row r="300" customFormat="1" s="1"/>
    <row r="301" customFormat="1" s="1"/>
    <row r="302" customFormat="1" s="1"/>
    <row r="303" customFormat="1" s="1"/>
    <row r="304" customFormat="1" s="1"/>
    <row r="305" customFormat="1" s="1"/>
    <row r="306" customFormat="1" s="1"/>
    <row r="307" customFormat="1" s="1"/>
    <row r="308" customFormat="1" s="1"/>
    <row r="309" customFormat="1" s="1"/>
    <row r="310" customFormat="1" s="1"/>
    <row r="311" customFormat="1" s="1"/>
    <row r="312" customFormat="1" s="1"/>
    <row r="313" customFormat="1" s="1"/>
    <row r="314" customFormat="1" s="1"/>
    <row r="315" customFormat="1" s="1"/>
    <row r="316" customFormat="1" s="1"/>
    <row r="317" customFormat="1" s="1"/>
    <row r="318" customFormat="1" s="1"/>
    <row r="319" customFormat="1" s="1"/>
    <row r="320" customFormat="1" s="1"/>
    <row r="321" customFormat="1" s="1"/>
    <row r="322" customFormat="1" s="1"/>
    <row r="323" customFormat="1" s="1"/>
    <row r="324" customFormat="1" s="1"/>
    <row r="325" customFormat="1" s="1"/>
    <row r="326" customFormat="1" s="1"/>
    <row r="327" customFormat="1" s="1"/>
    <row r="328" customFormat="1" s="1"/>
    <row r="329" customFormat="1" s="1"/>
    <row r="330" customFormat="1" s="1"/>
    <row r="331" customFormat="1" s="1"/>
    <row r="332" customFormat="1" s="1"/>
    <row r="333" customFormat="1" s="1"/>
    <row r="334" customFormat="1" s="1"/>
    <row r="335" customFormat="1" s="1"/>
    <row r="336" customFormat="1" s="1"/>
    <row r="337" customFormat="1" s="1"/>
    <row r="338" customFormat="1" s="1"/>
    <row r="339" customFormat="1" s="1"/>
    <row r="340" customFormat="1" s="1"/>
    <row r="341" customFormat="1" s="1"/>
    <row r="342" customFormat="1" s="1"/>
    <row r="343" customFormat="1" s="1"/>
    <row r="344" customFormat="1" s="1"/>
    <row r="345" customFormat="1" s="1"/>
    <row r="346" customFormat="1" s="1"/>
    <row r="347" customFormat="1" s="1"/>
    <row r="348" customFormat="1" s="1"/>
    <row r="349" customFormat="1" s="1"/>
    <row r="350" customFormat="1" s="1"/>
    <row r="351" customFormat="1" s="1"/>
    <row r="352" customFormat="1" s="1"/>
    <row r="353" customFormat="1" s="1"/>
    <row r="354" customFormat="1" s="1"/>
    <row r="355" customFormat="1" s="1"/>
    <row r="356" customFormat="1" s="1"/>
    <row r="357" customFormat="1" s="1"/>
    <row r="358" customFormat="1" s="1"/>
    <row r="359" customFormat="1" s="1"/>
    <row r="360" customFormat="1" s="1"/>
    <row r="361" customFormat="1" s="1"/>
    <row r="362" customFormat="1" s="1"/>
    <row r="363" customFormat="1" s="1"/>
    <row r="364" customFormat="1" s="1"/>
    <row r="365" customFormat="1" s="1"/>
    <row r="366" customFormat="1" s="1"/>
    <row r="367" customFormat="1" s="1"/>
    <row r="368" customFormat="1" s="1"/>
    <row r="369" customFormat="1" s="1"/>
    <row r="370" customFormat="1" s="1"/>
    <row r="371" customFormat="1" s="1"/>
    <row r="372" customFormat="1" s="1"/>
    <row r="373" customFormat="1" s="1"/>
    <row r="374" customFormat="1" s="1"/>
    <row r="375" customFormat="1" s="1"/>
    <row r="376" customFormat="1" s="1"/>
    <row r="377" customFormat="1" s="1"/>
    <row r="378" customFormat="1" s="1"/>
    <row r="379" customFormat="1" s="1"/>
    <row r="380" customFormat="1" s="1"/>
    <row r="381" customFormat="1" s="1"/>
    <row r="382" customFormat="1" s="1"/>
    <row r="383" customFormat="1" s="1"/>
    <row r="384" customFormat="1" s="1"/>
    <row r="385" customFormat="1" s="1"/>
    <row r="386" customFormat="1" s="1"/>
    <row r="387" customFormat="1" s="1"/>
    <row r="388" customFormat="1" s="1"/>
    <row r="389" customFormat="1" s="1"/>
    <row r="390" customFormat="1" s="1"/>
    <row r="391" customFormat="1" s="1"/>
    <row r="392" customFormat="1" s="1"/>
    <row r="393" customFormat="1" s="1"/>
    <row r="394" customFormat="1" s="1"/>
    <row r="395" customFormat="1" s="1"/>
    <row r="396" customFormat="1" s="1"/>
    <row r="397" customFormat="1" s="1"/>
    <row r="398" customFormat="1" s="1"/>
    <row r="399" customFormat="1" s="1"/>
    <row r="400" customFormat="1" s="1"/>
    <row r="401" customFormat="1" s="1"/>
    <row r="402" customFormat="1" s="1"/>
    <row r="403" customFormat="1" s="1"/>
    <row r="404" customFormat="1" s="1"/>
    <row r="405" customFormat="1" s="1"/>
    <row r="406" customFormat="1" s="1"/>
    <row r="407" customFormat="1" s="1"/>
    <row r="408" customFormat="1" s="1"/>
    <row r="409" customFormat="1" s="1"/>
    <row r="410" customFormat="1" s="1"/>
    <row r="411" customFormat="1" s="1"/>
    <row r="412" customFormat="1" s="1"/>
    <row r="413" customFormat="1" s="1"/>
    <row r="414" customFormat="1" s="1"/>
    <row r="415" customFormat="1" s="1"/>
    <row r="416" customFormat="1" s="1"/>
    <row r="417" customFormat="1" s="1"/>
    <row r="418" customFormat="1" s="1"/>
    <row r="419" customFormat="1" s="1"/>
    <row r="420" customFormat="1" s="1"/>
    <row r="421" customFormat="1" s="1"/>
    <row r="422" customFormat="1" s="1"/>
    <row r="423" customFormat="1" s="1"/>
    <row r="424" customFormat="1" s="1"/>
    <row r="425" customFormat="1" s="1"/>
    <row r="426" customFormat="1" s="1"/>
    <row r="427" customFormat="1" s="1"/>
    <row r="428" customFormat="1" s="1"/>
    <row r="429" customFormat="1" s="1"/>
    <row r="430" customFormat="1" s="1"/>
    <row r="431" customFormat="1" s="1"/>
    <row r="432" customFormat="1" s="1"/>
    <row r="433" customFormat="1" s="1"/>
    <row r="434" customFormat="1" s="1"/>
    <row r="435" customFormat="1" s="1"/>
    <row r="436" customFormat="1" s="1"/>
    <row r="437" customFormat="1" s="1"/>
    <row r="438" customFormat="1" s="1"/>
    <row r="439" customFormat="1" s="1"/>
    <row r="440" customFormat="1" s="1"/>
    <row r="441" customFormat="1" s="1"/>
    <row r="442" customFormat="1" s="1"/>
    <row r="443" customFormat="1" s="1"/>
    <row r="444" customFormat="1" s="1"/>
    <row r="445" customFormat="1" s="1"/>
    <row r="446" customFormat="1" s="1"/>
    <row r="447" customFormat="1" s="1"/>
    <row r="448" customFormat="1" s="1"/>
    <row r="449" customFormat="1" s="1"/>
    <row r="450" customFormat="1" s="1"/>
    <row r="451" customFormat="1" s="1"/>
    <row r="452" customFormat="1" s="1"/>
    <row r="453" customFormat="1" s="1"/>
    <row r="454" customFormat="1" s="1"/>
    <row r="455" customFormat="1" s="1"/>
    <row r="456" customFormat="1" s="1"/>
    <row r="457" customFormat="1" s="1"/>
    <row r="458" customFormat="1" s="1"/>
    <row r="459" customFormat="1" s="1"/>
    <row r="460" customFormat="1" s="1"/>
    <row r="461" customFormat="1" s="1"/>
    <row r="462" customFormat="1" s="1"/>
    <row r="463" customFormat="1" s="1"/>
    <row r="464" customFormat="1" s="1"/>
    <row r="465" customFormat="1" s="1"/>
    <row r="466" customFormat="1" s="1"/>
    <row r="467" customFormat="1" s="1"/>
    <row r="468" customFormat="1" s="1"/>
    <row r="469" customFormat="1" s="1"/>
    <row r="470" customFormat="1" s="1"/>
    <row r="471" customFormat="1" s="1"/>
    <row r="472" customFormat="1" s="1"/>
    <row r="473" customFormat="1" s="1"/>
    <row r="474" customFormat="1" s="1"/>
    <row r="475" customFormat="1" s="1"/>
    <row r="476" customFormat="1" s="1"/>
    <row r="477" customFormat="1" s="1"/>
    <row r="478" customFormat="1" s="1"/>
    <row r="479" customFormat="1" s="1"/>
    <row r="480" customFormat="1" s="1"/>
    <row r="481" customFormat="1" s="1"/>
    <row r="482" customFormat="1" s="1"/>
    <row r="483" customFormat="1" s="1"/>
    <row r="484" customFormat="1" s="1"/>
    <row r="485" customFormat="1" s="1"/>
    <row r="486" customFormat="1" s="1"/>
    <row r="487" customFormat="1" s="1"/>
    <row r="488" customFormat="1" s="1"/>
    <row r="489" customFormat="1" s="1"/>
    <row r="490" customFormat="1" s="1"/>
    <row r="491" customFormat="1" s="1"/>
    <row r="492" customFormat="1" s="1"/>
    <row r="493" customFormat="1" s="1"/>
    <row r="494" customFormat="1" s="1"/>
    <row r="495" customFormat="1" s="1"/>
    <row r="496" customFormat="1" s="1"/>
    <row r="497" customFormat="1" s="1"/>
    <row r="498" customFormat="1" s="1"/>
    <row r="499" customFormat="1" s="1"/>
    <row r="500" customFormat="1" s="1"/>
    <row r="501" customFormat="1" s="1"/>
    <row r="502" customFormat="1" s="1"/>
    <row r="503" customFormat="1" s="1"/>
    <row r="504" customFormat="1" s="1"/>
    <row r="505" customFormat="1" s="1"/>
    <row r="506" customFormat="1" s="1"/>
    <row r="507" customFormat="1" s="1"/>
    <row r="508" customFormat="1" s="1"/>
    <row r="509" customFormat="1" s="1"/>
    <row r="510" customFormat="1" s="1"/>
    <row r="511" customFormat="1" s="1"/>
    <row r="512" customFormat="1" s="1"/>
    <row r="513" customFormat="1" s="1"/>
    <row r="514" customFormat="1" s="1"/>
    <row r="515" customFormat="1" s="1"/>
    <row r="516" customFormat="1" s="1"/>
    <row r="517" customFormat="1" s="1"/>
    <row r="518" customFormat="1" s="1"/>
    <row r="519" customFormat="1" s="1"/>
    <row r="520" customFormat="1" s="1"/>
    <row r="521" customFormat="1" s="1"/>
    <row r="522" customFormat="1" s="1"/>
    <row r="523" customFormat="1" s="1"/>
    <row r="524" customFormat="1" s="1"/>
    <row r="525" customFormat="1" s="1"/>
    <row r="526" customFormat="1" s="1"/>
    <row r="527" customFormat="1" s="1"/>
    <row r="528" customFormat="1" s="1"/>
    <row r="529" customFormat="1" s="1"/>
    <row r="530" customFormat="1" s="1"/>
    <row r="531" customFormat="1" s="1"/>
    <row r="532" customFormat="1" s="1"/>
    <row r="533" customFormat="1" s="1"/>
    <row r="534" customFormat="1" s="1"/>
    <row r="535" customFormat="1" s="1"/>
    <row r="536" customFormat="1" s="1"/>
    <row r="537" customFormat="1" s="1"/>
    <row r="538" customFormat="1" s="1"/>
    <row r="539" customFormat="1" s="1"/>
    <row r="540" customFormat="1" s="1"/>
    <row r="541" customFormat="1" s="1"/>
    <row r="542" customFormat="1" s="1"/>
    <row r="543" customFormat="1" s="1"/>
    <row r="544" customFormat="1" s="1"/>
    <row r="545" customFormat="1" s="1"/>
    <row r="546" customFormat="1" s="1"/>
    <row r="547" customFormat="1" s="1"/>
    <row r="548" customFormat="1" s="1"/>
    <row r="549" customFormat="1" s="1"/>
    <row r="550" customFormat="1" s="1"/>
    <row r="551" customFormat="1" s="1"/>
    <row r="552" customFormat="1" s="1"/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  <row r="566" customFormat="1" s="1"/>
    <row r="567" customFormat="1" s="1"/>
    <row r="568" customFormat="1" s="1"/>
    <row r="569" customFormat="1" s="1"/>
    <row r="570" customFormat="1" s="1"/>
    <row r="571" customFormat="1" s="1"/>
    <row r="572" customFormat="1" s="1"/>
    <row r="573" customFormat="1" s="1"/>
    <row r="574" customFormat="1" s="1"/>
    <row r="575" customFormat="1" s="1"/>
    <row r="576" customFormat="1" s="1"/>
    <row r="577" customFormat="1" s="1"/>
    <row r="578" customFormat="1" s="1"/>
    <row r="579" customFormat="1" s="1"/>
    <row r="580" customFormat="1" s="1"/>
    <row r="581" customFormat="1" s="1"/>
    <row r="582" customFormat="1" s="1"/>
    <row r="583" customFormat="1" s="1"/>
    <row r="584" customFormat="1" s="1"/>
    <row r="585" customFormat="1" s="1"/>
    <row r="586" customFormat="1" s="1"/>
    <row r="587" customFormat="1" s="1"/>
    <row r="588" customFormat="1" s="1"/>
    <row r="589" customFormat="1" s="1"/>
    <row r="590" customFormat="1" s="1"/>
    <row r="591" customFormat="1" s="1"/>
    <row r="592" customFormat="1" s="1"/>
    <row r="593" customFormat="1" s="1"/>
    <row r="594" customFormat="1" s="1"/>
    <row r="595" customFormat="1" s="1"/>
    <row r="596" customFormat="1" s="1"/>
    <row r="597" customFormat="1" s="1"/>
    <row r="598" customFormat="1" s="1"/>
    <row r="599" customFormat="1" s="1"/>
    <row r="600" customFormat="1" s="1"/>
    <row r="601" customFormat="1" s="1"/>
    <row r="602" customFormat="1" s="1"/>
    <row r="603" customFormat="1" s="1"/>
    <row r="604" customFormat="1" s="1"/>
    <row r="605" customFormat="1" s="1"/>
    <row r="606" customFormat="1" s="1"/>
    <row r="607" customFormat="1" s="1"/>
    <row r="608" customFormat="1" s="1"/>
    <row r="609" customFormat="1" s="1"/>
    <row r="610" customFormat="1" s="1"/>
    <row r="611" customFormat="1" s="1"/>
    <row r="612" customFormat="1" s="1"/>
    <row r="613" customFormat="1" s="1"/>
    <row r="614" customFormat="1" s="1"/>
    <row r="615" customFormat="1" s="1"/>
    <row r="616" customFormat="1" s="1"/>
    <row r="617" customFormat="1" s="1"/>
    <row r="618" customFormat="1" s="1"/>
    <row r="619" customFormat="1" s="1"/>
    <row r="620" customFormat="1" s="1"/>
    <row r="621" customFormat="1" s="1"/>
    <row r="622" customFormat="1" s="1"/>
    <row r="623" customFormat="1" s="1"/>
    <row r="624" customFormat="1" s="1"/>
    <row r="625" customFormat="1" s="1"/>
    <row r="626" customFormat="1" s="1"/>
    <row r="627" customFormat="1" s="1"/>
    <row r="628" customFormat="1" s="1"/>
    <row r="629" customFormat="1" s="1"/>
    <row r="630" customFormat="1" s="1"/>
    <row r="631" customFormat="1" s="1"/>
    <row r="632" customFormat="1" s="1"/>
    <row r="633" customFormat="1" s="1"/>
    <row r="634" customFormat="1" s="1"/>
    <row r="635" customFormat="1" s="1"/>
    <row r="636" customFormat="1" s="1"/>
    <row r="637" customFormat="1" s="1"/>
    <row r="638" customFormat="1" s="1"/>
    <row r="639" customFormat="1" s="1"/>
    <row r="640" customFormat="1" s="1"/>
    <row r="641" customFormat="1" s="1"/>
    <row r="642" customFormat="1" s="1"/>
    <row r="643" customFormat="1" s="1"/>
    <row r="644" customFormat="1" s="1"/>
    <row r="645" customFormat="1" s="1"/>
    <row r="646" customFormat="1" s="1"/>
    <row r="647" customFormat="1" s="1"/>
    <row r="648" customFormat="1" s="1"/>
    <row r="649" customFormat="1" s="1"/>
    <row r="650" customFormat="1" s="1"/>
    <row r="651" customFormat="1" s="1"/>
    <row r="652" customFormat="1" s="1"/>
    <row r="653" customFormat="1" s="1"/>
    <row r="654" customFormat="1" s="1"/>
    <row r="655" customFormat="1" s="1"/>
    <row r="656" customFormat="1" s="1"/>
    <row r="657" customFormat="1" s="1"/>
    <row r="658" customFormat="1" s="1"/>
    <row r="659" customFormat="1" s="1"/>
    <row r="660" customFormat="1" s="1"/>
    <row r="661" customFormat="1" s="1"/>
    <row r="662" customFormat="1" s="1"/>
    <row r="663" customFormat="1" s="1"/>
    <row r="664" customFormat="1" s="1"/>
    <row r="665" customFormat="1" s="1"/>
    <row r="666" customFormat="1" s="1"/>
    <row r="667" customFormat="1" s="1"/>
    <row r="668" customFormat="1" s="1"/>
    <row r="669" customFormat="1" s="1"/>
    <row r="670" customFormat="1" s="1"/>
    <row r="671" customFormat="1" s="1"/>
    <row r="672" customFormat="1" s="1"/>
    <row r="673" customFormat="1" s="1"/>
    <row r="674" customFormat="1" s="1"/>
    <row r="675" customFormat="1" s="1"/>
    <row r="676" customFormat="1" s="1"/>
    <row r="677" customFormat="1" s="1"/>
    <row r="678" customFormat="1" s="1"/>
    <row r="679" customFormat="1" s="1"/>
    <row r="680" customFormat="1" s="1"/>
    <row r="681" customFormat="1" s="1"/>
    <row r="682" customFormat="1" s="1"/>
    <row r="683" customFormat="1" s="1"/>
    <row r="684" customFormat="1" s="1"/>
    <row r="685" customFormat="1" s="1"/>
    <row r="686" customFormat="1" s="1"/>
    <row r="687" customFormat="1" s="1"/>
    <row r="688" customFormat="1" s="1"/>
    <row r="689" customFormat="1" s="1"/>
    <row r="690" customFormat="1" s="1"/>
    <row r="691" customFormat="1" s="1"/>
    <row r="692" customFormat="1" s="1"/>
    <row r="693" customFormat="1" s="1"/>
    <row r="694" customFormat="1" s="1"/>
    <row r="695" customFormat="1" s="1"/>
    <row r="696" customFormat="1" s="1"/>
    <row r="697" customFormat="1" s="1"/>
    <row r="698" customFormat="1" s="1"/>
    <row r="699" customFormat="1" s="1"/>
    <row r="700" customFormat="1" s="1"/>
    <row r="701" customFormat="1" s="1"/>
    <row r="702" customFormat="1" s="1"/>
    <row r="703" customFormat="1" s="1"/>
    <row r="704" customFormat="1" s="1"/>
    <row r="705" customFormat="1" s="1"/>
    <row r="706" customFormat="1" s="1"/>
    <row r="707" customFormat="1" s="1"/>
    <row r="708" customFormat="1" s="1"/>
    <row r="709" customFormat="1" s="1"/>
    <row r="710" customFormat="1" s="1"/>
    <row r="711" customFormat="1" s="1"/>
    <row r="712" customFormat="1" s="1"/>
    <row r="713" customFormat="1" s="1"/>
    <row r="714" customFormat="1" s="1"/>
    <row r="715" customFormat="1" s="1"/>
    <row r="716" customFormat="1" s="1"/>
    <row r="717" customFormat="1" s="1"/>
    <row r="718" customFormat="1" s="1"/>
    <row r="719" customFormat="1" s="1"/>
    <row r="720" customFormat="1" s="1"/>
    <row r="721" customFormat="1" s="1"/>
    <row r="722" customFormat="1" s="1"/>
    <row r="723" customFormat="1" s="1"/>
    <row r="724" customFormat="1" s="1"/>
    <row r="725" customFormat="1" s="1"/>
    <row r="726" customFormat="1" s="1"/>
    <row r="727" customFormat="1" s="1"/>
    <row r="728" customFormat="1" s="1"/>
    <row r="729" customFormat="1" s="1"/>
    <row r="730" customFormat="1" s="1"/>
    <row r="731" customFormat="1" s="1"/>
    <row r="732" customFormat="1" s="1"/>
    <row r="733" customFormat="1" s="1"/>
    <row r="734" customFormat="1" s="1"/>
    <row r="735" customFormat="1" s="1"/>
    <row r="736" customFormat="1" s="1"/>
    <row r="737" customFormat="1" s="1"/>
    <row r="738" customFormat="1" s="1"/>
    <row r="739" customFormat="1" s="1"/>
    <row r="740" customFormat="1" s="1"/>
    <row r="741" customFormat="1" s="1"/>
    <row r="742" customFormat="1" s="1"/>
    <row r="743" customFormat="1" s="1"/>
    <row r="744" customFormat="1" s="1"/>
    <row r="745" customFormat="1" s="1"/>
    <row r="746" customFormat="1" s="1"/>
    <row r="747" customFormat="1" s="1"/>
    <row r="748" customFormat="1" s="1"/>
    <row r="749" customFormat="1" s="1"/>
    <row r="750" customFormat="1" s="1"/>
    <row r="751" customFormat="1" s="1"/>
    <row r="752" customFormat="1" s="1"/>
    <row r="753" customFormat="1" s="1"/>
    <row r="754" customFormat="1" s="1"/>
    <row r="755" customFormat="1" s="1"/>
    <row r="756" customFormat="1" s="1"/>
    <row r="757" customFormat="1" s="1"/>
    <row r="758" customFormat="1" s="1"/>
    <row r="759" customFormat="1" s="1"/>
    <row r="760" customFormat="1" s="1"/>
    <row r="761" customFormat="1" s="1"/>
    <row r="762" customFormat="1" s="1"/>
    <row r="763" customFormat="1" s="1"/>
    <row r="764" customFormat="1" s="1"/>
    <row r="765" customFormat="1" s="1"/>
    <row r="766" customFormat="1" s="1"/>
    <row r="767" customFormat="1" s="1"/>
    <row r="768" customFormat="1" s="1"/>
    <row r="769" customFormat="1" s="1"/>
    <row r="770" customFormat="1" s="1"/>
    <row r="771" customFormat="1" s="1"/>
    <row r="772" customFormat="1" s="1"/>
    <row r="773" customFormat="1" s="1"/>
    <row r="774" customFormat="1" s="1"/>
    <row r="775" customFormat="1" s="1"/>
    <row r="776" customFormat="1" s="1"/>
    <row r="777" customFormat="1" s="1"/>
    <row r="778" customFormat="1" s="1"/>
    <row r="779" customFormat="1" s="1"/>
    <row r="780" customFormat="1" s="1"/>
    <row r="781" customFormat="1" s="1"/>
    <row r="782" customFormat="1" s="1"/>
    <row r="783" customFormat="1" s="1"/>
    <row r="784" customFormat="1" s="1"/>
    <row r="785" customFormat="1" s="1"/>
    <row r="786" customFormat="1" s="1"/>
    <row r="787" customFormat="1" s="1"/>
    <row r="788" customFormat="1" s="1"/>
    <row r="789" customFormat="1" s="1"/>
    <row r="790" customFormat="1" s="1"/>
    <row r="791" customFormat="1" s="1"/>
    <row r="792" customFormat="1" s="1"/>
    <row r="793" customFormat="1" s="1"/>
    <row r="794" customFormat="1" s="1"/>
    <row r="795" customFormat="1" s="1"/>
    <row r="796" customFormat="1" s="1"/>
    <row r="797" customFormat="1" s="1"/>
    <row r="798" customFormat="1" s="1"/>
    <row r="799" customFormat="1" s="1"/>
    <row r="800" customFormat="1" s="1"/>
    <row r="801" customFormat="1" s="1"/>
    <row r="802" customFormat="1" s="1"/>
    <row r="803" customFormat="1" s="1"/>
    <row r="804" customFormat="1" s="1"/>
    <row r="805" customFormat="1" s="1"/>
    <row r="806" customFormat="1" s="1"/>
    <row r="807" customFormat="1" s="1"/>
    <row r="808" customFormat="1" s="1"/>
    <row r="809" customFormat="1" s="1"/>
    <row r="810" customFormat="1" s="1"/>
    <row r="811" customFormat="1" s="1"/>
    <row r="812" customFormat="1" s="1"/>
    <row r="813" customFormat="1" s="1"/>
    <row r="814" customFormat="1" s="1"/>
    <row r="815" customFormat="1" s="1"/>
    <row r="816" customFormat="1" s="1"/>
    <row r="817" customFormat="1" s="1"/>
    <row r="818" customFormat="1" s="1"/>
    <row r="819" customFormat="1" s="1"/>
    <row r="820" customFormat="1" s="1"/>
    <row r="821" customFormat="1" s="1"/>
    <row r="822" customFormat="1" s="1"/>
    <row r="823" customFormat="1" s="1"/>
    <row r="824" customFormat="1" s="1"/>
    <row r="825" customFormat="1" s="1"/>
    <row r="826" customFormat="1" s="1"/>
    <row r="827" customFormat="1" s="1"/>
    <row r="828" customFormat="1" s="1"/>
    <row r="829" customFormat="1" s="1"/>
    <row r="830" customFormat="1" s="1"/>
    <row r="831" customFormat="1" s="1"/>
    <row r="832" customFormat="1" s="1"/>
    <row r="833" customFormat="1" s="1"/>
    <row r="834" customFormat="1" s="1"/>
    <row r="835" customFormat="1" s="1"/>
    <row r="836" customFormat="1" s="1"/>
    <row r="837" customFormat="1" s="1"/>
    <row r="838" customFormat="1" s="1"/>
    <row r="839" customFormat="1" s="1"/>
    <row r="840" customFormat="1" s="1"/>
    <row r="841" customFormat="1" s="1"/>
    <row r="842" customFormat="1" s="1"/>
    <row r="843" customFormat="1" s="1"/>
    <row r="844" customFormat="1" s="1"/>
    <row r="845" customFormat="1" s="1"/>
    <row r="846" customFormat="1" s="1"/>
    <row r="847" customFormat="1" s="1"/>
    <row r="848" customFormat="1" s="1"/>
    <row r="849" customFormat="1" s="1"/>
    <row r="850" customFormat="1" s="1"/>
    <row r="851" customFormat="1" s="1"/>
    <row r="852" customFormat="1" s="1"/>
    <row r="853" customFormat="1" s="1"/>
    <row r="854" customFormat="1" s="1"/>
    <row r="855" customFormat="1" s="1"/>
    <row r="856" customFormat="1" s="1"/>
    <row r="857" customFormat="1" s="1"/>
    <row r="858" customFormat="1" s="1"/>
    <row r="859" customFormat="1" s="1"/>
    <row r="860" customFormat="1" s="1"/>
    <row r="861" customFormat="1" s="1"/>
    <row r="862" customFormat="1" s="1"/>
    <row r="863" customFormat="1" s="1"/>
    <row r="864" customFormat="1" s="1"/>
    <row r="865" customFormat="1" s="1"/>
    <row r="866" customFormat="1" s="1"/>
    <row r="867" customFormat="1" s="1"/>
    <row r="868" customFormat="1" s="1"/>
    <row r="869" customFormat="1" s="1"/>
    <row r="870" customFormat="1" s="1"/>
    <row r="871" customFormat="1" s="1"/>
    <row r="872" customFormat="1" s="1"/>
    <row r="873" customFormat="1" s="1"/>
    <row r="874" customFormat="1" s="1"/>
    <row r="875" customFormat="1" s="1"/>
    <row r="876" customFormat="1" s="1"/>
    <row r="877" customFormat="1" s="1"/>
    <row r="878" customFormat="1" s="1"/>
    <row r="879" customFormat="1" s="1"/>
    <row r="880" customFormat="1" s="1"/>
    <row r="881" customFormat="1" s="1"/>
    <row r="882" customFormat="1" s="1"/>
    <row r="883" customFormat="1" s="1"/>
    <row r="884" customFormat="1" s="1"/>
    <row r="885" customFormat="1" s="1"/>
    <row r="886" customFormat="1" s="1"/>
    <row r="887" customFormat="1" s="1"/>
    <row r="888" customFormat="1" s="1"/>
    <row r="889" customFormat="1" s="1"/>
    <row r="890" customFormat="1" s="1"/>
    <row r="891" customFormat="1" s="1"/>
    <row r="892" customFormat="1" s="1"/>
    <row r="893" customFormat="1" s="1"/>
    <row r="894" customFormat="1" s="1"/>
    <row r="895" customFormat="1" s="1"/>
    <row r="896" customFormat="1" s="1"/>
    <row r="897" customFormat="1" s="1"/>
    <row r="898" customFormat="1" s="1"/>
    <row r="899" customFormat="1" s="1"/>
    <row r="900" customFormat="1" s="1"/>
    <row r="901" customFormat="1" s="1"/>
    <row r="902" customFormat="1" s="1"/>
    <row r="903" customFormat="1" s="1"/>
    <row r="904" customFormat="1" s="1"/>
    <row r="905" customFormat="1" s="1"/>
    <row r="906" customFormat="1" s="1"/>
    <row r="907" customFormat="1" s="1"/>
    <row r="908" customFormat="1" s="1"/>
    <row r="909" customFormat="1" s="1"/>
    <row r="910" customFormat="1" s="1"/>
    <row r="911" customFormat="1" s="1"/>
    <row r="912" customFormat="1" s="1"/>
    <row r="913" customFormat="1" s="1"/>
    <row r="914" customFormat="1" s="1"/>
    <row r="915" customFormat="1" s="1"/>
  </sheetData>
  <mergeCells count="20">
    <mergeCell ref="W6:AD6"/>
    <mergeCell ref="BP72:BW72"/>
    <mergeCell ref="AO72:AV72"/>
    <mergeCell ref="AX6:BE6"/>
    <mergeCell ref="A3:CA3"/>
    <mergeCell ref="A2:CA2"/>
    <mergeCell ref="N72:U72"/>
    <mergeCell ref="AF6:AM6"/>
    <mergeCell ref="A4:CA4"/>
    <mergeCell ref="W72:AD72"/>
    <mergeCell ref="AX72:BE72"/>
    <mergeCell ref="BG6:BN6"/>
    <mergeCell ref="N6:U6"/>
    <mergeCell ref="AO6:AV6"/>
    <mergeCell ref="BP6:BW6"/>
    <mergeCell ref="A1:CA1"/>
    <mergeCell ref="E72:L72"/>
    <mergeCell ref="AF72:AM72"/>
    <mergeCell ref="BG72:BN72"/>
    <mergeCell ref="D6:L6"/>
  </mergeCells>
  <conditionalFormatting sqref="E70:BF71">
    <cfRule type="cellIs" priority="2" operator="equal" dxfId="1">
      <formula>95</formula>
    </cfRule>
  </conditionalFormatting>
  <conditionalFormatting sqref="E9:BX9 E10:AM10 AO10:BX10">
    <cfRule type="cellIs" priority="20" operator="equal" dxfId="0">
      <formula>"AB"</formula>
    </cfRule>
  </conditionalFormatting>
  <conditionalFormatting sqref="E9:BX9 E10:AL69 AM10 AM11:AS69 AO10:AS10 AT10:BD69 BE10:BJ30 BE31:BI32 BE33:BJ69 BK10:BK45 BK46:BT69 BL10:BT35 BL36:BP45 BR36:BT45 BU10:BX69 BY9:CB69">
    <cfRule type="cellIs" priority="22" operator="equal" dxfId="0">
      <formula>"f"</formula>
    </cfRule>
    <cfRule type="cellIs" priority="21" operator="equal" dxfId="1">
      <formula>95</formula>
    </cfRule>
  </conditionalFormatting>
  <conditionalFormatting sqref="E11:BX71">
    <cfRule type="cellIs" priority="1" operator="equal" dxfId="0">
      <formula>"AB"</formula>
    </cfRule>
  </conditionalFormatting>
  <conditionalFormatting sqref="E70:CB71">
    <cfRule type="cellIs" priority="3" operator="equal" dxfId="0">
      <formula>"f"</formula>
    </cfRule>
  </conditionalFormatting>
  <conditionalFormatting sqref="H70:M71 Q70:V71 Y70:AE71 AI70:AN71 AR70:AW71 BJ70:BO71 BS70:BX71">
    <cfRule type="containsText" priority="15" operator="containsText" dxfId="13" text="N">
      <formula>NOT(ISERROR(SEARCH("N",H70)))</formula>
    </cfRule>
    <cfRule type="containsText" priority="14" operator="containsText" dxfId="12" text="F">
      <formula>NOT(ISERROR(SEARCH("F",H70)))</formula>
    </cfRule>
    <cfRule type="containsText" priority="13" operator="containsText" dxfId="9" text="N">
      <formula>NOT(ISERROR(SEARCH("N",H70)))</formula>
    </cfRule>
  </conditionalFormatting>
  <conditionalFormatting sqref="AF10">
    <cfRule type="expression" priority="25" dxfId="7">
      <formula>NOT(ISERROR(SEARCH("A",BF72)))</formula>
    </cfRule>
  </conditionalFormatting>
  <conditionalFormatting sqref="AF11:AF14">
    <cfRule type="expression" priority="26" dxfId="7">
      <formula>NOT(ISERROR(SEARCH("A",#REF!)))</formula>
    </cfRule>
  </conditionalFormatting>
  <conditionalFormatting sqref="AF15:AF18">
    <cfRule type="expression" priority="42" dxfId="7">
      <formula>NOT(ISERROR(SEARCH("A",BF82)))</formula>
    </cfRule>
  </conditionalFormatting>
  <conditionalFormatting sqref="AF19:AF22">
    <cfRule type="expression" priority="31" dxfId="7">
      <formula>NOT(ISERROR(SEARCH("A",#REF!)))</formula>
    </cfRule>
  </conditionalFormatting>
  <conditionalFormatting sqref="AF23:AF30 AF58">
    <cfRule type="expression" priority="38" dxfId="7">
      <formula>NOT(ISERROR(SEARCH("A",BF86)))</formula>
    </cfRule>
  </conditionalFormatting>
  <conditionalFormatting sqref="AF31:AF57">
    <cfRule type="expression" priority="40" dxfId="7">
      <formula>NOT(ISERROR(SEARCH("A",BF95)))</formula>
    </cfRule>
  </conditionalFormatting>
  <conditionalFormatting sqref="AF59">
    <cfRule type="expression" priority="36" dxfId="7">
      <formula>NOT(ISERROR(SEARCH("A",BF121)))</formula>
    </cfRule>
  </conditionalFormatting>
  <conditionalFormatting sqref="AF60">
    <cfRule type="expression" priority="34" dxfId="7">
      <formula>NOT(ISERROR(SEARCH("A",BF121)))</formula>
    </cfRule>
  </conditionalFormatting>
  <conditionalFormatting sqref="AF61:AF63">
    <cfRule type="expression" priority="50" dxfId="7">
      <formula>NOT(ISERROR(SEARCH("A",BF120)))</formula>
    </cfRule>
  </conditionalFormatting>
  <conditionalFormatting sqref="AF64">
    <cfRule type="expression" priority="48" dxfId="7">
      <formula>NOT(ISERROR(SEARCH("A",BF122)))</formula>
    </cfRule>
  </conditionalFormatting>
  <conditionalFormatting sqref="AF65">
    <cfRule type="expression" priority="46" dxfId="7">
      <formula>NOT(ISERROR(SEARCH("A",BF122)))</formula>
    </cfRule>
  </conditionalFormatting>
  <conditionalFormatting sqref="AF66:AF68">
    <cfRule type="expression" priority="52" dxfId="7">
      <formula>NOT(ISERROR(SEARCH("A",BF122)))</formula>
    </cfRule>
  </conditionalFormatting>
  <conditionalFormatting sqref="AF69">
    <cfRule type="expression" priority="44" dxfId="7">
      <formula>NOT(ISERROR(SEARCH("A",BF124)))</formula>
    </cfRule>
  </conditionalFormatting>
  <conditionalFormatting sqref="AF70:AF71">
    <cfRule type="expression" priority="16" dxfId="7">
      <formula>NOT(ISERROR(SEARCH("A",BF121)))</formula>
    </cfRule>
  </conditionalFormatting>
  <conditionalFormatting sqref="H9:M69 Q9:V69 Y9:AE69 AI9:AN9 AI10:AM10 AI11:AN69 AO10 AR9:AW69 BA9:BF69 BJ9:BO9 BJ10:BJ30 BJ33:BJ69 BK10:BO69 BS9:BX69">
    <cfRule type="containsText" priority="29" operator="containsText" dxfId="13" text="N">
      <formula>NOT(ISERROR(SEARCH("N",H9)))</formula>
    </cfRule>
    <cfRule type="containsText" priority="27" operator="containsText" dxfId="9" text="N">
      <formula>NOT(ISERROR(SEARCH("N",H9)))</formula>
    </cfRule>
    <cfRule type="containsText" priority="28" operator="containsText" dxfId="12" text="F">
      <formula>NOT(ISERROR(SEARCH("F",H9)))</formula>
    </cfRule>
  </conditionalFormatting>
  <conditionalFormatting sqref="AO11:AO14">
    <cfRule type="expression" priority="24" dxfId="7">
      <formula>NOT(ISERROR(SEARCH("A",#REF!)))</formula>
    </cfRule>
  </conditionalFormatting>
  <conditionalFormatting sqref="AO15:AO18">
    <cfRule type="expression" priority="43" dxfId="7">
      <formula>NOT(ISERROR(SEARCH("A",BP82)))</formula>
    </cfRule>
  </conditionalFormatting>
  <conditionalFormatting sqref="AO19:AO22">
    <cfRule type="expression" priority="33" dxfId="7">
      <formula>NOT(ISERROR(SEARCH("A",#REF!)))</formula>
    </cfRule>
  </conditionalFormatting>
  <conditionalFormatting sqref="AO23:AO30 AO58">
    <cfRule type="expression" priority="39" dxfId="7">
      <formula>NOT(ISERROR(SEARCH("A",BP86)))</formula>
    </cfRule>
  </conditionalFormatting>
  <conditionalFormatting sqref="AO31:AO57">
    <cfRule type="expression" priority="41" dxfId="7">
      <formula>NOT(ISERROR(SEARCH("A",BP95)))</formula>
    </cfRule>
  </conditionalFormatting>
  <conditionalFormatting sqref="AO59">
    <cfRule type="expression" priority="37" dxfId="7">
      <formula>NOT(ISERROR(SEARCH("A",BP121)))</formula>
    </cfRule>
  </conditionalFormatting>
  <conditionalFormatting sqref="AO60">
    <cfRule type="expression" priority="35" dxfId="7">
      <formula>NOT(ISERROR(SEARCH("A",BP121)))</formula>
    </cfRule>
  </conditionalFormatting>
  <conditionalFormatting sqref="AO61:AO63">
    <cfRule type="expression" priority="51" dxfId="7">
      <formula>NOT(ISERROR(SEARCH("A",BP120)))</formula>
    </cfRule>
  </conditionalFormatting>
  <conditionalFormatting sqref="AO64">
    <cfRule type="expression" priority="49" dxfId="7">
      <formula>NOT(ISERROR(SEARCH("A",BP122)))</formula>
    </cfRule>
  </conditionalFormatting>
  <conditionalFormatting sqref="AO65">
    <cfRule type="expression" priority="47" dxfId="7">
      <formula>NOT(ISERROR(SEARCH("A",BP122)))</formula>
    </cfRule>
  </conditionalFormatting>
  <conditionalFormatting sqref="AO66:AO68">
    <cfRule type="expression" priority="53" dxfId="7">
      <formula>NOT(ISERROR(SEARCH("A",BP122)))</formula>
    </cfRule>
  </conditionalFormatting>
  <conditionalFormatting sqref="AO69">
    <cfRule type="expression" priority="45" dxfId="7">
      <formula>NOT(ISERROR(SEARCH("A",BP124)))</formula>
    </cfRule>
  </conditionalFormatting>
  <conditionalFormatting sqref="AO70:AO71">
    <cfRule type="expression" priority="17" dxfId="7">
      <formula>NOT(ISERROR(SEARCH("A",BP121)))</formula>
    </cfRule>
  </conditionalFormatting>
  <conditionalFormatting sqref="BA70:BF71">
    <cfRule type="containsText" priority="6" operator="containsText" dxfId="13" text="N">
      <formula>NOT(ISERROR(SEARCH("N",BA70)))</formula>
    </cfRule>
    <cfRule type="containsText" priority="5" operator="containsText" dxfId="12" text="F">
      <formula>NOT(ISERROR(SEARCH("F",BA70)))</formula>
    </cfRule>
    <cfRule type="containsText" priority="4" operator="containsText" dxfId="9" text="N">
      <formula>NOT(ISERROR(SEARCH("N",BA70)))</formula>
    </cfRule>
  </conditionalFormatting>
  <conditionalFormatting sqref="BG70:CB71">
    <cfRule type="cellIs" priority="10" operator="equal" dxfId="1">
      <formula>95</formula>
    </cfRule>
  </conditionalFormatting>
  <conditionalFormatting sqref="BQ10:BR35 BQ46:BR69 BR36:BR45">
    <cfRule type="cellIs" priority="23" operator="lessThan" dxfId="7">
      <formula>20</formula>
    </cfRule>
  </conditionalFormatting>
  <conditionalFormatting sqref="BQ70:BR71">
    <cfRule type="cellIs" priority="12" operator="lessThan" dxfId="7">
      <formula>20</formula>
    </cfRule>
  </conditionalFormatting>
  <conditionalFormatting sqref="CA9:CA71">
    <cfRule type="cellIs" priority="7" operator="greaterThan" dxfId="2">
      <formula>9</formula>
    </cfRule>
    <cfRule type="cellIs" priority="8" operator="greaterThan" dxfId="2">
      <formula>9.5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G65"/>
  <sheetViews>
    <sheetView workbookViewId="0">
      <selection activeCell="B3" sqref="B3:G65"/>
    </sheetView>
  </sheetViews>
  <sheetFormatPr baseColWidth="8" defaultRowHeight="14.25"/>
  <cols>
    <col width="3.5" customWidth="1" style="76" min="1" max="1"/>
    <col width="13.375" customWidth="1" style="78" min="2" max="2"/>
    <col width="32.25" bestFit="1" customWidth="1" style="78" min="3" max="3"/>
    <col width="6.375" customWidth="1" style="76" min="4" max="4"/>
    <col width="6.25" customWidth="1" style="76" min="5" max="5"/>
    <col width="4.375" bestFit="1" customWidth="1" style="76" min="6" max="6"/>
    <col width="4.625" customWidth="1" style="78" min="7" max="7"/>
    <col width="9" customWidth="1" style="78" min="8" max="16384"/>
  </cols>
  <sheetData>
    <row r="2">
      <c r="A2" s="77" t="inlineStr">
        <is>
          <t>Sl</t>
        </is>
      </c>
      <c r="B2" s="77" t="inlineStr">
        <is>
          <t>USN</t>
        </is>
      </c>
      <c r="C2" s="77" t="inlineStr">
        <is>
          <t>NAME</t>
        </is>
      </c>
      <c r="D2" s="77" t="inlineStr">
        <is>
          <t>1St</t>
        </is>
      </c>
      <c r="E2" s="77" t="inlineStr">
        <is>
          <t>2nd</t>
        </is>
      </c>
      <c r="F2" s="77" t="inlineStr">
        <is>
          <t>3rd</t>
        </is>
      </c>
      <c r="G2" s="77" t="inlineStr">
        <is>
          <t>avg</t>
        </is>
      </c>
    </row>
    <row r="3" ht="15.95" customHeight="1">
      <c r="A3" s="77" t="n">
        <v>1</v>
      </c>
      <c r="B3" s="79" t="n"/>
      <c r="C3" s="80" t="n"/>
      <c r="D3" s="81" t="n"/>
      <c r="E3" s="81" t="n"/>
      <c r="F3" s="82" t="n"/>
      <c r="G3" s="83" t="n"/>
    </row>
    <row r="4" ht="15.95" customHeight="1">
      <c r="A4" s="77" t="n">
        <v>2</v>
      </c>
      <c r="B4" s="79" t="n"/>
      <c r="C4" s="80" t="n"/>
      <c r="D4" s="81" t="n"/>
      <c r="E4" s="81" t="n"/>
      <c r="F4" s="82" t="n"/>
      <c r="G4" s="83" t="n"/>
    </row>
    <row r="5" ht="15.95" customHeight="1">
      <c r="A5" s="77" t="n">
        <v>3</v>
      </c>
      <c r="B5" s="79" t="n"/>
      <c r="C5" s="80" t="n"/>
      <c r="D5" s="81" t="n"/>
      <c r="E5" s="81" t="n"/>
      <c r="F5" s="82" t="n"/>
      <c r="G5" s="83" t="n"/>
    </row>
    <row r="6" ht="15.95" customHeight="1">
      <c r="A6" s="77" t="n">
        <v>4</v>
      </c>
      <c r="B6" s="79" t="n"/>
      <c r="C6" s="80" t="n"/>
      <c r="D6" s="81" t="n"/>
      <c r="E6" s="81" t="n"/>
      <c r="F6" s="82" t="n"/>
      <c r="G6" s="83" t="n"/>
    </row>
    <row r="7" ht="15.95" customHeight="1">
      <c r="A7" s="77" t="n">
        <v>5</v>
      </c>
      <c r="B7" s="79" t="n"/>
      <c r="C7" s="80" t="n"/>
      <c r="D7" s="81" t="n"/>
      <c r="E7" s="81" t="n"/>
      <c r="F7" s="82" t="n"/>
      <c r="G7" s="83" t="n"/>
    </row>
    <row r="8" ht="15.95" customHeight="1">
      <c r="A8" s="77" t="n">
        <v>6</v>
      </c>
      <c r="B8" s="79" t="n"/>
      <c r="C8" s="80" t="n"/>
      <c r="D8" s="81" t="n"/>
      <c r="E8" s="81" t="n"/>
      <c r="F8" s="82" t="n"/>
      <c r="G8" s="83" t="n"/>
    </row>
    <row r="9" ht="15.95" customHeight="1">
      <c r="A9" s="77" t="n">
        <v>7</v>
      </c>
      <c r="B9" s="79" t="n"/>
      <c r="C9" s="80" t="n"/>
      <c r="D9" s="81" t="n"/>
      <c r="E9" s="81" t="n"/>
      <c r="F9" s="82" t="n"/>
      <c r="G9" s="83" t="n"/>
    </row>
    <row r="10" ht="15.95" customHeight="1">
      <c r="A10" s="77" t="n">
        <v>8</v>
      </c>
      <c r="B10" s="79" t="n"/>
      <c r="C10" s="80" t="n"/>
      <c r="D10" s="81" t="n"/>
      <c r="E10" s="81" t="n"/>
      <c r="F10" s="82" t="n"/>
      <c r="G10" s="83" t="n"/>
    </row>
    <row r="11" ht="15.95" customHeight="1">
      <c r="A11" s="77" t="n">
        <v>9</v>
      </c>
      <c r="B11" s="79" t="n"/>
      <c r="C11" s="80" t="n"/>
      <c r="D11" s="81" t="n"/>
      <c r="E11" s="81" t="n"/>
      <c r="F11" s="82" t="n"/>
      <c r="G11" s="83" t="n"/>
    </row>
    <row r="12" ht="15.95" customHeight="1">
      <c r="A12" s="77" t="n">
        <v>10</v>
      </c>
      <c r="B12" s="79" t="n"/>
      <c r="C12" s="80" t="n"/>
      <c r="D12" s="81" t="n"/>
      <c r="E12" s="81" t="n"/>
      <c r="F12" s="82" t="n"/>
      <c r="G12" s="83" t="n"/>
    </row>
    <row r="13" ht="15.95" customHeight="1">
      <c r="A13" s="77" t="n">
        <v>11</v>
      </c>
      <c r="B13" s="79" t="n"/>
      <c r="C13" s="80" t="n"/>
      <c r="D13" s="81" t="n"/>
      <c r="E13" s="81" t="n"/>
      <c r="F13" s="82" t="n"/>
      <c r="G13" s="83" t="n"/>
    </row>
    <row r="14" ht="15.95" customHeight="1">
      <c r="A14" s="77" t="n">
        <v>12</v>
      </c>
      <c r="B14" s="79" t="n"/>
      <c r="C14" s="80" t="n"/>
      <c r="D14" s="81" t="n"/>
      <c r="E14" s="81" t="n"/>
      <c r="F14" s="82" t="n"/>
      <c r="G14" s="83" t="n"/>
    </row>
    <row r="15" ht="15.95" customHeight="1">
      <c r="A15" s="77" t="n">
        <v>13</v>
      </c>
      <c r="B15" s="79" t="n"/>
      <c r="C15" s="80" t="n"/>
      <c r="D15" s="81" t="n"/>
      <c r="E15" s="81" t="n"/>
      <c r="F15" s="82" t="n"/>
      <c r="G15" s="83" t="n"/>
    </row>
    <row r="16" ht="15.95" customHeight="1">
      <c r="A16" s="77" t="n">
        <v>14</v>
      </c>
      <c r="B16" s="79" t="n"/>
      <c r="C16" s="80" t="n"/>
      <c r="D16" s="81" t="n"/>
      <c r="E16" s="81" t="n"/>
      <c r="F16" s="82" t="n"/>
      <c r="G16" s="83" t="n"/>
    </row>
    <row r="17" ht="15.95" customHeight="1">
      <c r="A17" s="77" t="n">
        <v>15</v>
      </c>
      <c r="B17" s="79" t="n"/>
      <c r="C17" s="80" t="n"/>
      <c r="D17" s="81" t="n"/>
      <c r="E17" s="81" t="n"/>
      <c r="F17" s="82" t="n"/>
      <c r="G17" s="83" t="n"/>
    </row>
    <row r="18" ht="15.95" customHeight="1">
      <c r="A18" s="77" t="n">
        <v>16</v>
      </c>
      <c r="B18" s="79" t="n"/>
      <c r="C18" s="80" t="n"/>
      <c r="D18" s="81" t="n"/>
      <c r="E18" s="81" t="n"/>
      <c r="F18" s="82" t="n"/>
      <c r="G18" s="83" t="n"/>
    </row>
    <row r="19" ht="15.95" customHeight="1">
      <c r="A19" s="77" t="n">
        <v>17</v>
      </c>
      <c r="B19" s="79" t="n"/>
      <c r="C19" s="80" t="n"/>
      <c r="D19" s="81" t="n"/>
      <c r="E19" s="81" t="n"/>
      <c r="F19" s="82" t="n"/>
      <c r="G19" s="83" t="n"/>
    </row>
    <row r="20" ht="15.95" customHeight="1">
      <c r="A20" s="77" t="n">
        <v>18</v>
      </c>
      <c r="B20" s="79" t="n"/>
      <c r="C20" s="80" t="n"/>
      <c r="D20" s="81" t="n"/>
      <c r="E20" s="81" t="n"/>
      <c r="F20" s="82" t="n"/>
      <c r="G20" s="83" t="n"/>
    </row>
    <row r="21" ht="15.95" customHeight="1">
      <c r="A21" s="77" t="n">
        <v>19</v>
      </c>
      <c r="B21" s="79" t="n"/>
      <c r="C21" s="80" t="n"/>
      <c r="D21" s="81" t="n"/>
      <c r="E21" s="81" t="n"/>
      <c r="F21" s="82" t="n"/>
      <c r="G21" s="83" t="n"/>
    </row>
    <row r="22" ht="15.95" customHeight="1">
      <c r="A22" s="77" t="n">
        <v>20</v>
      </c>
      <c r="B22" s="79" t="n"/>
      <c r="C22" s="80" t="n"/>
      <c r="D22" s="81" t="n"/>
      <c r="E22" s="81" t="n"/>
      <c r="F22" s="82" t="n"/>
      <c r="G22" s="83" t="n"/>
    </row>
    <row r="23" ht="15.95" customHeight="1">
      <c r="A23" s="77" t="n">
        <v>21</v>
      </c>
      <c r="B23" s="79" t="n"/>
      <c r="C23" s="80" t="n"/>
      <c r="D23" s="81" t="n"/>
      <c r="E23" s="81" t="n"/>
      <c r="F23" s="82" t="n"/>
      <c r="G23" s="83" t="n"/>
    </row>
    <row r="24" ht="15.95" customHeight="1">
      <c r="A24" s="77" t="n">
        <v>22</v>
      </c>
      <c r="B24" s="79" t="n"/>
      <c r="C24" s="80" t="n"/>
      <c r="D24" s="81" t="n"/>
      <c r="E24" s="81" t="n"/>
      <c r="F24" s="82" t="n"/>
      <c r="G24" s="83" t="n"/>
    </row>
    <row r="25" ht="15.95" customHeight="1">
      <c r="A25" s="77" t="n">
        <v>23</v>
      </c>
      <c r="B25" s="79" t="n"/>
      <c r="C25" s="80" t="n"/>
      <c r="D25" s="81" t="n"/>
      <c r="E25" s="81" t="n"/>
      <c r="F25" s="82" t="n"/>
      <c r="G25" s="83" t="n"/>
    </row>
    <row r="26" ht="15.95" customHeight="1">
      <c r="A26" s="77" t="n">
        <v>24</v>
      </c>
      <c r="B26" s="79" t="n"/>
      <c r="C26" s="80" t="n"/>
      <c r="D26" s="81" t="n"/>
      <c r="E26" s="81" t="n"/>
      <c r="F26" s="82" t="n"/>
      <c r="G26" s="83" t="n"/>
    </row>
    <row r="27" ht="15.95" customHeight="1">
      <c r="A27" s="77" t="n">
        <v>25</v>
      </c>
      <c r="B27" s="79" t="n"/>
      <c r="C27" s="80" t="n"/>
      <c r="D27" s="81" t="n"/>
      <c r="E27" s="81" t="n"/>
      <c r="F27" s="82" t="n"/>
      <c r="G27" s="83" t="n"/>
    </row>
    <row r="28" ht="15.95" customHeight="1">
      <c r="A28" s="77" t="n">
        <v>26</v>
      </c>
      <c r="B28" s="79" t="n"/>
      <c r="C28" s="80" t="n"/>
      <c r="D28" s="81" t="n"/>
      <c r="E28" s="81" t="n"/>
      <c r="F28" s="82" t="n"/>
      <c r="G28" s="83" t="n"/>
    </row>
    <row r="29" ht="15.95" customHeight="1">
      <c r="A29" s="77" t="n">
        <v>27</v>
      </c>
      <c r="B29" s="79" t="n"/>
      <c r="C29" s="80" t="n"/>
      <c r="D29" s="81" t="n"/>
      <c r="E29" s="81" t="n"/>
      <c r="F29" s="82" t="n"/>
      <c r="G29" s="83" t="n"/>
    </row>
    <row r="30" ht="15.95" customHeight="1">
      <c r="A30" s="77" t="n">
        <v>28</v>
      </c>
      <c r="B30" s="79" t="n"/>
      <c r="C30" s="80" t="n"/>
      <c r="D30" s="81" t="n"/>
      <c r="E30" s="81" t="n"/>
      <c r="F30" s="82" t="n"/>
      <c r="G30" s="83" t="n"/>
    </row>
    <row r="31" ht="15.95" customHeight="1">
      <c r="A31" s="77" t="n">
        <v>29</v>
      </c>
      <c r="B31" s="79" t="n"/>
      <c r="C31" s="80" t="n"/>
      <c r="D31" s="81" t="n"/>
      <c r="E31" s="81" t="n"/>
      <c r="F31" s="82" t="n"/>
      <c r="G31" s="83" t="n"/>
    </row>
    <row r="32" ht="15.95" customHeight="1">
      <c r="A32" s="77" t="n">
        <v>30</v>
      </c>
      <c r="B32" s="79" t="n"/>
      <c r="C32" s="80" t="n"/>
      <c r="D32" s="81" t="n"/>
      <c r="E32" s="81" t="n"/>
      <c r="F32" s="82" t="n"/>
      <c r="G32" s="83" t="n"/>
    </row>
    <row r="33" ht="15.95" customHeight="1">
      <c r="A33" s="77" t="n">
        <v>31</v>
      </c>
      <c r="B33" s="79" t="n"/>
      <c r="C33" s="80" t="n"/>
      <c r="D33" s="81" t="n"/>
      <c r="E33" s="81" t="n"/>
      <c r="F33" s="82" t="n"/>
      <c r="G33" s="83" t="n"/>
    </row>
    <row r="34" ht="15.95" customHeight="1">
      <c r="A34" s="77" t="n">
        <v>32</v>
      </c>
      <c r="B34" s="79" t="n"/>
      <c r="C34" s="80" t="n"/>
      <c r="D34" s="81" t="n"/>
      <c r="E34" s="81" t="n"/>
      <c r="F34" s="82" t="n"/>
      <c r="G34" s="83" t="n"/>
    </row>
    <row r="35" ht="15.95" customHeight="1">
      <c r="A35" s="77" t="n">
        <v>33</v>
      </c>
      <c r="B35" s="79" t="n"/>
      <c r="C35" s="80" t="n"/>
      <c r="D35" s="81" t="n"/>
      <c r="E35" s="81" t="n"/>
      <c r="F35" s="82" t="n"/>
      <c r="G35" s="83" t="n"/>
    </row>
    <row r="36" ht="15.95" customHeight="1">
      <c r="A36" s="77" t="n">
        <v>34</v>
      </c>
      <c r="B36" s="79" t="n"/>
      <c r="C36" s="80" t="n"/>
      <c r="D36" s="81" t="n"/>
      <c r="E36" s="81" t="n"/>
      <c r="F36" s="82" t="n"/>
      <c r="G36" s="83" t="n"/>
    </row>
    <row r="37" ht="15.95" customHeight="1">
      <c r="A37" s="77" t="n">
        <v>35</v>
      </c>
      <c r="B37" s="79" t="n"/>
      <c r="C37" s="80" t="n"/>
      <c r="D37" s="81" t="n"/>
      <c r="E37" s="81" t="n"/>
      <c r="F37" s="82" t="n"/>
      <c r="G37" s="83" t="n"/>
    </row>
    <row r="38" ht="15.95" customHeight="1">
      <c r="A38" s="77" t="n">
        <v>36</v>
      </c>
      <c r="B38" s="79" t="n"/>
      <c r="C38" s="80" t="n"/>
      <c r="D38" s="81" t="n"/>
      <c r="E38" s="81" t="n"/>
      <c r="F38" s="82" t="n"/>
      <c r="G38" s="83" t="n"/>
    </row>
    <row r="39" ht="15.95" customHeight="1">
      <c r="A39" s="77" t="n">
        <v>37</v>
      </c>
      <c r="B39" s="79" t="n"/>
      <c r="C39" s="80" t="n"/>
      <c r="D39" s="81" t="n"/>
      <c r="E39" s="81" t="n"/>
      <c r="F39" s="82" t="n"/>
      <c r="G39" s="83" t="n"/>
    </row>
    <row r="40" ht="15.95" customHeight="1">
      <c r="A40" s="77" t="n">
        <v>38</v>
      </c>
      <c r="B40" s="79" t="n"/>
      <c r="C40" s="80" t="n"/>
      <c r="D40" s="81" t="n"/>
      <c r="E40" s="81" t="n"/>
      <c r="F40" s="82" t="n"/>
      <c r="G40" s="83" t="n"/>
    </row>
    <row r="41" ht="15.95" customHeight="1">
      <c r="A41" s="77" t="n">
        <v>39</v>
      </c>
      <c r="B41" s="79" t="n"/>
      <c r="C41" s="80" t="n"/>
      <c r="D41" s="81" t="n"/>
      <c r="E41" s="81" t="n"/>
      <c r="F41" s="82" t="n"/>
      <c r="G41" s="83" t="n"/>
    </row>
    <row r="42" ht="15.95" customHeight="1">
      <c r="A42" s="77" t="n">
        <v>40</v>
      </c>
      <c r="B42" s="79" t="n"/>
      <c r="C42" s="80" t="n"/>
      <c r="D42" s="81" t="n"/>
      <c r="E42" s="81" t="n"/>
      <c r="F42" s="82" t="n"/>
      <c r="G42" s="83" t="n"/>
    </row>
    <row r="43" ht="15.95" customHeight="1">
      <c r="A43" s="77" t="n">
        <v>41</v>
      </c>
      <c r="B43" s="79" t="n"/>
      <c r="C43" s="80" t="n"/>
      <c r="D43" s="81" t="n"/>
      <c r="E43" s="81" t="n"/>
      <c r="F43" s="82" t="n"/>
      <c r="G43" s="83" t="n"/>
    </row>
    <row r="44" ht="15.95" customHeight="1">
      <c r="A44" s="77" t="n">
        <v>42</v>
      </c>
      <c r="B44" s="79" t="n"/>
      <c r="C44" s="80" t="n"/>
      <c r="D44" s="81" t="n"/>
      <c r="E44" s="81" t="n"/>
      <c r="F44" s="82" t="n"/>
      <c r="G44" s="83" t="n"/>
    </row>
    <row r="45" ht="15.95" customHeight="1">
      <c r="A45" s="77" t="n">
        <v>43</v>
      </c>
      <c r="B45" s="79" t="n"/>
      <c r="C45" s="80" t="n"/>
      <c r="D45" s="81" t="n"/>
      <c r="E45" s="81" t="n"/>
      <c r="F45" s="82" t="n"/>
      <c r="G45" s="83" t="n"/>
    </row>
    <row r="46" ht="15.95" customHeight="1">
      <c r="A46" s="77" t="n">
        <v>44</v>
      </c>
      <c r="B46" s="79" t="n"/>
      <c r="C46" s="80" t="n"/>
      <c r="D46" s="81" t="n"/>
      <c r="E46" s="81" t="n"/>
      <c r="F46" s="82" t="n"/>
      <c r="G46" s="83" t="n"/>
    </row>
    <row r="47" ht="15.95" customHeight="1">
      <c r="A47" s="77" t="n">
        <v>45</v>
      </c>
      <c r="B47" s="79" t="n"/>
      <c r="C47" s="80" t="n"/>
      <c r="D47" s="81" t="n"/>
      <c r="E47" s="81" t="n"/>
      <c r="F47" s="82" t="n"/>
      <c r="G47" s="83" t="n"/>
    </row>
    <row r="48" ht="15.95" customHeight="1">
      <c r="A48" s="77" t="n">
        <v>46</v>
      </c>
      <c r="B48" s="79" t="n"/>
      <c r="C48" s="80" t="n"/>
      <c r="D48" s="81" t="n"/>
      <c r="E48" s="81" t="n"/>
      <c r="F48" s="82" t="n"/>
      <c r="G48" s="83" t="n"/>
    </row>
    <row r="49" ht="15.95" customHeight="1">
      <c r="A49" s="77" t="n">
        <v>47</v>
      </c>
      <c r="B49" s="79" t="n"/>
      <c r="C49" s="80" t="n"/>
      <c r="D49" s="81" t="n"/>
      <c r="E49" s="81" t="n"/>
      <c r="F49" s="82" t="n"/>
      <c r="G49" s="83" t="n"/>
    </row>
    <row r="50" ht="15.95" customHeight="1">
      <c r="A50" s="77" t="n">
        <v>48</v>
      </c>
      <c r="B50" s="79" t="n"/>
      <c r="C50" s="84" t="n"/>
      <c r="D50" s="81" t="n"/>
      <c r="E50" s="81" t="n"/>
      <c r="F50" s="82" t="n"/>
      <c r="G50" s="83" t="n"/>
    </row>
    <row r="51" ht="15.95" customHeight="1">
      <c r="A51" s="77" t="n">
        <v>49</v>
      </c>
      <c r="B51" s="79" t="n"/>
      <c r="C51" s="80" t="n"/>
      <c r="D51" s="81" t="n"/>
      <c r="E51" s="81" t="n"/>
      <c r="F51" s="82" t="n"/>
      <c r="G51" s="83" t="n"/>
    </row>
    <row r="52" ht="15.95" customHeight="1">
      <c r="A52" s="77" t="n">
        <v>50</v>
      </c>
      <c r="B52" s="79" t="n"/>
      <c r="C52" s="80" t="n"/>
      <c r="D52" s="81" t="n"/>
      <c r="E52" s="81" t="n"/>
      <c r="F52" s="82" t="n"/>
      <c r="G52" s="83" t="n"/>
    </row>
    <row r="53" ht="15.95" customHeight="1">
      <c r="A53" s="77" t="n">
        <v>51</v>
      </c>
      <c r="B53" s="79" t="n"/>
      <c r="C53" s="80" t="n"/>
      <c r="D53" s="81" t="n"/>
      <c r="E53" s="81" t="n"/>
      <c r="F53" s="82" t="n"/>
      <c r="G53" s="83" t="n"/>
    </row>
    <row r="54" ht="15.95" customHeight="1">
      <c r="A54" s="77" t="n">
        <v>52</v>
      </c>
      <c r="B54" s="79" t="n"/>
      <c r="C54" s="80" t="n"/>
      <c r="D54" s="81" t="n"/>
      <c r="E54" s="81" t="n"/>
      <c r="F54" s="82" t="n"/>
      <c r="G54" s="83" t="n"/>
    </row>
    <row r="55" ht="15.95" customHeight="1">
      <c r="A55" s="77" t="n">
        <v>53</v>
      </c>
      <c r="B55" s="79" t="n"/>
      <c r="C55" s="80" t="n"/>
      <c r="D55" s="81" t="n"/>
      <c r="E55" s="81" t="n"/>
      <c r="F55" s="82" t="n"/>
      <c r="G55" s="83" t="n"/>
    </row>
    <row r="56" ht="15.95" customHeight="1">
      <c r="A56" s="77" t="n">
        <v>54</v>
      </c>
      <c r="B56" s="79" t="n"/>
      <c r="C56" s="80" t="n"/>
      <c r="D56" s="81" t="n"/>
      <c r="E56" s="81" t="n"/>
      <c r="F56" s="82" t="n"/>
      <c r="G56" s="83" t="n"/>
    </row>
    <row r="57" ht="15.95" customHeight="1">
      <c r="A57" s="77" t="n">
        <v>55</v>
      </c>
      <c r="B57" s="79" t="n"/>
      <c r="C57" s="80" t="n"/>
      <c r="D57" s="81" t="n"/>
      <c r="E57" s="81" t="n"/>
      <c r="F57" s="82" t="n"/>
      <c r="G57" s="83" t="n"/>
    </row>
    <row r="58" ht="15.95" customHeight="1">
      <c r="A58" s="77" t="n">
        <v>56</v>
      </c>
      <c r="B58" s="79" t="n"/>
      <c r="C58" s="80" t="n"/>
      <c r="D58" s="81" t="n"/>
      <c r="E58" s="81" t="n"/>
      <c r="F58" s="82" t="n"/>
      <c r="G58" s="83" t="n"/>
    </row>
    <row r="59" ht="15.95" customHeight="1">
      <c r="A59" s="77" t="n">
        <v>57</v>
      </c>
      <c r="B59" s="79" t="n"/>
      <c r="C59" s="80" t="n"/>
      <c r="D59" s="81" t="n"/>
      <c r="E59" s="81" t="n"/>
      <c r="F59" s="82" t="n"/>
      <c r="G59" s="83" t="n"/>
    </row>
    <row r="60" ht="15.95" customHeight="1">
      <c r="A60" s="77" t="n">
        <v>58</v>
      </c>
      <c r="B60" s="79" t="n"/>
      <c r="C60" s="80" t="n"/>
      <c r="D60" s="81" t="n"/>
      <c r="E60" s="81" t="n"/>
      <c r="F60" s="82" t="n"/>
      <c r="G60" s="83" t="n"/>
    </row>
    <row r="61" ht="15.95" customHeight="1">
      <c r="A61" s="77" t="n">
        <v>59</v>
      </c>
      <c r="B61" s="79" t="n"/>
      <c r="C61" s="80" t="n"/>
      <c r="D61" s="81" t="n"/>
      <c r="E61" s="81" t="n"/>
      <c r="F61" s="82" t="n"/>
      <c r="G61" s="83" t="n"/>
    </row>
    <row r="62" ht="15.95" customHeight="1">
      <c r="A62" s="77" t="n">
        <v>60</v>
      </c>
      <c r="B62" s="79" t="n"/>
      <c r="C62" s="80" t="n"/>
      <c r="D62" s="81" t="n"/>
      <c r="E62" s="81" t="n"/>
      <c r="F62" s="82" t="n"/>
      <c r="G62" s="83" t="n"/>
    </row>
    <row r="63" ht="15.95" customHeight="1">
      <c r="A63" s="77" t="n">
        <v>61</v>
      </c>
      <c r="B63" s="79" t="n"/>
      <c r="C63" s="80" t="n"/>
      <c r="D63" s="81" t="n"/>
      <c r="E63" s="81" t="n"/>
      <c r="F63" s="82" t="n"/>
      <c r="G63" s="83" t="n"/>
    </row>
    <row r="64" ht="15.95" customHeight="1">
      <c r="A64" s="77" t="n">
        <v>62</v>
      </c>
      <c r="B64" s="79" t="n"/>
      <c r="C64" s="80" t="n"/>
      <c r="D64" s="81" t="n"/>
      <c r="E64" s="81" t="n"/>
      <c r="F64" s="82" t="n"/>
      <c r="G64" s="83" t="n"/>
    </row>
    <row r="65" ht="15.95" customHeight="1">
      <c r="A65" s="77" t="n">
        <v>63</v>
      </c>
      <c r="B65" s="79" t="n"/>
      <c r="C65" s="80" t="n"/>
      <c r="D65" s="81" t="n"/>
      <c r="E65" s="81" t="n"/>
      <c r="F65" s="82" t="n"/>
      <c r="G65" s="83" t="n"/>
    </row>
  </sheetData>
  <conditionalFormatting sqref="F4:F65">
    <cfRule type="cellIs" priority="1" operator="greaterThan" dxfId="2">
      <formula>9</formula>
    </cfRule>
    <cfRule type="cellIs" priority="2" operator="greaterThan" dxfId="2">
      <formula>9.5</formula>
    </cfRule>
    <cfRule type="cellIs" priority="3" operator="equal" dxfId="1">
      <formula>95</formula>
    </cfRule>
    <cfRule type="cellIs" priority="4" operator="equal" dxfId="0">
      <formula>"f"</formula>
    </cfRule>
  </conditionalFormatting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ec</dc:creator>
  <dcterms:created xmlns:dcterms="http://purl.org/dc/terms/" xmlns:xsi="http://www.w3.org/2001/XMLSchema-instance" xsi:type="dcterms:W3CDTF">2020-01-06T05:33:50Z</dcterms:created>
  <dcterms:modified xmlns:dcterms="http://purl.org/dc/terms/" xmlns:xsi="http://www.w3.org/2001/XMLSchema-instance" xsi:type="dcterms:W3CDTF">2025-03-04T08:01:55Z</dcterms:modified>
  <cp:lastModifiedBy>Sashank V</cp:lastModifiedBy>
  <cp:lastPrinted>2024-05-20T09:18:32Z</cp:lastPrinted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9ebacf8d-3131-487d-a657-6dc18ecfab7f</vt:lpwstr>
  </property>
</Properties>
</file>