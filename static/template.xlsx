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/>
  <bookViews>
    <workbookView xWindow="0" yWindow="0" windowWidth="20730" windowHeight="9615"/>
  </bookViews>
  <sheets>
    <sheet name="OverallResult" sheetId="12" r:id="rId1"/>
    <sheet name="SubjectWise" sheetId="17" r:id="rId2"/>
    <sheet name="FinalResult" sheetId="18" r:id="rId3"/>
    <sheet name="Absentees" sheetId="20" r:id="rId4"/>
    <sheet name="Toppers" sheetId="21" r:id="rId5"/>
    <sheet name="Sheet1" sheetId="22" r:id="rId6"/>
  </sheets>
  <definedNames>
    <definedName name="_xlnm._FilterDatabase" localSheetId="0" hidden="1">OverallResult!$BF$1:$BF$907</definedName>
  </definedNames>
  <calcPr calcId="144525"/>
</workbook>
</file>

<file path=xl/calcChain.xml><?xml version="1.0" encoding="utf-8"?>
<calcChain xmlns="http://schemas.openxmlformats.org/spreadsheetml/2006/main">
  <c r="BS10" i="21" l="1"/>
  <c r="BV10" i="21" s="1"/>
  <c r="BJ10" i="21"/>
  <c r="BM10" i="21" s="1"/>
  <c r="BA10" i="21"/>
  <c r="BD10" i="21" s="1"/>
  <c r="AR10" i="21"/>
  <c r="AT10" i="21" s="1"/>
  <c r="AV10" i="21" s="1"/>
  <c r="AI10" i="21"/>
  <c r="AL10" i="21" s="1"/>
  <c r="Z10" i="21"/>
  <c r="AC10" i="21" s="1"/>
  <c r="Q10" i="21"/>
  <c r="T10" i="21" s="1"/>
  <c r="H10" i="21"/>
  <c r="BS19" i="21"/>
  <c r="BJ19" i="21"/>
  <c r="BM19" i="21" s="1"/>
  <c r="BA19" i="21"/>
  <c r="BC19" i="21" s="1"/>
  <c r="BE19" i="21" s="1"/>
  <c r="AR19" i="21"/>
  <c r="AU19" i="21" s="1"/>
  <c r="AI19" i="21"/>
  <c r="AL19" i="21" s="1"/>
  <c r="Z19" i="21"/>
  <c r="AC19" i="21" s="1"/>
  <c r="Q19" i="21"/>
  <c r="H19" i="21"/>
  <c r="K19" i="21" s="1"/>
  <c r="BS55" i="21"/>
  <c r="BV55" i="21" s="1"/>
  <c r="BJ55" i="21"/>
  <c r="BL55" i="21" s="1"/>
  <c r="BN55" i="21" s="1"/>
  <c r="BA55" i="21"/>
  <c r="BC55" i="21" s="1"/>
  <c r="BE55" i="21" s="1"/>
  <c r="AR55" i="21"/>
  <c r="AU55" i="21" s="1"/>
  <c r="AI55" i="21"/>
  <c r="AL55" i="21" s="1"/>
  <c r="Z55" i="21"/>
  <c r="AB55" i="21" s="1"/>
  <c r="AD55" i="21" s="1"/>
  <c r="Q55" i="21"/>
  <c r="T55" i="21" s="1"/>
  <c r="H55" i="21"/>
  <c r="BS40" i="21"/>
  <c r="BU40" i="21" s="1"/>
  <c r="BW40" i="21" s="1"/>
  <c r="BJ40" i="21"/>
  <c r="BM40" i="21" s="1"/>
  <c r="BA40" i="21"/>
  <c r="BC40" i="21" s="1"/>
  <c r="BE40" i="21" s="1"/>
  <c r="AR40" i="21"/>
  <c r="AU40" i="21" s="1"/>
  <c r="AI40" i="21"/>
  <c r="AL40" i="21" s="1"/>
  <c r="Z40" i="21"/>
  <c r="AB40" i="21" s="1"/>
  <c r="AD40" i="21" s="1"/>
  <c r="Q40" i="21"/>
  <c r="S40" i="21" s="1"/>
  <c r="U40" i="21" s="1"/>
  <c r="H40" i="21"/>
  <c r="J40" i="21" s="1"/>
  <c r="L40" i="21" s="1"/>
  <c r="BS45" i="21"/>
  <c r="BU45" i="21" s="1"/>
  <c r="BW45" i="21" s="1"/>
  <c r="BJ45" i="21"/>
  <c r="BM45" i="21" s="1"/>
  <c r="BA45" i="21"/>
  <c r="BD45" i="21" s="1"/>
  <c r="AR45" i="21"/>
  <c r="AT45" i="21" s="1"/>
  <c r="AV45" i="21" s="1"/>
  <c r="AI45" i="21"/>
  <c r="AL45" i="21" s="1"/>
  <c r="Z45" i="21"/>
  <c r="AC45" i="21" s="1"/>
  <c r="Q45" i="21"/>
  <c r="T45" i="21" s="1"/>
  <c r="H45" i="21"/>
  <c r="K45" i="21" s="1"/>
  <c r="BS20" i="21"/>
  <c r="BV20" i="21" s="1"/>
  <c r="BJ20" i="21"/>
  <c r="BM20" i="21" s="1"/>
  <c r="BA20" i="21"/>
  <c r="BD20" i="21" s="1"/>
  <c r="AR20" i="21"/>
  <c r="AT20" i="21" s="1"/>
  <c r="AV20" i="21" s="1"/>
  <c r="AI20" i="21"/>
  <c r="AL20" i="21" s="1"/>
  <c r="Z20" i="21"/>
  <c r="AB20" i="21" s="1"/>
  <c r="AD20" i="21" s="1"/>
  <c r="Q20" i="21"/>
  <c r="T20" i="21" s="1"/>
  <c r="H20" i="21"/>
  <c r="BS28" i="21"/>
  <c r="BV28" i="21" s="1"/>
  <c r="BJ28" i="21"/>
  <c r="BA28" i="21"/>
  <c r="BD28" i="21" s="1"/>
  <c r="AR28" i="21"/>
  <c r="AU28" i="21" s="1"/>
  <c r="AI28" i="21"/>
  <c r="AL28" i="21" s="1"/>
  <c r="Z28" i="21"/>
  <c r="AB28" i="21" s="1"/>
  <c r="AD28" i="21" s="1"/>
  <c r="Q28" i="21"/>
  <c r="T28" i="21" s="1"/>
  <c r="H28" i="21"/>
  <c r="K28" i="21" s="1"/>
  <c r="BS48" i="21"/>
  <c r="BJ48" i="21"/>
  <c r="BM48" i="21" s="1"/>
  <c r="BA48" i="21"/>
  <c r="AR48" i="21"/>
  <c r="AT48" i="21" s="1"/>
  <c r="AV48" i="21" s="1"/>
  <c r="AI48" i="21"/>
  <c r="AK48" i="21" s="1"/>
  <c r="AM48" i="21" s="1"/>
  <c r="Z48" i="21"/>
  <c r="AB48" i="21" s="1"/>
  <c r="AD48" i="21" s="1"/>
  <c r="Q48" i="21"/>
  <c r="T48" i="21" s="1"/>
  <c r="H48" i="21"/>
  <c r="J48" i="21" s="1"/>
  <c r="L48" i="21" s="1"/>
  <c r="BS16" i="21"/>
  <c r="BJ16" i="21"/>
  <c r="BM16" i="21" s="1"/>
  <c r="BA16" i="21"/>
  <c r="AR16" i="21"/>
  <c r="AT16" i="21" s="1"/>
  <c r="AV16" i="21" s="1"/>
  <c r="AI16" i="21"/>
  <c r="AK16" i="21" s="1"/>
  <c r="AM16" i="21" s="1"/>
  <c r="Z16" i="21"/>
  <c r="AB16" i="21" s="1"/>
  <c r="AD16" i="21" s="1"/>
  <c r="Q16" i="21"/>
  <c r="S16" i="21" s="1"/>
  <c r="U16" i="21" s="1"/>
  <c r="H16" i="21"/>
  <c r="K16" i="21" s="1"/>
  <c r="BS44" i="21"/>
  <c r="BJ44" i="21"/>
  <c r="BA44" i="21"/>
  <c r="BD44" i="21" s="1"/>
  <c r="AR44" i="21"/>
  <c r="AU44" i="21" s="1"/>
  <c r="AI44" i="21"/>
  <c r="Z44" i="21"/>
  <c r="AC44" i="21" s="1"/>
  <c r="Q44" i="21"/>
  <c r="T44" i="21" s="1"/>
  <c r="H44" i="21"/>
  <c r="J44" i="21" s="1"/>
  <c r="L44" i="21" s="1"/>
  <c r="BS33" i="21"/>
  <c r="BU33" i="21" s="1"/>
  <c r="BW33" i="21" s="1"/>
  <c r="BJ33" i="21"/>
  <c r="BL33" i="21" s="1"/>
  <c r="BN33" i="21" s="1"/>
  <c r="BA33" i="21"/>
  <c r="BD33" i="21" s="1"/>
  <c r="AR33" i="21"/>
  <c r="AT33" i="21" s="1"/>
  <c r="AV33" i="21" s="1"/>
  <c r="AI33" i="21"/>
  <c r="AK33" i="21" s="1"/>
  <c r="AM33" i="21" s="1"/>
  <c r="Z33" i="21"/>
  <c r="AB33" i="21" s="1"/>
  <c r="AD33" i="21" s="1"/>
  <c r="Q33" i="21"/>
  <c r="S33" i="21" s="1"/>
  <c r="U33" i="21" s="1"/>
  <c r="H33" i="21"/>
  <c r="J33" i="21" s="1"/>
  <c r="L33" i="21" s="1"/>
  <c r="BS30" i="21"/>
  <c r="BV30" i="21" s="1"/>
  <c r="BJ30" i="21"/>
  <c r="BM30" i="21" s="1"/>
  <c r="BA30" i="21"/>
  <c r="BD30" i="21" s="1"/>
  <c r="AR30" i="21"/>
  <c r="AI30" i="21"/>
  <c r="AL30" i="21" s="1"/>
  <c r="Z30" i="21"/>
  <c r="AB30" i="21" s="1"/>
  <c r="AD30" i="21" s="1"/>
  <c r="Q30" i="21"/>
  <c r="T30" i="21" s="1"/>
  <c r="H30" i="21"/>
  <c r="J30" i="21" s="1"/>
  <c r="L30" i="21" s="1"/>
  <c r="BS56" i="21"/>
  <c r="BJ56" i="21"/>
  <c r="BM56" i="21" s="1"/>
  <c r="BA56" i="21"/>
  <c r="BC56" i="21" s="1"/>
  <c r="BE56" i="21" s="1"/>
  <c r="AR56" i="21"/>
  <c r="AI56" i="21"/>
  <c r="AL56" i="21" s="1"/>
  <c r="Z56" i="21"/>
  <c r="AC56" i="21" s="1"/>
  <c r="Q56" i="21"/>
  <c r="S56" i="21" s="1"/>
  <c r="U56" i="21" s="1"/>
  <c r="H56" i="21"/>
  <c r="K56" i="21" s="1"/>
  <c r="BS67" i="21"/>
  <c r="BU67" i="21" s="1"/>
  <c r="BW67" i="21" s="1"/>
  <c r="BJ67" i="21"/>
  <c r="BL67" i="21" s="1"/>
  <c r="BN67" i="21" s="1"/>
  <c r="BA67" i="21"/>
  <c r="AR67" i="21"/>
  <c r="AU67" i="21" s="1"/>
  <c r="AI67" i="21"/>
  <c r="AL67" i="21" s="1"/>
  <c r="Z67" i="21"/>
  <c r="AC67" i="21" s="1"/>
  <c r="Q67" i="21"/>
  <c r="T67" i="21" s="1"/>
  <c r="H67" i="21"/>
  <c r="K67" i="21" s="1"/>
  <c r="BS13" i="21"/>
  <c r="BJ13" i="21"/>
  <c r="BM13" i="21" s="1"/>
  <c r="BA13" i="21"/>
  <c r="BD13" i="21" s="1"/>
  <c r="AR13" i="21"/>
  <c r="AU13" i="21" s="1"/>
  <c r="AI13" i="21"/>
  <c r="AL13" i="21" s="1"/>
  <c r="Z13" i="21"/>
  <c r="AB13" i="21" s="1"/>
  <c r="AD13" i="21" s="1"/>
  <c r="Q13" i="21"/>
  <c r="H13" i="21"/>
  <c r="J13" i="21" s="1"/>
  <c r="L13" i="21" s="1"/>
  <c r="BS18" i="21"/>
  <c r="BJ18" i="21"/>
  <c r="BM18" i="21" s="1"/>
  <c r="BA18" i="21"/>
  <c r="BD18" i="21" s="1"/>
  <c r="AR18" i="21"/>
  <c r="AI18" i="21"/>
  <c r="AK18" i="21" s="1"/>
  <c r="AM18" i="21" s="1"/>
  <c r="Z18" i="21"/>
  <c r="Q18" i="21"/>
  <c r="T18" i="21" s="1"/>
  <c r="H18" i="21"/>
  <c r="BS25" i="21"/>
  <c r="BU25" i="21" s="1"/>
  <c r="BW25" i="21" s="1"/>
  <c r="BJ25" i="21"/>
  <c r="BM25" i="21" s="1"/>
  <c r="BA25" i="21"/>
  <c r="AR25" i="21"/>
  <c r="AU25" i="21" s="1"/>
  <c r="AI25" i="21"/>
  <c r="AL25" i="21" s="1"/>
  <c r="Z25" i="21"/>
  <c r="AC25" i="21" s="1"/>
  <c r="Q25" i="21"/>
  <c r="S25" i="21" s="1"/>
  <c r="U25" i="21" s="1"/>
  <c r="H25" i="21"/>
  <c r="J25" i="21" s="1"/>
  <c r="L25" i="21" s="1"/>
  <c r="BS64" i="21"/>
  <c r="BU64" i="21" s="1"/>
  <c r="BW64" i="21" s="1"/>
  <c r="BJ64" i="21"/>
  <c r="BM64" i="21" s="1"/>
  <c r="BA64" i="21"/>
  <c r="AR64" i="21"/>
  <c r="AU64" i="21" s="1"/>
  <c r="AI64" i="21"/>
  <c r="AL64" i="21" s="1"/>
  <c r="Z64" i="21"/>
  <c r="AB64" i="21" s="1"/>
  <c r="AD64" i="21" s="1"/>
  <c r="Q64" i="21"/>
  <c r="H64" i="21"/>
  <c r="K64" i="21" s="1"/>
  <c r="BS12" i="21"/>
  <c r="BJ12" i="21"/>
  <c r="BM12" i="21" s="1"/>
  <c r="BA12" i="21"/>
  <c r="BC12" i="21" s="1"/>
  <c r="BE12" i="21" s="1"/>
  <c r="AR12" i="21"/>
  <c r="AT12" i="21" s="1"/>
  <c r="AV12" i="21" s="1"/>
  <c r="AI12" i="21"/>
  <c r="AL12" i="21" s="1"/>
  <c r="Z12" i="21"/>
  <c r="AB12" i="21" s="1"/>
  <c r="AD12" i="21" s="1"/>
  <c r="Q12" i="21"/>
  <c r="T12" i="21" s="1"/>
  <c r="H12" i="21"/>
  <c r="K12" i="21" s="1"/>
  <c r="BS60" i="21"/>
  <c r="BJ60" i="21"/>
  <c r="BL60" i="21" s="1"/>
  <c r="BN60" i="21" s="1"/>
  <c r="BA60" i="21"/>
  <c r="BD60" i="21" s="1"/>
  <c r="AR60" i="21"/>
  <c r="AU60" i="21" s="1"/>
  <c r="AI60" i="21"/>
  <c r="AK60" i="21" s="1"/>
  <c r="AM60" i="21" s="1"/>
  <c r="Z60" i="21"/>
  <c r="AB60" i="21" s="1"/>
  <c r="AD60" i="21" s="1"/>
  <c r="Q60" i="21"/>
  <c r="T60" i="21" s="1"/>
  <c r="H60" i="21"/>
  <c r="K60" i="21" s="1"/>
  <c r="BS65" i="21"/>
  <c r="BU65" i="21" s="1"/>
  <c r="BW65" i="21" s="1"/>
  <c r="BJ65" i="21"/>
  <c r="BL65" i="21" s="1"/>
  <c r="BN65" i="21" s="1"/>
  <c r="BA65" i="21"/>
  <c r="BD65" i="21" s="1"/>
  <c r="AR65" i="21"/>
  <c r="AU65" i="21" s="1"/>
  <c r="AI65" i="21"/>
  <c r="AL65" i="21" s="1"/>
  <c r="Z65" i="21"/>
  <c r="AC65" i="21" s="1"/>
  <c r="Q65" i="21"/>
  <c r="T65" i="21" s="1"/>
  <c r="H65" i="21"/>
  <c r="J65" i="21" s="1"/>
  <c r="L65" i="21" s="1"/>
  <c r="BS37" i="21"/>
  <c r="BV37" i="21" s="1"/>
  <c r="BJ37" i="21"/>
  <c r="BM37" i="21" s="1"/>
  <c r="BA37" i="21"/>
  <c r="BD37" i="21" s="1"/>
  <c r="AR37" i="21"/>
  <c r="AU37" i="21" s="1"/>
  <c r="AI37" i="21"/>
  <c r="AK37" i="21" s="1"/>
  <c r="AM37" i="21" s="1"/>
  <c r="Z37" i="21"/>
  <c r="AB37" i="21" s="1"/>
  <c r="AD37" i="21" s="1"/>
  <c r="Q37" i="21"/>
  <c r="S37" i="21" s="1"/>
  <c r="U37" i="21" s="1"/>
  <c r="H37" i="21"/>
  <c r="J37" i="21" s="1"/>
  <c r="L37" i="21" s="1"/>
  <c r="BS31" i="21"/>
  <c r="BU31" i="21" s="1"/>
  <c r="BW31" i="21" s="1"/>
  <c r="BJ31" i="21"/>
  <c r="BM31" i="21" s="1"/>
  <c r="BA31" i="21"/>
  <c r="BD31" i="21" s="1"/>
  <c r="AR31" i="21"/>
  <c r="AI31" i="21"/>
  <c r="Z31" i="21"/>
  <c r="AC31" i="21" s="1"/>
  <c r="Q31" i="21"/>
  <c r="T31" i="21" s="1"/>
  <c r="H31" i="21"/>
  <c r="J31" i="21" s="1"/>
  <c r="L31" i="21" s="1"/>
  <c r="BS58" i="21"/>
  <c r="BV58" i="21" s="1"/>
  <c r="BJ58" i="21"/>
  <c r="BA58" i="21"/>
  <c r="BD58" i="21" s="1"/>
  <c r="AR58" i="21"/>
  <c r="AI58" i="21"/>
  <c r="AL58" i="21" s="1"/>
  <c r="Z58" i="21"/>
  <c r="AB58" i="21" s="1"/>
  <c r="AD58" i="21" s="1"/>
  <c r="Q58" i="21"/>
  <c r="H58" i="21"/>
  <c r="BS68" i="21"/>
  <c r="BV68" i="21" s="1"/>
  <c r="BJ68" i="21"/>
  <c r="BA68" i="21"/>
  <c r="AR68" i="21"/>
  <c r="AT68" i="21" s="1"/>
  <c r="AV68" i="21" s="1"/>
  <c r="AI68" i="21"/>
  <c r="AK68" i="21" s="1"/>
  <c r="AM68" i="21" s="1"/>
  <c r="AC68" i="21"/>
  <c r="Z68" i="21"/>
  <c r="AB68" i="21" s="1"/>
  <c r="AD68" i="21" s="1"/>
  <c r="Q68" i="21"/>
  <c r="T68" i="21" s="1"/>
  <c r="H68" i="21"/>
  <c r="J68" i="21" s="1"/>
  <c r="L68" i="21" s="1"/>
  <c r="BS35" i="21"/>
  <c r="BV35" i="21" s="1"/>
  <c r="BJ35" i="21"/>
  <c r="BM35" i="21" s="1"/>
  <c r="BA35" i="21"/>
  <c r="AR35" i="21"/>
  <c r="AT35" i="21" s="1"/>
  <c r="AV35" i="21" s="1"/>
  <c r="AI35" i="21"/>
  <c r="Z35" i="21"/>
  <c r="AC35" i="21" s="1"/>
  <c r="Q35" i="21"/>
  <c r="S35" i="21" s="1"/>
  <c r="U35" i="21" s="1"/>
  <c r="H35" i="21"/>
  <c r="J35" i="21" s="1"/>
  <c r="L35" i="21" s="1"/>
  <c r="BS54" i="21"/>
  <c r="BJ54" i="21"/>
  <c r="BM54" i="21" s="1"/>
  <c r="BA54" i="21"/>
  <c r="BC54" i="21" s="1"/>
  <c r="BE54" i="21" s="1"/>
  <c r="AR54" i="21"/>
  <c r="AU54" i="21" s="1"/>
  <c r="AI54" i="21"/>
  <c r="AL54" i="21" s="1"/>
  <c r="Z54" i="21"/>
  <c r="AB54" i="21" s="1"/>
  <c r="AD54" i="21" s="1"/>
  <c r="Q54" i="21"/>
  <c r="S54" i="21" s="1"/>
  <c r="U54" i="21" s="1"/>
  <c r="H54" i="21"/>
  <c r="BS62" i="21"/>
  <c r="BJ62" i="21"/>
  <c r="BL62" i="21" s="1"/>
  <c r="BN62" i="21" s="1"/>
  <c r="BA62" i="21"/>
  <c r="BC62" i="21" s="1"/>
  <c r="BE62" i="21" s="1"/>
  <c r="AR62" i="21"/>
  <c r="AU62" i="21" s="1"/>
  <c r="AI62" i="21"/>
  <c r="Z62" i="21"/>
  <c r="AC62" i="21" s="1"/>
  <c r="Q62" i="21"/>
  <c r="T62" i="21" s="1"/>
  <c r="H62" i="21"/>
  <c r="K62" i="21" s="1"/>
  <c r="BS27" i="21"/>
  <c r="BJ27" i="21"/>
  <c r="BM27" i="21" s="1"/>
  <c r="BA27" i="21"/>
  <c r="BD27" i="21" s="1"/>
  <c r="AR27" i="21"/>
  <c r="AU27" i="21" s="1"/>
  <c r="AI27" i="21"/>
  <c r="AL27" i="21" s="1"/>
  <c r="Z27" i="21"/>
  <c r="AB27" i="21" s="1"/>
  <c r="AD27" i="21" s="1"/>
  <c r="Q27" i="21"/>
  <c r="T27" i="21" s="1"/>
  <c r="H27" i="21"/>
  <c r="J27" i="21" s="1"/>
  <c r="L27" i="21" s="1"/>
  <c r="BS15" i="21"/>
  <c r="BU15" i="21" s="1"/>
  <c r="BW15" i="21" s="1"/>
  <c r="BJ15" i="21"/>
  <c r="BM15" i="21" s="1"/>
  <c r="BA15" i="21"/>
  <c r="AR15" i="21"/>
  <c r="AU15" i="21" s="1"/>
  <c r="AI15" i="21"/>
  <c r="AK15" i="21" s="1"/>
  <c r="AM15" i="21" s="1"/>
  <c r="Z15" i="21"/>
  <c r="AB15" i="21" s="1"/>
  <c r="AD15" i="21" s="1"/>
  <c r="Q15" i="21"/>
  <c r="H15" i="21"/>
  <c r="J15" i="21" s="1"/>
  <c r="L15" i="21" s="1"/>
  <c r="BS34" i="21"/>
  <c r="BU34" i="21" s="1"/>
  <c r="BW34" i="21" s="1"/>
  <c r="BJ34" i="21"/>
  <c r="BA34" i="21"/>
  <c r="BC34" i="21" s="1"/>
  <c r="BE34" i="21" s="1"/>
  <c r="AR34" i="21"/>
  <c r="AT34" i="21" s="1"/>
  <c r="AV34" i="21" s="1"/>
  <c r="AI34" i="21"/>
  <c r="Z34" i="21"/>
  <c r="AB34" i="21" s="1"/>
  <c r="AD34" i="21" s="1"/>
  <c r="Q34" i="21"/>
  <c r="T34" i="21" s="1"/>
  <c r="H34" i="21"/>
  <c r="J34" i="21" s="1"/>
  <c r="L34" i="21" s="1"/>
  <c r="BS41" i="21"/>
  <c r="BV41" i="21" s="1"/>
  <c r="BJ41" i="21"/>
  <c r="BL41" i="21" s="1"/>
  <c r="BN41" i="21" s="1"/>
  <c r="BA41" i="21"/>
  <c r="BC41" i="21" s="1"/>
  <c r="BE41" i="21" s="1"/>
  <c r="AR41" i="21"/>
  <c r="AU41" i="21" s="1"/>
  <c r="AI41" i="21"/>
  <c r="Z41" i="21"/>
  <c r="AC41" i="21" s="1"/>
  <c r="Q41" i="21"/>
  <c r="S41" i="21" s="1"/>
  <c r="U41" i="21" s="1"/>
  <c r="H41" i="21"/>
  <c r="J41" i="21" s="1"/>
  <c r="L41" i="21" s="1"/>
  <c r="BS17" i="21"/>
  <c r="BJ17" i="21"/>
  <c r="BM17" i="21" s="1"/>
  <c r="BA17" i="21"/>
  <c r="BC17" i="21" s="1"/>
  <c r="BE17" i="21" s="1"/>
  <c r="AR17" i="21"/>
  <c r="AI17" i="21"/>
  <c r="AK17" i="21" s="1"/>
  <c r="AM17" i="21" s="1"/>
  <c r="Z17" i="21"/>
  <c r="AC17" i="21" s="1"/>
  <c r="Q17" i="21"/>
  <c r="S17" i="21" s="1"/>
  <c r="U17" i="21" s="1"/>
  <c r="H17" i="21"/>
  <c r="BS51" i="21"/>
  <c r="BJ51" i="21"/>
  <c r="BL51" i="21" s="1"/>
  <c r="BN51" i="21" s="1"/>
  <c r="BA51" i="21"/>
  <c r="BD51" i="21" s="1"/>
  <c r="AR51" i="21"/>
  <c r="AT51" i="21" s="1"/>
  <c r="AV51" i="21" s="1"/>
  <c r="AI51" i="21"/>
  <c r="AL51" i="21" s="1"/>
  <c r="Z51" i="21"/>
  <c r="AC51" i="21" s="1"/>
  <c r="Q51" i="21"/>
  <c r="S51" i="21" s="1"/>
  <c r="U51" i="21" s="1"/>
  <c r="H51" i="21"/>
  <c r="J51" i="21" s="1"/>
  <c r="L51" i="21" s="1"/>
  <c r="BS36" i="21"/>
  <c r="BV36" i="21" s="1"/>
  <c r="BJ36" i="21"/>
  <c r="BM36" i="21" s="1"/>
  <c r="BA36" i="21"/>
  <c r="BC36" i="21" s="1"/>
  <c r="BE36" i="21" s="1"/>
  <c r="AR36" i="21"/>
  <c r="AT36" i="21" s="1"/>
  <c r="AV36" i="21" s="1"/>
  <c r="AI36" i="21"/>
  <c r="AL36" i="21" s="1"/>
  <c r="Z36" i="21"/>
  <c r="AC36" i="21" s="1"/>
  <c r="Q36" i="21"/>
  <c r="T36" i="21" s="1"/>
  <c r="H36" i="21"/>
  <c r="BS46" i="21"/>
  <c r="BJ46" i="21"/>
  <c r="BL46" i="21" s="1"/>
  <c r="BN46" i="21" s="1"/>
  <c r="BA46" i="21"/>
  <c r="AR46" i="21"/>
  <c r="AT46" i="21" s="1"/>
  <c r="AV46" i="21" s="1"/>
  <c r="AI46" i="21"/>
  <c r="AL46" i="21" s="1"/>
  <c r="Z46" i="21"/>
  <c r="AC46" i="21" s="1"/>
  <c r="Q46" i="21"/>
  <c r="S46" i="21" s="1"/>
  <c r="U46" i="21" s="1"/>
  <c r="H46" i="21"/>
  <c r="K46" i="21" s="1"/>
  <c r="BS26" i="21"/>
  <c r="BJ26" i="21"/>
  <c r="BL26" i="21" s="1"/>
  <c r="BN26" i="21" s="1"/>
  <c r="BA26" i="21"/>
  <c r="BC26" i="21" s="1"/>
  <c r="BE26" i="21" s="1"/>
  <c r="AR26" i="21"/>
  <c r="AU26" i="21" s="1"/>
  <c r="AI26" i="21"/>
  <c r="Z26" i="21"/>
  <c r="AC26" i="21" s="1"/>
  <c r="Q26" i="21"/>
  <c r="T26" i="21" s="1"/>
  <c r="H26" i="21"/>
  <c r="K26" i="21" s="1"/>
  <c r="BS53" i="21"/>
  <c r="BV53" i="21" s="1"/>
  <c r="BJ53" i="21"/>
  <c r="BL53" i="21" s="1"/>
  <c r="BN53" i="21" s="1"/>
  <c r="BA53" i="21"/>
  <c r="BD53" i="21" s="1"/>
  <c r="AR53" i="21"/>
  <c r="AT53" i="21" s="1"/>
  <c r="AV53" i="21" s="1"/>
  <c r="AI53" i="21"/>
  <c r="Z53" i="21"/>
  <c r="AB53" i="21" s="1"/>
  <c r="AD53" i="21" s="1"/>
  <c r="Q53" i="21"/>
  <c r="T53" i="21" s="1"/>
  <c r="H53" i="21"/>
  <c r="K53" i="21" s="1"/>
  <c r="BS9" i="21"/>
  <c r="BJ9" i="21"/>
  <c r="BL9" i="21" s="1"/>
  <c r="BN9" i="21" s="1"/>
  <c r="BA9" i="21"/>
  <c r="BC9" i="21" s="1"/>
  <c r="BE9" i="21" s="1"/>
  <c r="AR9" i="21"/>
  <c r="AU9" i="21" s="1"/>
  <c r="AI9" i="21"/>
  <c r="Z9" i="21"/>
  <c r="AC9" i="21" s="1"/>
  <c r="Q9" i="21"/>
  <c r="T9" i="21" s="1"/>
  <c r="H9" i="21"/>
  <c r="J9" i="21" s="1"/>
  <c r="L9" i="21" s="1"/>
  <c r="BS43" i="21"/>
  <c r="BV43" i="21" s="1"/>
  <c r="BJ43" i="21"/>
  <c r="BL43" i="21" s="1"/>
  <c r="BN43" i="21" s="1"/>
  <c r="BA43" i="21"/>
  <c r="BD43" i="21" s="1"/>
  <c r="AR43" i="21"/>
  <c r="AU43" i="21" s="1"/>
  <c r="AI43" i="21"/>
  <c r="Z43" i="21"/>
  <c r="AB43" i="21" s="1"/>
  <c r="AD43" i="21" s="1"/>
  <c r="Q43" i="21"/>
  <c r="T43" i="21" s="1"/>
  <c r="H43" i="21"/>
  <c r="K43" i="21" s="1"/>
  <c r="BS14" i="21"/>
  <c r="BU14" i="21" s="1"/>
  <c r="BW14" i="21" s="1"/>
  <c r="BJ14" i="21"/>
  <c r="BA14" i="21"/>
  <c r="AR14" i="21"/>
  <c r="AU14" i="21" s="1"/>
  <c r="AI14" i="21"/>
  <c r="AL14" i="21" s="1"/>
  <c r="Z14" i="21"/>
  <c r="AB14" i="21" s="1"/>
  <c r="AD14" i="21" s="1"/>
  <c r="Q14" i="21"/>
  <c r="T14" i="21" s="1"/>
  <c r="H14" i="21"/>
  <c r="K14" i="21" s="1"/>
  <c r="BS63" i="21"/>
  <c r="BJ63" i="21"/>
  <c r="BL63" i="21" s="1"/>
  <c r="BN63" i="21" s="1"/>
  <c r="BA63" i="21"/>
  <c r="BD63" i="21" s="1"/>
  <c r="AR63" i="21"/>
  <c r="AU63" i="21" s="1"/>
  <c r="AI63" i="21"/>
  <c r="AK63" i="21" s="1"/>
  <c r="AM63" i="21" s="1"/>
  <c r="Z63" i="21"/>
  <c r="AC63" i="21" s="1"/>
  <c r="Q63" i="21"/>
  <c r="T63" i="21" s="1"/>
  <c r="H63" i="21"/>
  <c r="BS47" i="21"/>
  <c r="BU47" i="21" s="1"/>
  <c r="BW47" i="21" s="1"/>
  <c r="BJ47" i="21"/>
  <c r="BM47" i="21" s="1"/>
  <c r="BA47" i="21"/>
  <c r="BD47" i="21" s="1"/>
  <c r="AR47" i="21"/>
  <c r="AI47" i="21"/>
  <c r="AL47" i="21" s="1"/>
  <c r="Z47" i="21"/>
  <c r="AC47" i="21" s="1"/>
  <c r="Q47" i="21"/>
  <c r="S47" i="21" s="1"/>
  <c r="U47" i="21" s="1"/>
  <c r="H47" i="21"/>
  <c r="J47" i="21" s="1"/>
  <c r="L47" i="21" s="1"/>
  <c r="BS66" i="21"/>
  <c r="BJ66" i="21"/>
  <c r="BL66" i="21" s="1"/>
  <c r="BN66" i="21" s="1"/>
  <c r="BA66" i="21"/>
  <c r="BD66" i="21" s="1"/>
  <c r="AR66" i="21"/>
  <c r="AU66" i="21" s="1"/>
  <c r="AI66" i="21"/>
  <c r="AK66" i="21" s="1"/>
  <c r="AM66" i="21" s="1"/>
  <c r="Z66" i="21"/>
  <c r="AB66" i="21" s="1"/>
  <c r="AD66" i="21" s="1"/>
  <c r="Q66" i="21"/>
  <c r="T66" i="21" s="1"/>
  <c r="H66" i="21"/>
  <c r="K66" i="21" s="1"/>
  <c r="BS39" i="21"/>
  <c r="BJ39" i="21"/>
  <c r="BM39" i="21" s="1"/>
  <c r="BA39" i="21"/>
  <c r="BD39" i="21" s="1"/>
  <c r="AR39" i="21"/>
  <c r="AT39" i="21" s="1"/>
  <c r="AV39" i="21" s="1"/>
  <c r="AI39" i="21"/>
  <c r="Z39" i="21"/>
  <c r="AC39" i="21" s="1"/>
  <c r="Q39" i="21"/>
  <c r="T39" i="21" s="1"/>
  <c r="H39" i="21"/>
  <c r="J39" i="21" s="1"/>
  <c r="L39" i="21" s="1"/>
  <c r="BS11" i="21"/>
  <c r="BU11" i="21" s="1"/>
  <c r="BW11" i="21" s="1"/>
  <c r="BJ11" i="21"/>
  <c r="BM11" i="21" s="1"/>
  <c r="BA11" i="21"/>
  <c r="BD11" i="21" s="1"/>
  <c r="AR11" i="21"/>
  <c r="AU11" i="21" s="1"/>
  <c r="AI11" i="21"/>
  <c r="AK11" i="21" s="1"/>
  <c r="AM11" i="21" s="1"/>
  <c r="Z11" i="21"/>
  <c r="AC11" i="21" s="1"/>
  <c r="Q11" i="21"/>
  <c r="S11" i="21" s="1"/>
  <c r="U11" i="21" s="1"/>
  <c r="H11" i="21"/>
  <c r="BS52" i="21"/>
  <c r="BU52" i="21" s="1"/>
  <c r="BW52" i="21" s="1"/>
  <c r="BJ52" i="21"/>
  <c r="BA52" i="21"/>
  <c r="BC52" i="21" s="1"/>
  <c r="BE52" i="21" s="1"/>
  <c r="AR52" i="21"/>
  <c r="AT52" i="21" s="1"/>
  <c r="AV52" i="21" s="1"/>
  <c r="AI52" i="21"/>
  <c r="AL52" i="21" s="1"/>
  <c r="Z52" i="21"/>
  <c r="AC52" i="21" s="1"/>
  <c r="Q52" i="21"/>
  <c r="T52" i="21" s="1"/>
  <c r="H52" i="21"/>
  <c r="J52" i="21" s="1"/>
  <c r="L52" i="21" s="1"/>
  <c r="BS21" i="21"/>
  <c r="BJ21" i="21"/>
  <c r="BM21" i="21" s="1"/>
  <c r="BA21" i="21"/>
  <c r="BC21" i="21" s="1"/>
  <c r="BE21" i="21" s="1"/>
  <c r="AR21" i="21"/>
  <c r="AI21" i="21"/>
  <c r="AL21" i="21" s="1"/>
  <c r="Z21" i="21"/>
  <c r="AC21" i="21" s="1"/>
  <c r="Q21" i="21"/>
  <c r="S21" i="21" s="1"/>
  <c r="U21" i="21" s="1"/>
  <c r="H21" i="21"/>
  <c r="J21" i="21" s="1"/>
  <c r="L21" i="21" s="1"/>
  <c r="BS8" i="21"/>
  <c r="BJ8" i="21"/>
  <c r="BM8" i="21" s="1"/>
  <c r="BA8" i="21"/>
  <c r="BD8" i="21" s="1"/>
  <c r="AR8" i="21"/>
  <c r="AU8" i="21" s="1"/>
  <c r="AI8" i="21"/>
  <c r="AL8" i="21" s="1"/>
  <c r="Z8" i="21"/>
  <c r="Q8" i="21"/>
  <c r="S8" i="21" s="1"/>
  <c r="U8" i="21" s="1"/>
  <c r="H8" i="21"/>
  <c r="K8" i="21" s="1"/>
  <c r="BS42" i="21"/>
  <c r="BJ42" i="21"/>
  <c r="BL42" i="21" s="1"/>
  <c r="BN42" i="21" s="1"/>
  <c r="BA42" i="21"/>
  <c r="BD42" i="21" s="1"/>
  <c r="AR42" i="21"/>
  <c r="AU42" i="21" s="1"/>
  <c r="AI42" i="21"/>
  <c r="Z42" i="21"/>
  <c r="AB42" i="21" s="1"/>
  <c r="AD42" i="21" s="1"/>
  <c r="Q42" i="21"/>
  <c r="S42" i="21" s="1"/>
  <c r="U42" i="21" s="1"/>
  <c r="H42" i="21"/>
  <c r="K42" i="21" s="1"/>
  <c r="BS59" i="21"/>
  <c r="BU59" i="21" s="1"/>
  <c r="BW59" i="21" s="1"/>
  <c r="BJ59" i="21"/>
  <c r="BA59" i="21"/>
  <c r="BC59" i="21" s="1"/>
  <c r="BE59" i="21" s="1"/>
  <c r="AR59" i="21"/>
  <c r="AI59" i="21"/>
  <c r="AK59" i="21" s="1"/>
  <c r="AM59" i="21" s="1"/>
  <c r="Z59" i="21"/>
  <c r="AB59" i="21" s="1"/>
  <c r="AD59" i="21" s="1"/>
  <c r="Q59" i="21"/>
  <c r="S59" i="21" s="1"/>
  <c r="U59" i="21" s="1"/>
  <c r="H59" i="21"/>
  <c r="K59" i="21" s="1"/>
  <c r="BS57" i="21"/>
  <c r="BV57" i="21" s="1"/>
  <c r="BJ57" i="21"/>
  <c r="BL57" i="21" s="1"/>
  <c r="BN57" i="21" s="1"/>
  <c r="BA57" i="21"/>
  <c r="BC57" i="21" s="1"/>
  <c r="BE57" i="21" s="1"/>
  <c r="AR57" i="21"/>
  <c r="AT57" i="21" s="1"/>
  <c r="AV57" i="21" s="1"/>
  <c r="AI57" i="21"/>
  <c r="AL57" i="21" s="1"/>
  <c r="Z57" i="21"/>
  <c r="AC57" i="21" s="1"/>
  <c r="Q57" i="21"/>
  <c r="T57" i="21" s="1"/>
  <c r="H57" i="21"/>
  <c r="J57" i="21" s="1"/>
  <c r="L57" i="21" s="1"/>
  <c r="BS61" i="21"/>
  <c r="BV61" i="21" s="1"/>
  <c r="BJ61" i="21"/>
  <c r="BA61" i="21"/>
  <c r="BD61" i="21" s="1"/>
  <c r="AR61" i="21"/>
  <c r="AT61" i="21" s="1"/>
  <c r="AV61" i="21" s="1"/>
  <c r="AI61" i="21"/>
  <c r="AK61" i="21" s="1"/>
  <c r="AM61" i="21" s="1"/>
  <c r="Z61" i="21"/>
  <c r="AC61" i="21" s="1"/>
  <c r="Q61" i="21"/>
  <c r="T61" i="21" s="1"/>
  <c r="H61" i="21"/>
  <c r="K61" i="21" s="1"/>
  <c r="BS24" i="21"/>
  <c r="BU24" i="21" s="1"/>
  <c r="BW24" i="21" s="1"/>
  <c r="BJ24" i="21"/>
  <c r="BM24" i="21" s="1"/>
  <c r="BA24" i="21"/>
  <c r="AR24" i="21"/>
  <c r="AU24" i="21" s="1"/>
  <c r="AI24" i="21"/>
  <c r="AK24" i="21" s="1"/>
  <c r="AM24" i="21" s="1"/>
  <c r="Z24" i="21"/>
  <c r="AB24" i="21" s="1"/>
  <c r="AD24" i="21" s="1"/>
  <c r="Q24" i="21"/>
  <c r="T24" i="21" s="1"/>
  <c r="H24" i="21"/>
  <c r="K24" i="21" s="1"/>
  <c r="BS49" i="21"/>
  <c r="BJ49" i="21"/>
  <c r="BL49" i="21" s="1"/>
  <c r="BN49" i="21" s="1"/>
  <c r="BA49" i="21"/>
  <c r="BC49" i="21" s="1"/>
  <c r="BE49" i="21" s="1"/>
  <c r="AR49" i="21"/>
  <c r="AU49" i="21" s="1"/>
  <c r="AI49" i="21"/>
  <c r="AK49" i="21" s="1"/>
  <c r="AM49" i="21" s="1"/>
  <c r="Z49" i="21"/>
  <c r="AC49" i="21" s="1"/>
  <c r="Q49" i="21"/>
  <c r="S49" i="21" s="1"/>
  <c r="U49" i="21" s="1"/>
  <c r="H49" i="21"/>
  <c r="J49" i="21" s="1"/>
  <c r="L49" i="21" s="1"/>
  <c r="BS70" i="21"/>
  <c r="BU70" i="21" s="1"/>
  <c r="BW70" i="21" s="1"/>
  <c r="BJ70" i="21"/>
  <c r="BM70" i="21" s="1"/>
  <c r="BA70" i="21"/>
  <c r="BD70" i="21" s="1"/>
  <c r="AU70" i="21"/>
  <c r="AT70" i="21"/>
  <c r="AV70" i="21" s="1"/>
  <c r="AR70" i="21"/>
  <c r="AI70" i="21"/>
  <c r="AL70" i="21" s="1"/>
  <c r="Z70" i="21"/>
  <c r="AB70" i="21" s="1"/>
  <c r="AD70" i="21" s="1"/>
  <c r="T70" i="21"/>
  <c r="S70" i="21"/>
  <c r="U70" i="21" s="1"/>
  <c r="Q70" i="21"/>
  <c r="K70" i="21"/>
  <c r="J70" i="21"/>
  <c r="L70" i="21" s="1"/>
  <c r="H70" i="21"/>
  <c r="BS38" i="21"/>
  <c r="BJ38" i="21"/>
  <c r="BM38" i="21" s="1"/>
  <c r="BA38" i="21"/>
  <c r="AR38" i="21"/>
  <c r="AU38" i="21" s="1"/>
  <c r="AI38" i="21"/>
  <c r="AL38" i="21" s="1"/>
  <c r="Z38" i="21"/>
  <c r="Q38" i="21"/>
  <c r="T38" i="21" s="1"/>
  <c r="H38" i="21"/>
  <c r="J38" i="21" s="1"/>
  <c r="L38" i="21" s="1"/>
  <c r="BS22" i="21"/>
  <c r="BJ22" i="21"/>
  <c r="BA22" i="21"/>
  <c r="BD22" i="21" s="1"/>
  <c r="AR22" i="21"/>
  <c r="AT22" i="21" s="1"/>
  <c r="AV22" i="21" s="1"/>
  <c r="AI22" i="21"/>
  <c r="AL22" i="21" s="1"/>
  <c r="Z22" i="21"/>
  <c r="AC22" i="21" s="1"/>
  <c r="Q22" i="21"/>
  <c r="H22" i="21"/>
  <c r="J22" i="21" s="1"/>
  <c r="L22" i="21" s="1"/>
  <c r="BS32" i="21"/>
  <c r="BJ32" i="21"/>
  <c r="BM32" i="21" s="1"/>
  <c r="BA32" i="21"/>
  <c r="BC32" i="21" s="1"/>
  <c r="BE32" i="21" s="1"/>
  <c r="AR32" i="21"/>
  <c r="AI32" i="21"/>
  <c r="AL32" i="21" s="1"/>
  <c r="Z32" i="21"/>
  <c r="AC32" i="21" s="1"/>
  <c r="Q32" i="21"/>
  <c r="T32" i="21" s="1"/>
  <c r="H32" i="21"/>
  <c r="BS69" i="21"/>
  <c r="BU69" i="21" s="1"/>
  <c r="BW69" i="21" s="1"/>
  <c r="BJ69" i="21"/>
  <c r="BM69" i="21" s="1"/>
  <c r="BA69" i="21"/>
  <c r="BC69" i="21" s="1"/>
  <c r="BE69" i="21" s="1"/>
  <c r="AR69" i="21"/>
  <c r="AI69" i="21"/>
  <c r="AK69" i="21" s="1"/>
  <c r="AM69" i="21" s="1"/>
  <c r="Z69" i="21"/>
  <c r="AC69" i="21" s="1"/>
  <c r="Q69" i="21"/>
  <c r="S69" i="21" s="1"/>
  <c r="U69" i="21" s="1"/>
  <c r="K69" i="21"/>
  <c r="J69" i="21"/>
  <c r="L69" i="21" s="1"/>
  <c r="H69" i="21"/>
  <c r="BS23" i="21"/>
  <c r="BU23" i="21" s="1"/>
  <c r="BW23" i="21" s="1"/>
  <c r="BJ23" i="21"/>
  <c r="BA23" i="21"/>
  <c r="BC23" i="21" s="1"/>
  <c r="BE23" i="21" s="1"/>
  <c r="AR23" i="21"/>
  <c r="AU23" i="21" s="1"/>
  <c r="AI23" i="21"/>
  <c r="Z23" i="21"/>
  <c r="AC23" i="21" s="1"/>
  <c r="Q23" i="21"/>
  <c r="S23" i="21" s="1"/>
  <c r="U23" i="21" s="1"/>
  <c r="H23" i="21"/>
  <c r="K23" i="21" s="1"/>
  <c r="BS29" i="21"/>
  <c r="BU29" i="21" s="1"/>
  <c r="BW29" i="21" s="1"/>
  <c r="BJ29" i="21"/>
  <c r="BM29" i="21" s="1"/>
  <c r="BA29" i="21"/>
  <c r="BD29" i="21" s="1"/>
  <c r="AR29" i="21"/>
  <c r="AU29" i="21" s="1"/>
  <c r="AI29" i="21"/>
  <c r="Z29" i="21"/>
  <c r="AC29" i="21" s="1"/>
  <c r="Q29" i="21"/>
  <c r="H29" i="21"/>
  <c r="BS50" i="21"/>
  <c r="BJ50" i="21"/>
  <c r="BM50" i="21" s="1"/>
  <c r="BA50" i="21"/>
  <c r="BD50" i="21" s="1"/>
  <c r="AR50" i="21"/>
  <c r="AI50" i="21"/>
  <c r="AK50" i="21" s="1"/>
  <c r="AM50" i="21" s="1"/>
  <c r="Z50" i="21"/>
  <c r="AB50" i="21" s="1"/>
  <c r="AD50" i="21" s="1"/>
  <c r="Q50" i="21"/>
  <c r="S50" i="21" s="1"/>
  <c r="U50" i="21" s="1"/>
  <c r="H50" i="21"/>
  <c r="K50" i="21" s="1"/>
  <c r="AK40" i="21" l="1"/>
  <c r="AM40" i="21" s="1"/>
  <c r="BV23" i="21"/>
  <c r="S45" i="21"/>
  <c r="U45" i="21" s="1"/>
  <c r="AU45" i="21"/>
  <c r="AL48" i="21"/>
  <c r="BV47" i="21"/>
  <c r="AT54" i="21"/>
  <c r="AV54" i="21" s="1"/>
  <c r="AB22" i="21"/>
  <c r="AD22" i="21" s="1"/>
  <c r="S55" i="21"/>
  <c r="U55" i="21" s="1"/>
  <c r="AK52" i="21"/>
  <c r="AM52" i="21" s="1"/>
  <c r="AK13" i="21"/>
  <c r="AM13" i="21" s="1"/>
  <c r="BM49" i="21"/>
  <c r="AK8" i="21"/>
  <c r="AM8" i="21" s="1"/>
  <c r="CE11" i="21"/>
  <c r="CF11" i="21" s="1"/>
  <c r="BM46" i="21"/>
  <c r="CE19" i="21"/>
  <c r="CF19" i="21" s="1"/>
  <c r="BC65" i="21"/>
  <c r="BE65" i="21" s="1"/>
  <c r="AC27" i="21"/>
  <c r="CE51" i="21"/>
  <c r="CF51" i="21" s="1"/>
  <c r="AU34" i="21"/>
  <c r="BD49" i="21"/>
  <c r="AT60" i="21"/>
  <c r="AV60" i="21" s="1"/>
  <c r="BC13" i="21"/>
  <c r="BE13" i="21" s="1"/>
  <c r="T17" i="21"/>
  <c r="AC20" i="21"/>
  <c r="AL11" i="21"/>
  <c r="BV14" i="21"/>
  <c r="S12" i="21"/>
  <c r="U12" i="21" s="1"/>
  <c r="AK10" i="21"/>
  <c r="AM10" i="21" s="1"/>
  <c r="K41" i="21"/>
  <c r="AL15" i="21"/>
  <c r="AC43" i="21"/>
  <c r="S65" i="21"/>
  <c r="U65" i="21" s="1"/>
  <c r="AC33" i="21"/>
  <c r="BC70" i="21"/>
  <c r="BE70" i="21" s="1"/>
  <c r="T56" i="21"/>
  <c r="BD41" i="21"/>
  <c r="AU61" i="21"/>
  <c r="CE48" i="21"/>
  <c r="CF48" i="21" s="1"/>
  <c r="K9" i="21"/>
  <c r="AU51" i="21"/>
  <c r="CE39" i="21"/>
  <c r="CF39" i="21" s="1"/>
  <c r="AK64" i="21"/>
  <c r="AM64" i="21" s="1"/>
  <c r="AC13" i="21"/>
  <c r="BD9" i="21"/>
  <c r="BL30" i="21"/>
  <c r="BN30" i="21" s="1"/>
  <c r="T23" i="21"/>
  <c r="AC15" i="21"/>
  <c r="AL24" i="21"/>
  <c r="AU20" i="21"/>
  <c r="BV59" i="21"/>
  <c r="BM41" i="21"/>
  <c r="AT43" i="21"/>
  <c r="AV43" i="21" s="1"/>
  <c r="BL19" i="21"/>
  <c r="BN19" i="21" s="1"/>
  <c r="AT29" i="21"/>
  <c r="AV29" i="21" s="1"/>
  <c r="J14" i="21"/>
  <c r="L14" i="21" s="1"/>
  <c r="S67" i="21"/>
  <c r="U67" i="21" s="1"/>
  <c r="AU57" i="21"/>
  <c r="BU48" i="21"/>
  <c r="BW48" i="21" s="1"/>
  <c r="BC29" i="21"/>
  <c r="BE29" i="21" s="1"/>
  <c r="AU39" i="21"/>
  <c r="BV65" i="21"/>
  <c r="BV48" i="21"/>
  <c r="AC42" i="21"/>
  <c r="BM62" i="21"/>
  <c r="K25" i="21"/>
  <c r="AK30" i="21"/>
  <c r="AM30" i="21" s="1"/>
  <c r="AL16" i="21"/>
  <c r="K22" i="21"/>
  <c r="J61" i="21"/>
  <c r="L61" i="21" s="1"/>
  <c r="BM43" i="21"/>
  <c r="BV15" i="21"/>
  <c r="BL35" i="21"/>
  <c r="BN35" i="21" s="1"/>
  <c r="BL37" i="21"/>
  <c r="BN37" i="21" s="1"/>
  <c r="S10" i="21"/>
  <c r="U10" i="21" s="1"/>
  <c r="BL29" i="21"/>
  <c r="BN29" i="21" s="1"/>
  <c r="T11" i="21"/>
  <c r="AK14" i="21"/>
  <c r="AM14" i="21" s="1"/>
  <c r="BL17" i="21"/>
  <c r="BN17" i="21" s="1"/>
  <c r="AC34" i="21"/>
  <c r="K31" i="21"/>
  <c r="BD12" i="21"/>
  <c r="CE20" i="21"/>
  <c r="CF20" i="21" s="1"/>
  <c r="J50" i="21"/>
  <c r="L50" i="21" s="1"/>
  <c r="AL69" i="21"/>
  <c r="BU43" i="21"/>
  <c r="BW43" i="21" s="1"/>
  <c r="K27" i="21"/>
  <c r="BM33" i="21"/>
  <c r="AU16" i="21"/>
  <c r="AL49" i="21"/>
  <c r="BU57" i="21"/>
  <c r="BW57" i="21" s="1"/>
  <c r="BC42" i="21"/>
  <c r="BE42" i="21" s="1"/>
  <c r="AB11" i="21"/>
  <c r="AD11" i="21" s="1"/>
  <c r="AU46" i="21"/>
  <c r="T54" i="21"/>
  <c r="BU35" i="21"/>
  <c r="BW35" i="21" s="1"/>
  <c r="BU37" i="21"/>
  <c r="BW37" i="21" s="1"/>
  <c r="BL12" i="21"/>
  <c r="BN12" i="21" s="1"/>
  <c r="BM67" i="21"/>
  <c r="BC30" i="21"/>
  <c r="BE30" i="21" s="1"/>
  <c r="J45" i="21"/>
  <c r="L45" i="21" s="1"/>
  <c r="AB10" i="21"/>
  <c r="AD10" i="21" s="1"/>
  <c r="AU48" i="21"/>
  <c r="AB57" i="21"/>
  <c r="AD57" i="21" s="1"/>
  <c r="AC58" i="21"/>
  <c r="BC45" i="21"/>
  <c r="BE45" i="21" s="1"/>
  <c r="K30" i="21"/>
  <c r="CE36" i="21"/>
  <c r="CF36" i="21" s="1"/>
  <c r="AU35" i="21"/>
  <c r="AU33" i="21"/>
  <c r="BV24" i="21"/>
  <c r="BD17" i="21"/>
  <c r="K51" i="21"/>
  <c r="BU20" i="21"/>
  <c r="BW20" i="21" s="1"/>
  <c r="J60" i="21"/>
  <c r="L60" i="21" s="1"/>
  <c r="BV45" i="21"/>
  <c r="AU53" i="21"/>
  <c r="K13" i="21"/>
  <c r="AL60" i="21"/>
  <c r="AK25" i="21"/>
  <c r="AM25" i="21" s="1"/>
  <c r="K39" i="21"/>
  <c r="AT64" i="21"/>
  <c r="AV64" i="21" s="1"/>
  <c r="BL8" i="21"/>
  <c r="BN8" i="21" s="1"/>
  <c r="BM65" i="21"/>
  <c r="T42" i="21"/>
  <c r="T46" i="21"/>
  <c r="BC43" i="21"/>
  <c r="BE43" i="21" s="1"/>
  <c r="AB47" i="21"/>
  <c r="AD47" i="21" s="1"/>
  <c r="AB46" i="21"/>
  <c r="AD46" i="21" s="1"/>
  <c r="AU12" i="21"/>
  <c r="T21" i="21"/>
  <c r="AC14" i="21"/>
  <c r="BD57" i="21"/>
  <c r="J28" i="21"/>
  <c r="L28" i="21" s="1"/>
  <c r="BM55" i="21"/>
  <c r="BD69" i="21"/>
  <c r="BM53" i="21"/>
  <c r="AC54" i="21"/>
  <c r="BV67" i="21"/>
  <c r="K44" i="21"/>
  <c r="BL16" i="21"/>
  <c r="BN16" i="21" s="1"/>
  <c r="K47" i="21"/>
  <c r="T47" i="21"/>
  <c r="BL20" i="21"/>
  <c r="BN20" i="21" s="1"/>
  <c r="S53" i="21"/>
  <c r="U53" i="21" s="1"/>
  <c r="K34" i="21"/>
  <c r="AB49" i="21"/>
  <c r="AD49" i="21" s="1"/>
  <c r="AU52" i="21"/>
  <c r="BD32" i="21"/>
  <c r="J11" i="21"/>
  <c r="L11" i="21" s="1"/>
  <c r="T59" i="21"/>
  <c r="BM42" i="21"/>
  <c r="K52" i="21"/>
  <c r="BC51" i="21"/>
  <c r="BE51" i="21" s="1"/>
  <c r="J64" i="21"/>
  <c r="L64" i="21" s="1"/>
  <c r="AB17" i="21"/>
  <c r="AD17" i="21" s="1"/>
  <c r="BV70" i="21"/>
  <c r="BD19" i="21"/>
  <c r="AL37" i="21"/>
  <c r="S62" i="21"/>
  <c r="U62" i="21" s="1"/>
  <c r="T16" i="21"/>
  <c r="AL33" i="21"/>
  <c r="CE52" i="21"/>
  <c r="CF52" i="21" s="1"/>
  <c r="CE35" i="21"/>
  <c r="CF35" i="21" s="1"/>
  <c r="AT55" i="21"/>
  <c r="AV55" i="21" s="1"/>
  <c r="BL15" i="21"/>
  <c r="BN15" i="21" s="1"/>
  <c r="BC18" i="21"/>
  <c r="BE18" i="21" s="1"/>
  <c r="BL38" i="21"/>
  <c r="BN38" i="21" s="1"/>
  <c r="BC37" i="21"/>
  <c r="BE37" i="21" s="1"/>
  <c r="BL45" i="21"/>
  <c r="BN45" i="21" s="1"/>
  <c r="AL50" i="21"/>
  <c r="CE69" i="21"/>
  <c r="CF69" i="21" s="1"/>
  <c r="AU22" i="21"/>
  <c r="AC59" i="21"/>
  <c r="BL25" i="21"/>
  <c r="BN25" i="21" s="1"/>
  <c r="AK19" i="21"/>
  <c r="AM19" i="21" s="1"/>
  <c r="AB52" i="21"/>
  <c r="AD52" i="21" s="1"/>
  <c r="BC66" i="21"/>
  <c r="BE66" i="21" s="1"/>
  <c r="J43" i="21"/>
  <c r="L43" i="21" s="1"/>
  <c r="AB41" i="21"/>
  <c r="AD41" i="21" s="1"/>
  <c r="BU61" i="21"/>
  <c r="BW61" i="21" s="1"/>
  <c r="AL59" i="21"/>
  <c r="AU68" i="21"/>
  <c r="BV31" i="21"/>
  <c r="BM60" i="21"/>
  <c r="AC64" i="21"/>
  <c r="BV25" i="21"/>
  <c r="K33" i="21"/>
  <c r="AC48" i="21"/>
  <c r="S32" i="21"/>
  <c r="U32" i="21" s="1"/>
  <c r="BM66" i="21"/>
  <c r="AT26" i="21"/>
  <c r="AV26" i="21" s="1"/>
  <c r="AB36" i="21"/>
  <c r="AD36" i="21" s="1"/>
  <c r="BL54" i="21"/>
  <c r="BN54" i="21" s="1"/>
  <c r="AT65" i="21"/>
  <c r="AV65" i="21" s="1"/>
  <c r="AK45" i="21"/>
  <c r="AM45" i="21" s="1"/>
  <c r="AT19" i="21"/>
  <c r="AV19" i="21" s="1"/>
  <c r="BM9" i="21"/>
  <c r="BV52" i="21"/>
  <c r="CE58" i="21"/>
  <c r="CF58" i="21" s="1"/>
  <c r="AC16" i="21"/>
  <c r="T69" i="21"/>
  <c r="BD55" i="21"/>
  <c r="BM26" i="21"/>
  <c r="K21" i="21"/>
  <c r="CE33" i="21"/>
  <c r="CF33" i="21" s="1"/>
  <c r="AT11" i="21"/>
  <c r="AV11" i="21" s="1"/>
  <c r="S63" i="21"/>
  <c r="U63" i="21" s="1"/>
  <c r="AB9" i="21"/>
  <c r="AD9" i="21" s="1"/>
  <c r="BV34" i="21"/>
  <c r="AT27" i="21"/>
  <c r="AV27" i="21" s="1"/>
  <c r="BU28" i="21"/>
  <c r="BW28" i="21" s="1"/>
  <c r="AU10" i="21"/>
  <c r="K38" i="21"/>
  <c r="AC24" i="21"/>
  <c r="BV11" i="21"/>
  <c r="S18" i="21"/>
  <c r="U18" i="21" s="1"/>
  <c r="BD56" i="21"/>
  <c r="J16" i="21"/>
  <c r="L16" i="21" s="1"/>
  <c r="BV49" i="21"/>
  <c r="CE49" i="21"/>
  <c r="CF49" i="21" s="1"/>
  <c r="K29" i="21"/>
  <c r="J29" i="21"/>
  <c r="L29" i="21" s="1"/>
  <c r="BD24" i="21"/>
  <c r="CE24" i="21"/>
  <c r="CF24" i="21" s="1"/>
  <c r="BD68" i="21"/>
  <c r="BC68" i="21"/>
  <c r="BE68" i="21" s="1"/>
  <c r="K55" i="21"/>
  <c r="J55" i="21"/>
  <c r="L55" i="21" s="1"/>
  <c r="BC8" i="21"/>
  <c r="BE8" i="21" s="1"/>
  <c r="S52" i="21"/>
  <c r="U52" i="21" s="1"/>
  <c r="K11" i="21"/>
  <c r="AK36" i="21"/>
  <c r="AM36" i="21" s="1"/>
  <c r="AK35" i="21"/>
  <c r="AM35" i="21" s="1"/>
  <c r="AT37" i="21"/>
  <c r="AV37" i="21" s="1"/>
  <c r="T25" i="21"/>
  <c r="BL18" i="21"/>
  <c r="BN18" i="21" s="1"/>
  <c r="CE17" i="21"/>
  <c r="CF17" i="21" s="1"/>
  <c r="BV17" i="21"/>
  <c r="BU17" i="21"/>
  <c r="BW17" i="21" s="1"/>
  <c r="AB23" i="21"/>
  <c r="AD23" i="21" s="1"/>
  <c r="BL22" i="21"/>
  <c r="BN22" i="21" s="1"/>
  <c r="BM22" i="21"/>
  <c r="BC24" i="21"/>
  <c r="BE24" i="21" s="1"/>
  <c r="AL23" i="21"/>
  <c r="AK23" i="21"/>
  <c r="AM23" i="21" s="1"/>
  <c r="BU32" i="21"/>
  <c r="BW32" i="21" s="1"/>
  <c r="CE32" i="21"/>
  <c r="CF32" i="21" s="1"/>
  <c r="AL42" i="21"/>
  <c r="AK42" i="21"/>
  <c r="AM42" i="21" s="1"/>
  <c r="BU53" i="21"/>
  <c r="BW53" i="21" s="1"/>
  <c r="CE53" i="21"/>
  <c r="CF53" i="21" s="1"/>
  <c r="AL35" i="21"/>
  <c r="AK29" i="21"/>
  <c r="AM29" i="21" s="1"/>
  <c r="AL29" i="21"/>
  <c r="AU69" i="21"/>
  <c r="AT69" i="21"/>
  <c r="AV69" i="21" s="1"/>
  <c r="BV32" i="21"/>
  <c r="CE61" i="21"/>
  <c r="CF61" i="21" s="1"/>
  <c r="AL9" i="21"/>
  <c r="AK9" i="21"/>
  <c r="AM9" i="21" s="1"/>
  <c r="AT15" i="21"/>
  <c r="AV15" i="21" s="1"/>
  <c r="AK31" i="21"/>
  <c r="AM31" i="21" s="1"/>
  <c r="AL31" i="21"/>
  <c r="CE8" i="21"/>
  <c r="CF8" i="21" s="1"/>
  <c r="BV8" i="21"/>
  <c r="AK46" i="21"/>
  <c r="AM46" i="21" s="1"/>
  <c r="BV27" i="21"/>
  <c r="BU27" i="21"/>
  <c r="BW27" i="21" s="1"/>
  <c r="CE27" i="21"/>
  <c r="CF27" i="21" s="1"/>
  <c r="AU31" i="21"/>
  <c r="AT31" i="21"/>
  <c r="AV31" i="21" s="1"/>
  <c r="T64" i="21"/>
  <c r="S64" i="21"/>
  <c r="U64" i="21" s="1"/>
  <c r="J67" i="21"/>
  <c r="L67" i="21" s="1"/>
  <c r="T50" i="21"/>
  <c r="BD23" i="21"/>
  <c r="BU8" i="21"/>
  <c r="BW8" i="21" s="1"/>
  <c r="BD35" i="21"/>
  <c r="BC35" i="21"/>
  <c r="BE35" i="21" s="1"/>
  <c r="CE68" i="21"/>
  <c r="CF68" i="21" s="1"/>
  <c r="CE45" i="21"/>
  <c r="CF45" i="21" s="1"/>
  <c r="BL10" i="21"/>
  <c r="BN10" i="21" s="1"/>
  <c r="AK43" i="21"/>
  <c r="AM43" i="21" s="1"/>
  <c r="AL43" i="21"/>
  <c r="CE43" i="21"/>
  <c r="CF43" i="21" s="1"/>
  <c r="AL34" i="21"/>
  <c r="AK34" i="21"/>
  <c r="AM34" i="21" s="1"/>
  <c r="CE23" i="21"/>
  <c r="CF23" i="21" s="1"/>
  <c r="S38" i="21"/>
  <c r="U38" i="21" s="1"/>
  <c r="BC39" i="21"/>
  <c r="BE39" i="21" s="1"/>
  <c r="K63" i="21"/>
  <c r="J63" i="21"/>
  <c r="L63" i="21" s="1"/>
  <c r="K17" i="21"/>
  <c r="J17" i="21"/>
  <c r="L17" i="21" s="1"/>
  <c r="AK54" i="21"/>
  <c r="AM54" i="21" s="1"/>
  <c r="K58" i="21"/>
  <c r="J58" i="21"/>
  <c r="L58" i="21" s="1"/>
  <c r="CE25" i="21"/>
  <c r="CF25" i="21" s="1"/>
  <c r="S13" i="21"/>
  <c r="U13" i="21" s="1"/>
  <c r="T13" i="21"/>
  <c r="BL56" i="21"/>
  <c r="BN56" i="21" s="1"/>
  <c r="K20" i="21"/>
  <c r="J20" i="21"/>
  <c r="L20" i="21" s="1"/>
  <c r="K40" i="21"/>
  <c r="BL23" i="21"/>
  <c r="BN23" i="21" s="1"/>
  <c r="AB26" i="21"/>
  <c r="AD26" i="21" s="1"/>
  <c r="T41" i="21"/>
  <c r="BL31" i="21"/>
  <c r="BN31" i="21" s="1"/>
  <c r="BC25" i="21"/>
  <c r="BE25" i="21" s="1"/>
  <c r="BM23" i="21"/>
  <c r="AB38" i="21"/>
  <c r="AD38" i="21" s="1"/>
  <c r="AC38" i="21"/>
  <c r="BD25" i="21"/>
  <c r="CE30" i="21"/>
  <c r="CF30" i="21" s="1"/>
  <c r="T40" i="21"/>
  <c r="AU59" i="21"/>
  <c r="AT59" i="21"/>
  <c r="AV59" i="21" s="1"/>
  <c r="BU49" i="21"/>
  <c r="BW49" i="21" s="1"/>
  <c r="AT14" i="21"/>
  <c r="AV14" i="21" s="1"/>
  <c r="BD14" i="21"/>
  <c r="BC14" i="21"/>
  <c r="BE14" i="21" s="1"/>
  <c r="AT58" i="21"/>
  <c r="AV58" i="21" s="1"/>
  <c r="AC12" i="21"/>
  <c r="S24" i="21"/>
  <c r="U24" i="21" s="1"/>
  <c r="BL52" i="21"/>
  <c r="BN52" i="21" s="1"/>
  <c r="BU46" i="21"/>
  <c r="BW46" i="21" s="1"/>
  <c r="CE46" i="21"/>
  <c r="CF46" i="21" s="1"/>
  <c r="T22" i="21"/>
  <c r="S22" i="21"/>
  <c r="U22" i="21" s="1"/>
  <c r="AK67" i="21"/>
  <c r="AM67" i="21" s="1"/>
  <c r="AL41" i="21"/>
  <c r="AK41" i="21"/>
  <c r="AM41" i="21" s="1"/>
  <c r="AU50" i="21"/>
  <c r="AT50" i="21"/>
  <c r="AV50" i="21" s="1"/>
  <c r="AB45" i="21"/>
  <c r="AD45" i="21" s="1"/>
  <c r="BV29" i="21"/>
  <c r="CE29" i="21"/>
  <c r="CF29" i="21" s="1"/>
  <c r="AT67" i="21"/>
  <c r="AV67" i="21" s="1"/>
  <c r="BV42" i="21"/>
  <c r="BU42" i="21"/>
  <c r="BW42" i="21" s="1"/>
  <c r="CE42" i="21"/>
  <c r="CF42" i="21" s="1"/>
  <c r="BC50" i="21"/>
  <c r="BE50" i="21" s="1"/>
  <c r="BD38" i="21"/>
  <c r="BC38" i="21"/>
  <c r="BE38" i="21" s="1"/>
  <c r="K10" i="21"/>
  <c r="J10" i="21"/>
  <c r="L10" i="21" s="1"/>
  <c r="S61" i="21"/>
  <c r="U61" i="21" s="1"/>
  <c r="K32" i="21"/>
  <c r="J32" i="21"/>
  <c r="L32" i="21" s="1"/>
  <c r="AK57" i="21"/>
  <c r="AM57" i="21" s="1"/>
  <c r="AL44" i="21"/>
  <c r="AK44" i="21"/>
  <c r="AM44" i="21" s="1"/>
  <c r="BD16" i="21"/>
  <c r="BC16" i="21"/>
  <c r="BE16" i="21" s="1"/>
  <c r="J66" i="21"/>
  <c r="L66" i="21" s="1"/>
  <c r="AL62" i="21"/>
  <c r="AK62" i="21"/>
  <c r="AM62" i="21" s="1"/>
  <c r="AU58" i="21"/>
  <c r="CE37" i="21"/>
  <c r="CF37" i="21" s="1"/>
  <c r="AK12" i="21"/>
  <c r="AM12" i="21" s="1"/>
  <c r="BC64" i="21"/>
  <c r="BE64" i="21" s="1"/>
  <c r="BD64" i="21"/>
  <c r="K18" i="21"/>
  <c r="J18" i="21"/>
  <c r="L18" i="21" s="1"/>
  <c r="BD67" i="21"/>
  <c r="BC67" i="21"/>
  <c r="BE67" i="21" s="1"/>
  <c r="AT44" i="21"/>
  <c r="AV44" i="21" s="1"/>
  <c r="BM52" i="21"/>
  <c r="AT63" i="21"/>
  <c r="AV63" i="21" s="1"/>
  <c r="BV46" i="21"/>
  <c r="AL17" i="21"/>
  <c r="AC60" i="21"/>
  <c r="S30" i="21"/>
  <c r="U30" i="21" s="1"/>
  <c r="J8" i="21"/>
  <c r="L8" i="21" s="1"/>
  <c r="BD21" i="21"/>
  <c r="BV26" i="21"/>
  <c r="BU26" i="21"/>
  <c r="BW26" i="21" s="1"/>
  <c r="AT62" i="21"/>
  <c r="AV62" i="21" s="1"/>
  <c r="CE31" i="21"/>
  <c r="CF31" i="21" s="1"/>
  <c r="AT13" i="21"/>
  <c r="AV13" i="21" s="1"/>
  <c r="BC20" i="21"/>
  <c r="BE20" i="21" s="1"/>
  <c r="CE38" i="21"/>
  <c r="CF38" i="21" s="1"/>
  <c r="BV38" i="21"/>
  <c r="BU38" i="21"/>
  <c r="BW38" i="21" s="1"/>
  <c r="AC53" i="21"/>
  <c r="AU17" i="21"/>
  <c r="AT17" i="21"/>
  <c r="AV17" i="21" s="1"/>
  <c r="CE34" i="21"/>
  <c r="CF34" i="21" s="1"/>
  <c r="CE54" i="21"/>
  <c r="CF54" i="21" s="1"/>
  <c r="BL64" i="21"/>
  <c r="BN64" i="21" s="1"/>
  <c r="BM44" i="21"/>
  <c r="BL44" i="21"/>
  <c r="BN44" i="21" s="1"/>
  <c r="BD40" i="21"/>
  <c r="BC61" i="21"/>
  <c r="BE61" i="21" s="1"/>
  <c r="BC63" i="21"/>
  <c r="BE63" i="21" s="1"/>
  <c r="CE26" i="21"/>
  <c r="CF26" i="21" s="1"/>
  <c r="BU54" i="21"/>
  <c r="BW54" i="21" s="1"/>
  <c r="AC18" i="21"/>
  <c r="AB18" i="21"/>
  <c r="AD18" i="21" s="1"/>
  <c r="AC28" i="21"/>
  <c r="AK32" i="21"/>
  <c r="AM32" i="21" s="1"/>
  <c r="BL21" i="21"/>
  <c r="BN21" i="21" s="1"/>
  <c r="AL53" i="21"/>
  <c r="AK53" i="21"/>
  <c r="AM53" i="21" s="1"/>
  <c r="BV54" i="21"/>
  <c r="CE67" i="21"/>
  <c r="CF67" i="21" s="1"/>
  <c r="BU41" i="21"/>
  <c r="BW41" i="21" s="1"/>
  <c r="BU62" i="21"/>
  <c r="BW62" i="21" s="1"/>
  <c r="BV62" i="21"/>
  <c r="CE62" i="21"/>
  <c r="CF62" i="21" s="1"/>
  <c r="AL68" i="21"/>
  <c r="AK65" i="21"/>
  <c r="AM65" i="21" s="1"/>
  <c r="BC22" i="21"/>
  <c r="BE22" i="21" s="1"/>
  <c r="AT66" i="21"/>
  <c r="AV66" i="21" s="1"/>
  <c r="AU47" i="21"/>
  <c r="AT47" i="21"/>
  <c r="AV47" i="21" s="1"/>
  <c r="CE14" i="21"/>
  <c r="CF14" i="21" s="1"/>
  <c r="CE41" i="21"/>
  <c r="CF41" i="21" s="1"/>
  <c r="J56" i="21"/>
  <c r="L56" i="21" s="1"/>
  <c r="AT28" i="21"/>
  <c r="AV28" i="21" s="1"/>
  <c r="CE40" i="21"/>
  <c r="CF40" i="21" s="1"/>
  <c r="S19" i="21"/>
  <c r="U19" i="21" s="1"/>
  <c r="T19" i="21"/>
  <c r="CE22" i="21"/>
  <c r="CF22" i="21" s="1"/>
  <c r="BV22" i="21"/>
  <c r="BU22" i="21"/>
  <c r="BW22" i="21" s="1"/>
  <c r="S44" i="21"/>
  <c r="U44" i="21" s="1"/>
  <c r="S48" i="21"/>
  <c r="U48" i="21" s="1"/>
  <c r="BL40" i="21"/>
  <c r="BN40" i="21" s="1"/>
  <c r="CE50" i="21"/>
  <c r="CF50" i="21" s="1"/>
  <c r="BU50" i="21"/>
  <c r="BW50" i="21" s="1"/>
  <c r="K57" i="21"/>
  <c r="J59" i="21"/>
  <c r="L59" i="21" s="1"/>
  <c r="BV21" i="21"/>
  <c r="BU21" i="21"/>
  <c r="BW21" i="21" s="1"/>
  <c r="BL11" i="21"/>
  <c r="BN11" i="21" s="1"/>
  <c r="CE66" i="21"/>
  <c r="CF66" i="21" s="1"/>
  <c r="BC47" i="21"/>
  <c r="BE47" i="21" s="1"/>
  <c r="AT41" i="21"/>
  <c r="AV41" i="21" s="1"/>
  <c r="AB56" i="21"/>
  <c r="AD56" i="21" s="1"/>
  <c r="BV50" i="21"/>
  <c r="AT49" i="21"/>
  <c r="AV49" i="21" s="1"/>
  <c r="AB61" i="21"/>
  <c r="AD61" i="21" s="1"/>
  <c r="J42" i="21"/>
  <c r="L42" i="21" s="1"/>
  <c r="BL39" i="21"/>
  <c r="BN39" i="21" s="1"/>
  <c r="BU66" i="21"/>
  <c r="BW66" i="21" s="1"/>
  <c r="BD26" i="21"/>
  <c r="BD46" i="21"/>
  <c r="BC46" i="21"/>
  <c r="BE46" i="21" s="1"/>
  <c r="BM51" i="21"/>
  <c r="BM68" i="21"/>
  <c r="BL68" i="21"/>
  <c r="BN68" i="21" s="1"/>
  <c r="BU58" i="21"/>
  <c r="BW58" i="21" s="1"/>
  <c r="BC60" i="21"/>
  <c r="BE60" i="21" s="1"/>
  <c r="S20" i="21"/>
  <c r="U20" i="21" s="1"/>
  <c r="BV19" i="21"/>
  <c r="BU19" i="21"/>
  <c r="BW19" i="21" s="1"/>
  <c r="AB69" i="21"/>
  <c r="AD69" i="21" s="1"/>
  <c r="BL70" i="21"/>
  <c r="BN70" i="21" s="1"/>
  <c r="AT24" i="21"/>
  <c r="AV24" i="21" s="1"/>
  <c r="CE21" i="21"/>
  <c r="CF21" i="21" s="1"/>
  <c r="BV66" i="21"/>
  <c r="BL47" i="21"/>
  <c r="BN47" i="21" s="1"/>
  <c r="BM63" i="21"/>
  <c r="AT9" i="21"/>
  <c r="AV9" i="21" s="1"/>
  <c r="BV51" i="21"/>
  <c r="BU51" i="21"/>
  <c r="BW51" i="21" s="1"/>
  <c r="BD34" i="21"/>
  <c r="BC27" i="21"/>
  <c r="BE27" i="21" s="1"/>
  <c r="BD62" i="21"/>
  <c r="AL18" i="21"/>
  <c r="AB67" i="21"/>
  <c r="AD67" i="21" s="1"/>
  <c r="AB44" i="21"/>
  <c r="AD44" i="21" s="1"/>
  <c r="BV40" i="21"/>
  <c r="CE47" i="21"/>
  <c r="CF47" i="21" s="1"/>
  <c r="BC53" i="21"/>
  <c r="BE53" i="21" s="1"/>
  <c r="BU36" i="21"/>
  <c r="BW36" i="21" s="1"/>
  <c r="BM34" i="21"/>
  <c r="BL34" i="21"/>
  <c r="BN34" i="21" s="1"/>
  <c r="AT25" i="21"/>
  <c r="AV25" i="21" s="1"/>
  <c r="AK56" i="21"/>
  <c r="AM56" i="21" s="1"/>
  <c r="AT30" i="21"/>
  <c r="AV30" i="21" s="1"/>
  <c r="AU30" i="21"/>
  <c r="S28" i="21"/>
  <c r="U28" i="21" s="1"/>
  <c r="AT32" i="21"/>
  <c r="AV32" i="21" s="1"/>
  <c r="AU32" i="21"/>
  <c r="CE9" i="21"/>
  <c r="CF9" i="21" s="1"/>
  <c r="BV9" i="21"/>
  <c r="K36" i="21"/>
  <c r="J36" i="21"/>
  <c r="L36" i="21" s="1"/>
  <c r="CE12" i="21"/>
  <c r="CF12" i="21" s="1"/>
  <c r="BV56" i="21"/>
  <c r="CE56" i="21"/>
  <c r="CF56" i="21" s="1"/>
  <c r="AC50" i="21"/>
  <c r="AK22" i="21"/>
  <c r="AM22" i="21" s="1"/>
  <c r="AB21" i="21"/>
  <c r="AD21" i="21" s="1"/>
  <c r="S14" i="21"/>
  <c r="U14" i="21" s="1"/>
  <c r="BU9" i="21"/>
  <c r="BW9" i="21" s="1"/>
  <c r="J46" i="21"/>
  <c r="L46" i="21" s="1"/>
  <c r="K68" i="21"/>
  <c r="T58" i="21"/>
  <c r="S58" i="21"/>
  <c r="U58" i="21" s="1"/>
  <c r="S31" i="21"/>
  <c r="U31" i="21" s="1"/>
  <c r="K37" i="21"/>
  <c r="BU12" i="21"/>
  <c r="BW12" i="21" s="1"/>
  <c r="CE18" i="21"/>
  <c r="CF18" i="21" s="1"/>
  <c r="BU56" i="21"/>
  <c r="BW56" i="21" s="1"/>
  <c r="CE44" i="21"/>
  <c r="CF44" i="21" s="1"/>
  <c r="T29" i="21"/>
  <c r="S29" i="21"/>
  <c r="U29" i="21" s="1"/>
  <c r="AK38" i="21"/>
  <c r="AM38" i="21" s="1"/>
  <c r="BL61" i="21"/>
  <c r="BN61" i="21" s="1"/>
  <c r="BM61" i="21"/>
  <c r="S39" i="21"/>
  <c r="U39" i="21" s="1"/>
  <c r="S66" i="21"/>
  <c r="U66" i="21" s="1"/>
  <c r="J26" i="21"/>
  <c r="L26" i="21" s="1"/>
  <c r="S36" i="21"/>
  <c r="U36" i="21" s="1"/>
  <c r="J12" i="21"/>
  <c r="L12" i="21" s="1"/>
  <c r="BV12" i="21"/>
  <c r="BU18" i="21"/>
  <c r="BW18" i="21" s="1"/>
  <c r="BU44" i="21"/>
  <c r="BW44" i="21" s="1"/>
  <c r="AC40" i="21"/>
  <c r="K49" i="21"/>
  <c r="S43" i="21"/>
  <c r="U43" i="21" s="1"/>
  <c r="T51" i="21"/>
  <c r="K54" i="21"/>
  <c r="J54" i="21"/>
  <c r="L54" i="21" s="1"/>
  <c r="T35" i="21"/>
  <c r="S68" i="21"/>
  <c r="U68" i="21" s="1"/>
  <c r="T37" i="21"/>
  <c r="BV18" i="21"/>
  <c r="BV44" i="21"/>
  <c r="BM28" i="21"/>
  <c r="BL28" i="21"/>
  <c r="BN28" i="21" s="1"/>
  <c r="J23" i="21"/>
  <c r="L23" i="21" s="1"/>
  <c r="BL69" i="21"/>
  <c r="BN69" i="21" s="1"/>
  <c r="BM57" i="21"/>
  <c r="BD59" i="21"/>
  <c r="AK21" i="21"/>
  <c r="AM21" i="21" s="1"/>
  <c r="S26" i="21"/>
  <c r="U26" i="21" s="1"/>
  <c r="T15" i="21"/>
  <c r="S15" i="21"/>
  <c r="U15" i="21" s="1"/>
  <c r="S27" i="21"/>
  <c r="U27" i="21" s="1"/>
  <c r="J62" i="21"/>
  <c r="L62" i="21" s="1"/>
  <c r="S60" i="21"/>
  <c r="U60" i="21" s="1"/>
  <c r="CE13" i="21"/>
  <c r="CF13" i="21" s="1"/>
  <c r="BU30" i="21"/>
  <c r="BW30" i="21" s="1"/>
  <c r="CE16" i="21"/>
  <c r="CF16" i="21" s="1"/>
  <c r="BL48" i="21"/>
  <c r="BN48" i="21" s="1"/>
  <c r="AB29" i="21"/>
  <c r="AD29" i="21" s="1"/>
  <c r="BL32" i="21"/>
  <c r="BN32" i="21" s="1"/>
  <c r="J24" i="21"/>
  <c r="L24" i="21" s="1"/>
  <c r="AT8" i="21"/>
  <c r="AV8" i="21" s="1"/>
  <c r="AB39" i="21"/>
  <c r="AD39" i="21" s="1"/>
  <c r="AB63" i="21"/>
  <c r="AD63" i="21" s="1"/>
  <c r="AB51" i="21"/>
  <c r="AD51" i="21" s="1"/>
  <c r="AK58" i="21"/>
  <c r="AM58" i="21" s="1"/>
  <c r="AB31" i="21"/>
  <c r="AD31" i="21" s="1"/>
  <c r="BU13" i="21"/>
  <c r="BW13" i="21" s="1"/>
  <c r="BU16" i="21"/>
  <c r="BW16" i="21" s="1"/>
  <c r="AT38" i="21"/>
  <c r="AV38" i="21" s="1"/>
  <c r="AK70" i="21"/>
  <c r="AM70" i="21" s="1"/>
  <c r="CE57" i="21"/>
  <c r="CF57" i="21" s="1"/>
  <c r="BM59" i="21"/>
  <c r="BL59" i="21"/>
  <c r="BN59" i="21" s="1"/>
  <c r="AT21" i="21"/>
  <c r="AV21" i="21" s="1"/>
  <c r="AU21" i="21"/>
  <c r="AL39" i="21"/>
  <c r="AK39" i="21"/>
  <c r="AM39" i="21" s="1"/>
  <c r="AL66" i="21"/>
  <c r="S34" i="21"/>
  <c r="U34" i="21" s="1"/>
  <c r="AB35" i="21"/>
  <c r="AD35" i="21" s="1"/>
  <c r="BV13" i="21"/>
  <c r="BV16" i="21"/>
  <c r="AU18" i="21"/>
  <c r="AT18" i="21"/>
  <c r="AV18" i="21" s="1"/>
  <c r="CE70" i="21"/>
  <c r="CF70" i="21" s="1"/>
  <c r="BV39" i="21"/>
  <c r="BU39" i="21"/>
  <c r="BW39" i="21" s="1"/>
  <c r="AL63" i="21"/>
  <c r="AL26" i="21"/>
  <c r="AK26" i="21"/>
  <c r="AM26" i="21" s="1"/>
  <c r="K15" i="21"/>
  <c r="BD54" i="21"/>
  <c r="BV64" i="21"/>
  <c r="CE64" i="21"/>
  <c r="CF64" i="21" s="1"/>
  <c r="BC33" i="21"/>
  <c r="BE33" i="21" s="1"/>
  <c r="BZ33" i="21" s="1"/>
  <c r="CA33" i="21" s="1"/>
  <c r="CE55" i="21"/>
  <c r="CF55" i="21" s="1"/>
  <c r="AB32" i="21"/>
  <c r="AD32" i="21" s="1"/>
  <c r="T49" i="21"/>
  <c r="BL24" i="21"/>
  <c r="BN24" i="21" s="1"/>
  <c r="AL61" i="21"/>
  <c r="S57" i="21"/>
  <c r="U57" i="21" s="1"/>
  <c r="AT42" i="21"/>
  <c r="AV42" i="21" s="1"/>
  <c r="T8" i="21"/>
  <c r="CE63" i="21"/>
  <c r="CF63" i="21" s="1"/>
  <c r="S9" i="21"/>
  <c r="U9" i="21" s="1"/>
  <c r="AU36" i="21"/>
  <c r="BC15" i="21"/>
  <c r="BE15" i="21" s="1"/>
  <c r="BD15" i="21"/>
  <c r="AK27" i="21"/>
  <c r="AM27" i="21" s="1"/>
  <c r="BC58" i="21"/>
  <c r="BE58" i="21" s="1"/>
  <c r="AC37" i="21"/>
  <c r="K65" i="21"/>
  <c r="AB25" i="21"/>
  <c r="AD25" i="21" s="1"/>
  <c r="T33" i="21"/>
  <c r="AK55" i="21"/>
  <c r="AM55" i="21" s="1"/>
  <c r="BL50" i="21"/>
  <c r="BN50" i="21" s="1"/>
  <c r="AC8" i="21"/>
  <c r="AB8" i="21"/>
  <c r="AD8" i="21" s="1"/>
  <c r="BU63" i="21"/>
  <c r="BW63" i="21" s="1"/>
  <c r="J53" i="21"/>
  <c r="L53" i="21" s="1"/>
  <c r="AK51" i="21"/>
  <c r="AM51" i="21" s="1"/>
  <c r="K35" i="21"/>
  <c r="BU68" i="21"/>
  <c r="BW68" i="21" s="1"/>
  <c r="CE65" i="21"/>
  <c r="CF65" i="21" s="1"/>
  <c r="BL13" i="21"/>
  <c r="BN13" i="21" s="1"/>
  <c r="AU56" i="21"/>
  <c r="AT56" i="21"/>
  <c r="AV56" i="21" s="1"/>
  <c r="AK28" i="21"/>
  <c r="AM28" i="21" s="1"/>
  <c r="AB19" i="21"/>
  <c r="AD19" i="21" s="1"/>
  <c r="CE59" i="21"/>
  <c r="CF59" i="21" s="1"/>
  <c r="BC11" i="21"/>
  <c r="BE11" i="21" s="1"/>
  <c r="AC66" i="21"/>
  <c r="BV63" i="21"/>
  <c r="BD36" i="21"/>
  <c r="CE15" i="21"/>
  <c r="CF15" i="21" s="1"/>
  <c r="AB62" i="21"/>
  <c r="AD62" i="21" s="1"/>
  <c r="BL58" i="21"/>
  <c r="BN58" i="21" s="1"/>
  <c r="BM58" i="21"/>
  <c r="BC31" i="21"/>
  <c r="BE31" i="21" s="1"/>
  <c r="BC48" i="21"/>
  <c r="BE48" i="21" s="1"/>
  <c r="BD48" i="21"/>
  <c r="AT23" i="21"/>
  <c r="AV23" i="21" s="1"/>
  <c r="BV69" i="21"/>
  <c r="AC70" i="21"/>
  <c r="BD52" i="21"/>
  <c r="AK47" i="21"/>
  <c r="AM47" i="21" s="1"/>
  <c r="BL14" i="21"/>
  <c r="BN14" i="21" s="1"/>
  <c r="BM14" i="21"/>
  <c r="BL36" i="21"/>
  <c r="BN36" i="21" s="1"/>
  <c r="BL27" i="21"/>
  <c r="BN27" i="21" s="1"/>
  <c r="CE60" i="21"/>
  <c r="CF60" i="21" s="1"/>
  <c r="BU60" i="21"/>
  <c r="BW60" i="21" s="1"/>
  <c r="AC30" i="21"/>
  <c r="BV33" i="21"/>
  <c r="BC44" i="21"/>
  <c r="BE44" i="21" s="1"/>
  <c r="K48" i="21"/>
  <c r="BC28" i="21"/>
  <c r="BE28" i="21" s="1"/>
  <c r="AK20" i="21"/>
  <c r="AM20" i="21" s="1"/>
  <c r="AT40" i="21"/>
  <c r="AV40" i="21" s="1"/>
  <c r="AC55" i="21"/>
  <c r="J19" i="21"/>
  <c r="L19" i="21" s="1"/>
  <c r="BC10" i="21"/>
  <c r="BE10" i="21" s="1"/>
  <c r="AB65" i="21"/>
  <c r="AD65" i="21" s="1"/>
  <c r="BV60" i="21"/>
  <c r="CE10" i="21"/>
  <c r="CF10" i="21" s="1"/>
  <c r="BU55" i="21"/>
  <c r="BW55" i="21" s="1"/>
  <c r="BU10" i="21"/>
  <c r="BW10" i="21" s="1"/>
  <c r="CE28" i="21"/>
  <c r="CF28" i="21" s="1"/>
  <c r="P15" i="17"/>
  <c r="BZ37" i="21" l="1"/>
  <c r="CA37" i="21" s="1"/>
  <c r="BZ41" i="21"/>
  <c r="CA41" i="21" s="1"/>
  <c r="CC41" i="21" s="1"/>
  <c r="BZ40" i="21"/>
  <c r="CA40" i="21" s="1"/>
  <c r="CC40" i="21" s="1"/>
  <c r="K74" i="21"/>
  <c r="BZ21" i="21"/>
  <c r="CA21" i="21" s="1"/>
  <c r="CB21" i="21" s="1"/>
  <c r="BZ27" i="21"/>
  <c r="CA27" i="21" s="1"/>
  <c r="CC27" i="21" s="1"/>
  <c r="BZ8" i="21"/>
  <c r="CA8" i="21" s="1"/>
  <c r="CB8" i="21" s="1"/>
  <c r="BZ16" i="21"/>
  <c r="CA16" i="21" s="1"/>
  <c r="CI16" i="21" s="1"/>
  <c r="BZ69" i="21"/>
  <c r="CA69" i="21" s="1"/>
  <c r="CC69" i="21" s="1"/>
  <c r="BZ14" i="21"/>
  <c r="CA14" i="21" s="1"/>
  <c r="CC14" i="21" s="1"/>
  <c r="BZ35" i="21"/>
  <c r="CA35" i="21" s="1"/>
  <c r="CB35" i="21" s="1"/>
  <c r="BZ30" i="21"/>
  <c r="CA30" i="21" s="1"/>
  <c r="CC30" i="21" s="1"/>
  <c r="BZ53" i="21"/>
  <c r="CA53" i="21" s="1"/>
  <c r="CI53" i="21" s="1"/>
  <c r="BZ47" i="21"/>
  <c r="CA47" i="21" s="1"/>
  <c r="CI47" i="21" s="1"/>
  <c r="BZ52" i="21"/>
  <c r="CA52" i="21" s="1"/>
  <c r="CC52" i="21" s="1"/>
  <c r="BZ70" i="21"/>
  <c r="CA70" i="21" s="1"/>
  <c r="CC70" i="21" s="1"/>
  <c r="BZ45" i="21"/>
  <c r="CA45" i="21" s="1"/>
  <c r="CI45" i="21" s="1"/>
  <c r="BD73" i="21"/>
  <c r="BZ49" i="21"/>
  <c r="CA49" i="21" s="1"/>
  <c r="CI49" i="21" s="1"/>
  <c r="BZ61" i="21"/>
  <c r="CA61" i="21" s="1"/>
  <c r="CI61" i="21" s="1"/>
  <c r="BZ65" i="21"/>
  <c r="CA65" i="21" s="1"/>
  <c r="CI65" i="21" s="1"/>
  <c r="BD80" i="21"/>
  <c r="BD84" i="21" s="1"/>
  <c r="BZ38" i="21"/>
  <c r="CA38" i="21" s="1"/>
  <c r="CB38" i="21" s="1"/>
  <c r="BZ13" i="21"/>
  <c r="CA13" i="21" s="1"/>
  <c r="CB13" i="21" s="1"/>
  <c r="BZ31" i="21"/>
  <c r="CA31" i="21" s="1"/>
  <c r="CI31" i="21" s="1"/>
  <c r="BZ11" i="21"/>
  <c r="CA11" i="21" s="1"/>
  <c r="CB11" i="21" s="1"/>
  <c r="BZ59" i="21"/>
  <c r="CA59" i="21" s="1"/>
  <c r="CI59" i="21" s="1"/>
  <c r="K79" i="21"/>
  <c r="BZ25" i="21"/>
  <c r="CA25" i="21" s="1"/>
  <c r="CI25" i="21" s="1"/>
  <c r="BZ51" i="21"/>
  <c r="CA51" i="21" s="1"/>
  <c r="CB51" i="21" s="1"/>
  <c r="BD77" i="21"/>
  <c r="BZ29" i="21"/>
  <c r="CA29" i="21" s="1"/>
  <c r="CI29" i="21" s="1"/>
  <c r="BZ48" i="21"/>
  <c r="CA48" i="21" s="1"/>
  <c r="CI48" i="21" s="1"/>
  <c r="BM81" i="21"/>
  <c r="BD78" i="21"/>
  <c r="BZ64" i="21"/>
  <c r="CA64" i="21" s="1"/>
  <c r="CI64" i="21" s="1"/>
  <c r="BZ28" i="21"/>
  <c r="CA28" i="21" s="1"/>
  <c r="CC28" i="21" s="1"/>
  <c r="BZ9" i="21"/>
  <c r="CA9" i="21" s="1"/>
  <c r="CC9" i="21" s="1"/>
  <c r="BM78" i="21"/>
  <c r="BZ43" i="21"/>
  <c r="CA43" i="21" s="1"/>
  <c r="CI43" i="21" s="1"/>
  <c r="BZ50" i="21"/>
  <c r="CA50" i="21" s="1"/>
  <c r="CI50" i="21" s="1"/>
  <c r="BZ22" i="21"/>
  <c r="CA22" i="21" s="1"/>
  <c r="CB22" i="21" s="1"/>
  <c r="BZ68" i="21"/>
  <c r="CA68" i="21" s="1"/>
  <c r="CB68" i="21" s="1"/>
  <c r="BZ44" i="21"/>
  <c r="CA44" i="21" s="1"/>
  <c r="CB44" i="21" s="1"/>
  <c r="BZ57" i="21"/>
  <c r="CA57" i="21" s="1"/>
  <c r="CI57" i="21" s="1"/>
  <c r="BZ60" i="21"/>
  <c r="CA60" i="21" s="1"/>
  <c r="CI60" i="21" s="1"/>
  <c r="CB27" i="21"/>
  <c r="CI27" i="21"/>
  <c r="CB41" i="21"/>
  <c r="CI41" i="21"/>
  <c r="CI40" i="21"/>
  <c r="CB40" i="21"/>
  <c r="CC31" i="21"/>
  <c r="CB31" i="21"/>
  <c r="K81" i="21"/>
  <c r="AL75" i="21"/>
  <c r="AL80" i="21"/>
  <c r="AL84" i="21" s="1"/>
  <c r="AL77" i="21"/>
  <c r="AL73" i="21"/>
  <c r="CC21" i="21"/>
  <c r="CI21" i="21"/>
  <c r="BZ62" i="21"/>
  <c r="CA62" i="21" s="1"/>
  <c r="BZ19" i="21"/>
  <c r="CA19" i="21" s="1"/>
  <c r="BZ15" i="21"/>
  <c r="CA15" i="21" s="1"/>
  <c r="BZ12" i="21"/>
  <c r="CA12" i="21" s="1"/>
  <c r="AC80" i="21"/>
  <c r="AC84" i="21" s="1"/>
  <c r="AC76" i="21"/>
  <c r="AC81" i="21"/>
  <c r="AC75" i="21"/>
  <c r="AC74" i="21"/>
  <c r="AC78" i="21"/>
  <c r="AC77" i="21"/>
  <c r="AC79" i="21"/>
  <c r="AC73" i="21"/>
  <c r="BD79" i="21"/>
  <c r="BZ26" i="21"/>
  <c r="CA26" i="21" s="1"/>
  <c r="BZ18" i="21"/>
  <c r="CA18" i="21" s="1"/>
  <c r="T80" i="21"/>
  <c r="T84" i="21" s="1"/>
  <c r="T75" i="21"/>
  <c r="T77" i="21"/>
  <c r="T76" i="21"/>
  <c r="T78" i="21"/>
  <c r="T73" i="21"/>
  <c r="T79" i="21"/>
  <c r="T81" i="21"/>
  <c r="T74" i="21"/>
  <c r="BD76" i="21"/>
  <c r="BZ58" i="21"/>
  <c r="CA58" i="21" s="1"/>
  <c r="BZ67" i="21"/>
  <c r="CA67" i="21" s="1"/>
  <c r="BD75" i="21"/>
  <c r="BZ20" i="21"/>
  <c r="CA20" i="21" s="1"/>
  <c r="CI33" i="21"/>
  <c r="CC33" i="21"/>
  <c r="CB33" i="21"/>
  <c r="BZ32" i="21"/>
  <c r="CA32" i="21" s="1"/>
  <c r="BZ46" i="21"/>
  <c r="CA46" i="21" s="1"/>
  <c r="BZ10" i="21"/>
  <c r="CA10" i="21" s="1"/>
  <c r="CB59" i="21"/>
  <c r="CC37" i="21"/>
  <c r="CI37" i="21"/>
  <c r="CB37" i="21"/>
  <c r="BZ42" i="21"/>
  <c r="CA42" i="21" s="1"/>
  <c r="BZ56" i="21"/>
  <c r="CA56" i="21" s="1"/>
  <c r="BM77" i="21"/>
  <c r="AU73" i="21"/>
  <c r="AU77" i="21"/>
  <c r="AU74" i="21"/>
  <c r="AU81" i="21"/>
  <c r="AU75" i="21"/>
  <c r="AU80" i="21"/>
  <c r="AU84" i="21" s="1"/>
  <c r="AU79" i="21"/>
  <c r="AU78" i="21"/>
  <c r="AU76" i="21"/>
  <c r="BZ55" i="21"/>
  <c r="CA55" i="21" s="1"/>
  <c r="BZ39" i="21"/>
  <c r="CA39" i="21" s="1"/>
  <c r="BZ24" i="21"/>
  <c r="CA24" i="21" s="1"/>
  <c r="BM80" i="21"/>
  <c r="BM84" i="21" s="1"/>
  <c r="BM75" i="21"/>
  <c r="K75" i="21"/>
  <c r="AL81" i="21"/>
  <c r="BD81" i="21"/>
  <c r="BZ36" i="21"/>
  <c r="CA36" i="21" s="1"/>
  <c r="BD74" i="21"/>
  <c r="BZ23" i="21"/>
  <c r="CA23" i="21" s="1"/>
  <c r="BZ17" i="21"/>
  <c r="CA17" i="21" s="1"/>
  <c r="BM74" i="21"/>
  <c r="BZ63" i="21"/>
  <c r="CA63" i="21" s="1"/>
  <c r="BV79" i="21"/>
  <c r="BV74" i="21"/>
  <c r="BV80" i="21"/>
  <c r="BV84" i="21" s="1"/>
  <c r="BV81" i="21"/>
  <c r="BV76" i="21"/>
  <c r="BV78" i="21"/>
  <c r="BV77" i="21"/>
  <c r="BV75" i="21"/>
  <c r="BV73" i="21"/>
  <c r="BZ66" i="21"/>
  <c r="CA66" i="21" s="1"/>
  <c r="BZ34" i="21"/>
  <c r="CA34" i="21" s="1"/>
  <c r="BM73" i="21"/>
  <c r="K73" i="21"/>
  <c r="AL76" i="21"/>
  <c r="BM76" i="21"/>
  <c r="K77" i="21"/>
  <c r="AL74" i="21"/>
  <c r="BM79" i="21"/>
  <c r="K80" i="21"/>
  <c r="K84" i="21" s="1"/>
  <c r="AL78" i="21"/>
  <c r="BZ54" i="21"/>
  <c r="CA54" i="21" s="1"/>
  <c r="K76" i="21"/>
  <c r="K78" i="21"/>
  <c r="AL79" i="21"/>
  <c r="P14" i="17"/>
  <c r="CB45" i="21" l="1"/>
  <c r="CC22" i="21"/>
  <c r="CC68" i="21"/>
  <c r="CI68" i="21"/>
  <c r="CC59" i="21"/>
  <c r="CC11" i="21"/>
  <c r="CB57" i="21"/>
  <c r="CC57" i="21"/>
  <c r="CB49" i="21"/>
  <c r="CC49" i="21"/>
  <c r="CC45" i="21"/>
  <c r="CI22" i="21"/>
  <c r="CB14" i="21"/>
  <c r="CI13" i="21"/>
  <c r="CC13" i="21"/>
  <c r="CC38" i="21"/>
  <c r="CI38" i="21"/>
  <c r="CB61" i="21"/>
  <c r="CC65" i="21"/>
  <c r="CC61" i="21"/>
  <c r="CI8" i="21"/>
  <c r="CC8" i="21"/>
  <c r="CI35" i="21"/>
  <c r="CB60" i="21"/>
  <c r="CC60" i="21"/>
  <c r="CC44" i="21"/>
  <c r="CI44" i="21"/>
  <c r="CB53" i="21"/>
  <c r="CB70" i="21"/>
  <c r="CI70" i="21"/>
  <c r="CB47" i="21"/>
  <c r="CB16" i="21"/>
  <c r="CI52" i="21"/>
  <c r="CC47" i="21"/>
  <c r="CC16" i="21"/>
  <c r="CC51" i="21"/>
  <c r="CB52" i="21"/>
  <c r="CI51" i="21"/>
  <c r="CB69" i="21"/>
  <c r="CB29" i="21"/>
  <c r="CB43" i="21"/>
  <c r="CC29" i="21"/>
  <c r="CC43" i="21"/>
  <c r="CB30" i="21"/>
  <c r="CC35" i="21"/>
  <c r="CB65" i="21"/>
  <c r="CI30" i="21"/>
  <c r="CC53" i="21"/>
  <c r="CI14" i="21"/>
  <c r="CI11" i="21"/>
  <c r="CI28" i="21"/>
  <c r="CB64" i="21"/>
  <c r="CC48" i="21"/>
  <c r="CB48" i="21"/>
  <c r="CC64" i="21"/>
  <c r="CB9" i="21"/>
  <c r="CB25" i="21"/>
  <c r="CI9" i="21"/>
  <c r="CC25" i="21"/>
  <c r="CB28" i="21"/>
  <c r="CB50" i="21"/>
  <c r="CC50" i="21"/>
  <c r="CB18" i="21"/>
  <c r="CI18" i="21"/>
  <c r="CC18" i="21"/>
  <c r="CB26" i="21"/>
  <c r="CI26" i="21"/>
  <c r="CC26" i="21"/>
  <c r="CI55" i="21"/>
  <c r="CC55" i="21"/>
  <c r="CB55" i="21"/>
  <c r="CI62" i="21"/>
  <c r="CC62" i="21"/>
  <c r="CB62" i="21"/>
  <c r="CC39" i="21"/>
  <c r="CI39" i="21"/>
  <c r="CB39" i="21"/>
  <c r="CC17" i="21"/>
  <c r="CB17" i="21"/>
  <c r="CI17" i="21"/>
  <c r="CB23" i="21"/>
  <c r="CC23" i="21"/>
  <c r="CI23" i="21"/>
  <c r="CB67" i="21"/>
  <c r="CI67" i="21"/>
  <c r="CC67" i="21"/>
  <c r="CI19" i="21"/>
  <c r="CC19" i="21"/>
  <c r="CB19" i="21"/>
  <c r="CC42" i="21"/>
  <c r="CB42" i="21"/>
  <c r="CI42" i="21"/>
  <c r="CB34" i="21"/>
  <c r="CI34" i="21"/>
  <c r="CC34" i="21"/>
  <c r="CI10" i="21"/>
  <c r="CC10" i="21"/>
  <c r="CB10" i="21"/>
  <c r="CC63" i="21"/>
  <c r="CI63" i="21"/>
  <c r="CB63" i="21"/>
  <c r="CC20" i="21"/>
  <c r="CI20" i="21"/>
  <c r="CB20" i="21"/>
  <c r="CC36" i="21"/>
  <c r="CB36" i="21"/>
  <c r="CI36" i="21"/>
  <c r="CC58" i="21"/>
  <c r="CB58" i="21"/>
  <c r="CI58" i="21"/>
  <c r="CI66" i="21"/>
  <c r="CC66" i="21"/>
  <c r="CB66" i="21"/>
  <c r="CI24" i="21"/>
  <c r="CC24" i="21"/>
  <c r="CB24" i="21"/>
  <c r="CC46" i="21"/>
  <c r="CB46" i="21"/>
  <c r="CI46" i="21"/>
  <c r="CI32" i="21"/>
  <c r="CC32" i="21"/>
  <c r="CB32" i="21"/>
  <c r="CC54" i="21"/>
  <c r="CB54" i="21"/>
  <c r="CI54" i="21"/>
  <c r="CC56" i="21"/>
  <c r="CB56" i="21"/>
  <c r="CI56" i="21"/>
  <c r="CC12" i="21"/>
  <c r="CB12" i="21"/>
  <c r="CI12" i="21"/>
  <c r="CC15" i="21"/>
  <c r="CI15" i="21"/>
  <c r="CB15" i="21"/>
  <c r="H9" i="12"/>
  <c r="K9" i="12" s="1"/>
  <c r="H10" i="12"/>
  <c r="K10" i="12" s="1"/>
  <c r="CB79" i="21" l="1"/>
  <c r="CB81" i="21"/>
  <c r="CI76" i="21"/>
  <c r="CB77" i="21"/>
  <c r="CB74" i="21"/>
  <c r="CB80" i="21"/>
  <c r="CB84" i="21" s="1"/>
  <c r="CB76" i="21"/>
  <c r="CI74" i="21"/>
  <c r="CB78" i="21"/>
  <c r="CI77" i="21"/>
  <c r="CI75" i="21"/>
  <c r="CI73" i="21"/>
  <c r="CB73" i="21"/>
  <c r="CB75" i="21"/>
  <c r="J10" i="12"/>
  <c r="J9" i="12"/>
  <c r="AR9" i="12"/>
  <c r="Q62" i="12" l="1"/>
  <c r="Q63" i="12"/>
  <c r="BS62" i="12" l="1"/>
  <c r="BV62" i="12" s="1"/>
  <c r="BS63" i="12"/>
  <c r="BV63" i="12" s="1"/>
  <c r="BJ62" i="12"/>
  <c r="BL62" i="12" s="1"/>
  <c r="BN62" i="12" s="1"/>
  <c r="BJ63" i="12"/>
  <c r="BL63" i="12" s="1"/>
  <c r="BN63" i="12" s="1"/>
  <c r="BA62" i="12"/>
  <c r="BD62" i="12" s="1"/>
  <c r="BA63" i="12"/>
  <c r="BD63" i="12" s="1"/>
  <c r="AR62" i="12"/>
  <c r="AU62" i="12" s="1"/>
  <c r="AR63" i="12"/>
  <c r="AT63" i="12" s="1"/>
  <c r="AV63" i="12" s="1"/>
  <c r="AI62" i="12"/>
  <c r="AK62" i="12" s="1"/>
  <c r="AM62" i="12" s="1"/>
  <c r="AI63" i="12"/>
  <c r="AK63" i="12" s="1"/>
  <c r="AM63" i="12" s="1"/>
  <c r="Z62" i="12"/>
  <c r="AC62" i="12" s="1"/>
  <c r="Z63" i="12"/>
  <c r="AC63" i="12" s="1"/>
  <c r="T62" i="12"/>
  <c r="T63" i="12"/>
  <c r="S62" i="12"/>
  <c r="U62" i="12" s="1"/>
  <c r="S63" i="12"/>
  <c r="U63" i="12" s="1"/>
  <c r="H62" i="12"/>
  <c r="K62" i="12" s="1"/>
  <c r="H63" i="12"/>
  <c r="AT62" i="12" l="1"/>
  <c r="AV62" i="12" s="1"/>
  <c r="BC63" i="12"/>
  <c r="BE63" i="12" s="1"/>
  <c r="BC62" i="12"/>
  <c r="BE62" i="12" s="1"/>
  <c r="BU63" i="12"/>
  <c r="BW63" i="12" s="1"/>
  <c r="BU62" i="12"/>
  <c r="BW62" i="12" s="1"/>
  <c r="AB63" i="12"/>
  <c r="AD63" i="12" s="1"/>
  <c r="AB62" i="12"/>
  <c r="AD62" i="12" s="1"/>
  <c r="J63" i="12"/>
  <c r="L63" i="12" s="1"/>
  <c r="CE63" i="12"/>
  <c r="CF63" i="12" s="1"/>
  <c r="J62" i="12"/>
  <c r="L62" i="12" s="1"/>
  <c r="CE62" i="12"/>
  <c r="CF62" i="12" s="1"/>
  <c r="BM63" i="12"/>
  <c r="BM62" i="12"/>
  <c r="AU63" i="12"/>
  <c r="AL63" i="12"/>
  <c r="AL62" i="12"/>
  <c r="K63" i="12"/>
  <c r="BZ62" i="12" l="1"/>
  <c r="CA62" i="12" s="1"/>
  <c r="BZ63" i="12"/>
  <c r="CA63" i="12" s="1"/>
  <c r="CC63" i="12" s="1"/>
  <c r="BS8" i="12"/>
  <c r="BS9" i="12"/>
  <c r="BS10" i="12"/>
  <c r="BS11" i="12"/>
  <c r="BS12" i="12"/>
  <c r="BS13" i="12"/>
  <c r="BS14" i="12"/>
  <c r="BS15" i="12"/>
  <c r="BS16" i="12"/>
  <c r="CB63" i="12" l="1"/>
  <c r="CI63" i="12"/>
  <c r="CB62" i="12"/>
  <c r="CI62" i="12"/>
  <c r="CC62" i="12"/>
  <c r="BU8" i="12"/>
  <c r="BW8" i="12" s="1"/>
  <c r="BV8" i="12"/>
  <c r="BU16" i="12"/>
  <c r="BW16" i="12" s="1"/>
  <c r="BV16" i="12"/>
  <c r="BU15" i="12"/>
  <c r="BW15" i="12" s="1"/>
  <c r="BV15" i="12"/>
  <c r="BV14" i="12"/>
  <c r="BU14" i="12"/>
  <c r="BW14" i="12" s="1"/>
  <c r="BV13" i="12"/>
  <c r="BU13" i="12"/>
  <c r="BW13" i="12" s="1"/>
  <c r="BU12" i="12"/>
  <c r="BW12" i="12" s="1"/>
  <c r="BV12" i="12"/>
  <c r="BU11" i="12"/>
  <c r="BW11" i="12" s="1"/>
  <c r="BV11" i="12"/>
  <c r="BV10" i="12"/>
  <c r="BU10" i="12"/>
  <c r="BW10" i="12" s="1"/>
  <c r="BV9" i="12"/>
  <c r="BU9" i="12"/>
  <c r="BW9" i="12" s="1"/>
  <c r="BS55" i="12" l="1"/>
  <c r="BS56" i="12"/>
  <c r="BS57" i="12"/>
  <c r="BS58" i="12"/>
  <c r="BS59" i="12"/>
  <c r="BS60" i="12"/>
  <c r="BS61" i="12"/>
  <c r="BJ55" i="12"/>
  <c r="BJ56" i="12"/>
  <c r="BJ57" i="12"/>
  <c r="BJ58" i="12"/>
  <c r="BJ59" i="12"/>
  <c r="BJ60" i="12"/>
  <c r="BJ61" i="12"/>
  <c r="BA55" i="12"/>
  <c r="BA56" i="12"/>
  <c r="BA57" i="12"/>
  <c r="BA58" i="12"/>
  <c r="BA59" i="12"/>
  <c r="BA60" i="12"/>
  <c r="BA61" i="12"/>
  <c r="AR55" i="12"/>
  <c r="AR56" i="12"/>
  <c r="AR57" i="12"/>
  <c r="AR58" i="12"/>
  <c r="AR59" i="12"/>
  <c r="AR60" i="12"/>
  <c r="AR61" i="12"/>
  <c r="AI55" i="12"/>
  <c r="AI56" i="12"/>
  <c r="AI57" i="12"/>
  <c r="AI58" i="12"/>
  <c r="AI59" i="12"/>
  <c r="AI60" i="12"/>
  <c r="AI61" i="12"/>
  <c r="Z55" i="12"/>
  <c r="Z56" i="12"/>
  <c r="Z57" i="12"/>
  <c r="Z58" i="12"/>
  <c r="Z59" i="12"/>
  <c r="Z60" i="12"/>
  <c r="Z61" i="12"/>
  <c r="Q55" i="12"/>
  <c r="Q56" i="12"/>
  <c r="Q57" i="12"/>
  <c r="Q58" i="12"/>
  <c r="Q59" i="12"/>
  <c r="Q60" i="12"/>
  <c r="Q61" i="12"/>
  <c r="H55" i="12"/>
  <c r="H56" i="12"/>
  <c r="H57" i="12"/>
  <c r="H58" i="12"/>
  <c r="H59" i="12"/>
  <c r="H60" i="12"/>
  <c r="H61" i="12"/>
  <c r="AL61" i="12" l="1"/>
  <c r="AK61" i="12"/>
  <c r="AM61" i="12" s="1"/>
  <c r="AL56" i="12"/>
  <c r="AK56" i="12"/>
  <c r="AM56" i="12" s="1"/>
  <c r="BD60" i="12"/>
  <c r="BC60" i="12"/>
  <c r="BE60" i="12" s="1"/>
  <c r="BV61" i="12"/>
  <c r="BU61" i="12"/>
  <c r="BW61" i="12" s="1"/>
  <c r="T55" i="12"/>
  <c r="S55" i="12"/>
  <c r="U55" i="12" s="1"/>
  <c r="BV58" i="12"/>
  <c r="BU58" i="12"/>
  <c r="BW58" i="12" s="1"/>
  <c r="BD59" i="12"/>
  <c r="BC59" i="12"/>
  <c r="BE59" i="12" s="1"/>
  <c r="K60" i="12"/>
  <c r="J60" i="12"/>
  <c r="L60" i="12" s="1"/>
  <c r="BD56" i="12"/>
  <c r="BC56" i="12"/>
  <c r="BE56" i="12" s="1"/>
  <c r="AC59" i="12"/>
  <c r="AB59" i="12"/>
  <c r="AD59" i="12" s="1"/>
  <c r="BD55" i="12"/>
  <c r="BC55" i="12"/>
  <c r="BE55" i="12" s="1"/>
  <c r="J58" i="12"/>
  <c r="L58" i="12" s="1"/>
  <c r="K58" i="12"/>
  <c r="AB58" i="12"/>
  <c r="AD58" i="12" s="1"/>
  <c r="AC58" i="12"/>
  <c r="AU61" i="12"/>
  <c r="AT61" i="12"/>
  <c r="AV61" i="12" s="1"/>
  <c r="BV55" i="12"/>
  <c r="BU55" i="12"/>
  <c r="BW55" i="12" s="1"/>
  <c r="BD58" i="12"/>
  <c r="BC58" i="12"/>
  <c r="BE58" i="12" s="1"/>
  <c r="AB60" i="12"/>
  <c r="AD60" i="12" s="1"/>
  <c r="AC60" i="12"/>
  <c r="BV57" i="12"/>
  <c r="BU57" i="12"/>
  <c r="BW57" i="12" s="1"/>
  <c r="J59" i="12"/>
  <c r="L59" i="12" s="1"/>
  <c r="K59" i="12"/>
  <c r="BV56" i="12"/>
  <c r="BU56" i="12"/>
  <c r="BW56" i="12" s="1"/>
  <c r="K57" i="12"/>
  <c r="J57" i="12"/>
  <c r="L57" i="12" s="1"/>
  <c r="AC57" i="12"/>
  <c r="AB57" i="12"/>
  <c r="AD57" i="12" s="1"/>
  <c r="AU60" i="12"/>
  <c r="AT60" i="12"/>
  <c r="AV60" i="12" s="1"/>
  <c r="AC61" i="12"/>
  <c r="AB61" i="12"/>
  <c r="AD61" i="12" s="1"/>
  <c r="J56" i="12"/>
  <c r="L56" i="12" s="1"/>
  <c r="K56" i="12"/>
  <c r="AB55" i="12"/>
  <c r="AD55" i="12" s="1"/>
  <c r="AC55" i="12"/>
  <c r="T61" i="12"/>
  <c r="S61" i="12"/>
  <c r="U61" i="12" s="1"/>
  <c r="BL58" i="12"/>
  <c r="BN58" i="12" s="1"/>
  <c r="BM58" i="12"/>
  <c r="T60" i="12"/>
  <c r="S60" i="12"/>
  <c r="U60" i="12" s="1"/>
  <c r="AK60" i="12"/>
  <c r="AM60" i="12" s="1"/>
  <c r="AL60" i="12"/>
  <c r="AT55" i="12"/>
  <c r="AV55" i="12" s="1"/>
  <c r="AU55" i="12"/>
  <c r="BL57" i="12"/>
  <c r="BN57" i="12" s="1"/>
  <c r="BM57" i="12"/>
  <c r="T56" i="12"/>
  <c r="S56" i="12"/>
  <c r="U56" i="12" s="1"/>
  <c r="K61" i="12"/>
  <c r="J61" i="12"/>
  <c r="L61" i="12" s="1"/>
  <c r="AU59" i="12"/>
  <c r="AT59" i="12"/>
  <c r="AV59" i="12" s="1"/>
  <c r="J55" i="12"/>
  <c r="L55" i="12" s="1"/>
  <c r="K55" i="12"/>
  <c r="BL60" i="12"/>
  <c r="BN60" i="12" s="1"/>
  <c r="BM60" i="12"/>
  <c r="AU57" i="12"/>
  <c r="AT57" i="12"/>
  <c r="AV57" i="12" s="1"/>
  <c r="T59" i="12"/>
  <c r="S59" i="12"/>
  <c r="U59" i="12" s="1"/>
  <c r="T58" i="12"/>
  <c r="S58" i="12"/>
  <c r="U58" i="12" s="1"/>
  <c r="AK58" i="12"/>
  <c r="AM58" i="12" s="1"/>
  <c r="AL58" i="12"/>
  <c r="BL55" i="12"/>
  <c r="BN55" i="12" s="1"/>
  <c r="BM55" i="12"/>
  <c r="AL55" i="12"/>
  <c r="AK55" i="12"/>
  <c r="AM55" i="12" s="1"/>
  <c r="BV60" i="12"/>
  <c r="BU60" i="12"/>
  <c r="BW60" i="12" s="1"/>
  <c r="BV59" i="12"/>
  <c r="BU59" i="12"/>
  <c r="BW59" i="12" s="1"/>
  <c r="BD57" i="12"/>
  <c r="BC57" i="12"/>
  <c r="BE57" i="12" s="1"/>
  <c r="AC56" i="12"/>
  <c r="AB56" i="12"/>
  <c r="AD56" i="12" s="1"/>
  <c r="BL61" i="12"/>
  <c r="BN61" i="12" s="1"/>
  <c r="BM61" i="12"/>
  <c r="AU58" i="12"/>
  <c r="AT58" i="12"/>
  <c r="AV58" i="12" s="1"/>
  <c r="BM59" i="12"/>
  <c r="BL59" i="12"/>
  <c r="BN59" i="12" s="1"/>
  <c r="AU56" i="12"/>
  <c r="AT56" i="12"/>
  <c r="AV56" i="12" s="1"/>
  <c r="AK59" i="12"/>
  <c r="AM59" i="12" s="1"/>
  <c r="AL59" i="12"/>
  <c r="BL56" i="12"/>
  <c r="BN56" i="12" s="1"/>
  <c r="BM56" i="12"/>
  <c r="T57" i="12"/>
  <c r="S57" i="12"/>
  <c r="U57" i="12" s="1"/>
  <c r="AL57" i="12"/>
  <c r="AK57" i="12"/>
  <c r="AM57" i="12" s="1"/>
  <c r="BC61" i="12"/>
  <c r="BE61" i="12" s="1"/>
  <c r="BD61" i="12"/>
  <c r="CE61" i="12"/>
  <c r="CF61" i="12" s="1"/>
  <c r="CE60" i="12"/>
  <c r="CF60" i="12" s="1"/>
  <c r="CE59" i="12"/>
  <c r="CF59" i="12" s="1"/>
  <c r="CE57" i="12"/>
  <c r="CF57" i="12" s="1"/>
  <c r="CE58" i="12"/>
  <c r="CF58" i="12" s="1"/>
  <c r="CE56" i="12"/>
  <c r="CF56" i="12" s="1"/>
  <c r="CE55" i="12"/>
  <c r="CF55" i="12" s="1"/>
  <c r="BZ60" i="12" l="1"/>
  <c r="BZ56" i="12"/>
  <c r="BZ57" i="12"/>
  <c r="BZ55" i="12"/>
  <c r="BZ58" i="12"/>
  <c r="BZ59" i="12"/>
  <c r="BZ61" i="12"/>
  <c r="CA61" i="12" l="1"/>
  <c r="CI61" i="12" s="1"/>
  <c r="CA58" i="12"/>
  <c r="CA60" i="12"/>
  <c r="CI60" i="12" s="1"/>
  <c r="CA59" i="12"/>
  <c r="CI59" i="12" s="1"/>
  <c r="CA56" i="12"/>
  <c r="CI56" i="12" s="1"/>
  <c r="CA57" i="12"/>
  <c r="CI57" i="12" s="1"/>
  <c r="CA55" i="12"/>
  <c r="CI55" i="12" s="1"/>
  <c r="CI58" i="12" l="1"/>
  <c r="CC58" i="12"/>
  <c r="CB57" i="12"/>
  <c r="CB60" i="12"/>
  <c r="CB58" i="12"/>
  <c r="CB55" i="12"/>
  <c r="CB56" i="12"/>
  <c r="CB59" i="12"/>
  <c r="CB61" i="12"/>
  <c r="CC61" i="12"/>
  <c r="CC55" i="12"/>
  <c r="CC57" i="12"/>
  <c r="CC56" i="12"/>
  <c r="CC59" i="12"/>
  <c r="CC60" i="12"/>
  <c r="A9" i="12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H53" i="12"/>
  <c r="Q53" i="12"/>
  <c r="Z53" i="12"/>
  <c r="AI53" i="12"/>
  <c r="AR53" i="12"/>
  <c r="BA53" i="12"/>
  <c r="BJ53" i="12"/>
  <c r="BS53" i="12"/>
  <c r="H54" i="12"/>
  <c r="Q54" i="12"/>
  <c r="Z54" i="12"/>
  <c r="AI54" i="12"/>
  <c r="AR54" i="12"/>
  <c r="BA54" i="12"/>
  <c r="BJ54" i="12"/>
  <c r="BS54" i="12"/>
  <c r="BC53" i="12" l="1"/>
  <c r="BE53" i="12" s="1"/>
  <c r="BD53" i="12"/>
  <c r="BD54" i="12"/>
  <c r="BC54" i="12"/>
  <c r="BE54" i="12" s="1"/>
  <c r="BL53" i="12"/>
  <c r="BN53" i="12" s="1"/>
  <c r="BM53" i="12"/>
  <c r="AT53" i="12"/>
  <c r="AV53" i="12" s="1"/>
  <c r="AU53" i="12"/>
  <c r="AK53" i="12"/>
  <c r="AM53" i="12" s="1"/>
  <c r="AL53" i="12"/>
  <c r="AC53" i="12"/>
  <c r="AB53" i="12"/>
  <c r="AD53" i="12" s="1"/>
  <c r="T53" i="12"/>
  <c r="S53" i="12"/>
  <c r="U53" i="12" s="1"/>
  <c r="K53" i="12"/>
  <c r="J53" i="12"/>
  <c r="L53" i="12" s="1"/>
  <c r="BV54" i="12"/>
  <c r="BU54" i="12"/>
  <c r="BW54" i="12" s="1"/>
  <c r="BL54" i="12"/>
  <c r="BN54" i="12" s="1"/>
  <c r="BM54" i="12"/>
  <c r="AU54" i="12"/>
  <c r="AT54" i="12"/>
  <c r="AV54" i="12" s="1"/>
  <c r="AL54" i="12"/>
  <c r="AK54" i="12"/>
  <c r="AM54" i="12" s="1"/>
  <c r="AC54" i="12"/>
  <c r="AB54" i="12"/>
  <c r="AD54" i="12" s="1"/>
  <c r="T54" i="12"/>
  <c r="S54" i="12"/>
  <c r="U54" i="12" s="1"/>
  <c r="K54" i="12"/>
  <c r="J54" i="12"/>
  <c r="L54" i="12" s="1"/>
  <c r="BV53" i="12"/>
  <c r="BU53" i="12"/>
  <c r="BW53" i="12" s="1"/>
  <c r="CE54" i="12"/>
  <c r="CF54" i="12" s="1"/>
  <c r="CE53" i="12"/>
  <c r="CF53" i="12" s="1"/>
  <c r="BZ53" i="12" l="1"/>
  <c r="BZ54" i="12"/>
  <c r="H52" i="12"/>
  <c r="H51" i="12"/>
  <c r="H50" i="12"/>
  <c r="H49" i="12"/>
  <c r="H48" i="12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8" i="12"/>
  <c r="J38" i="12" l="1"/>
  <c r="K38" i="12"/>
  <c r="J23" i="12"/>
  <c r="L23" i="12" s="1"/>
  <c r="K23" i="12"/>
  <c r="J39" i="12"/>
  <c r="L39" i="12" s="1"/>
  <c r="K39" i="12"/>
  <c r="L9" i="12"/>
  <c r="L10" i="12"/>
  <c r="K42" i="12"/>
  <c r="J42" i="12"/>
  <c r="L42" i="12" s="1"/>
  <c r="K45" i="12"/>
  <c r="J45" i="12"/>
  <c r="L45" i="12" s="1"/>
  <c r="K24" i="12"/>
  <c r="J24" i="12"/>
  <c r="L24" i="12" s="1"/>
  <c r="K41" i="12"/>
  <c r="J41" i="12"/>
  <c r="L41" i="12" s="1"/>
  <c r="K11" i="12"/>
  <c r="J11" i="12"/>
  <c r="L11" i="12" s="1"/>
  <c r="K12" i="12"/>
  <c r="J12" i="12"/>
  <c r="L12" i="12" s="1"/>
  <c r="K44" i="12"/>
  <c r="J44" i="12"/>
  <c r="L44" i="12" s="1"/>
  <c r="K46" i="12"/>
  <c r="J46" i="12"/>
  <c r="L46" i="12" s="1"/>
  <c r="J47" i="12"/>
  <c r="L47" i="12" s="1"/>
  <c r="K47" i="12"/>
  <c r="K32" i="12"/>
  <c r="J32" i="12"/>
  <c r="L32" i="12" s="1"/>
  <c r="J17" i="12"/>
  <c r="L17" i="12" s="1"/>
  <c r="K17" i="12"/>
  <c r="J18" i="12"/>
  <c r="L18" i="12" s="1"/>
  <c r="K18" i="12"/>
  <c r="J52" i="12"/>
  <c r="L52" i="12" s="1"/>
  <c r="K52" i="12"/>
  <c r="J40" i="12"/>
  <c r="L40" i="12" s="1"/>
  <c r="K40" i="12"/>
  <c r="K26" i="12"/>
  <c r="J26" i="12"/>
  <c r="L26" i="12" s="1"/>
  <c r="K43" i="12"/>
  <c r="J43" i="12"/>
  <c r="L43" i="12" s="1"/>
  <c r="K29" i="12"/>
  <c r="J29" i="12"/>
  <c r="L29" i="12" s="1"/>
  <c r="K14" i="12"/>
  <c r="J14" i="12"/>
  <c r="L14" i="12" s="1"/>
  <c r="K15" i="12"/>
  <c r="J15" i="12"/>
  <c r="L15" i="12" s="1"/>
  <c r="K48" i="12"/>
  <c r="J48" i="12"/>
  <c r="L48" i="12" s="1"/>
  <c r="K33" i="12"/>
  <c r="J33" i="12"/>
  <c r="L33" i="12" s="1"/>
  <c r="J50" i="12"/>
  <c r="L50" i="12" s="1"/>
  <c r="K50" i="12"/>
  <c r="J35" i="12"/>
  <c r="L35" i="12" s="1"/>
  <c r="K35" i="12"/>
  <c r="K20" i="12"/>
  <c r="J20" i="12"/>
  <c r="L20" i="12" s="1"/>
  <c r="K37" i="12"/>
  <c r="J37" i="12"/>
  <c r="L37" i="12" s="1"/>
  <c r="K8" i="12"/>
  <c r="J8" i="12"/>
  <c r="L8" i="12" s="1"/>
  <c r="K25" i="12"/>
  <c r="J25" i="12"/>
  <c r="L25" i="12" s="1"/>
  <c r="K27" i="12"/>
  <c r="J27" i="12"/>
  <c r="L27" i="12" s="1"/>
  <c r="J28" i="12"/>
  <c r="L28" i="12" s="1"/>
  <c r="K28" i="12"/>
  <c r="J13" i="12"/>
  <c r="L13" i="12" s="1"/>
  <c r="K13" i="12"/>
  <c r="K30" i="12"/>
  <c r="J30" i="12"/>
  <c r="L30" i="12" s="1"/>
  <c r="K31" i="12"/>
  <c r="J31" i="12"/>
  <c r="L31" i="12" s="1"/>
  <c r="K16" i="12"/>
  <c r="J16" i="12"/>
  <c r="L16" i="12" s="1"/>
  <c r="J49" i="12"/>
  <c r="L49" i="12" s="1"/>
  <c r="K49" i="12"/>
  <c r="J34" i="12"/>
  <c r="L34" i="12" s="1"/>
  <c r="K34" i="12"/>
  <c r="K19" i="12"/>
  <c r="J19" i="12"/>
  <c r="L19" i="12" s="1"/>
  <c r="J51" i="12"/>
  <c r="L51" i="12" s="1"/>
  <c r="K51" i="12"/>
  <c r="K36" i="12"/>
  <c r="J36" i="12"/>
  <c r="L36" i="12" s="1"/>
  <c r="K21" i="12"/>
  <c r="J21" i="12"/>
  <c r="L21" i="12" s="1"/>
  <c r="J22" i="12"/>
  <c r="L22" i="12" s="1"/>
  <c r="K22" i="12"/>
  <c r="CA54" i="12"/>
  <c r="CI54" i="12" s="1"/>
  <c r="CA53" i="12"/>
  <c r="CI53" i="12" s="1"/>
  <c r="L38" i="12"/>
  <c r="BS52" i="12"/>
  <c r="BJ52" i="12"/>
  <c r="BA52" i="12"/>
  <c r="AR52" i="12"/>
  <c r="AI52" i="12"/>
  <c r="Z52" i="12"/>
  <c r="Q52" i="12"/>
  <c r="BS51" i="12"/>
  <c r="BJ51" i="12"/>
  <c r="BA51" i="12"/>
  <c r="AR51" i="12"/>
  <c r="AI51" i="12"/>
  <c r="Z51" i="12"/>
  <c r="Q51" i="12"/>
  <c r="BS50" i="12"/>
  <c r="BJ50" i="12"/>
  <c r="BA50" i="12"/>
  <c r="AR50" i="12"/>
  <c r="AI50" i="12"/>
  <c r="Z50" i="12"/>
  <c r="Q50" i="12"/>
  <c r="BS49" i="12"/>
  <c r="BJ49" i="12"/>
  <c r="BA49" i="12"/>
  <c r="AR49" i="12"/>
  <c r="AI49" i="12"/>
  <c r="Z49" i="12"/>
  <c r="Q49" i="12"/>
  <c r="BS48" i="12"/>
  <c r="BJ48" i="12"/>
  <c r="BA48" i="12"/>
  <c r="AR48" i="12"/>
  <c r="AI48" i="12"/>
  <c r="Z48" i="12"/>
  <c r="Q48" i="12"/>
  <c r="BS47" i="12"/>
  <c r="BJ47" i="12"/>
  <c r="BA47" i="12"/>
  <c r="AR47" i="12"/>
  <c r="AI47" i="12"/>
  <c r="Z47" i="12"/>
  <c r="Q47" i="12"/>
  <c r="BS46" i="12"/>
  <c r="BJ46" i="12"/>
  <c r="BA46" i="12"/>
  <c r="AR46" i="12"/>
  <c r="AI46" i="12"/>
  <c r="Z46" i="12"/>
  <c r="Q46" i="12"/>
  <c r="BS45" i="12"/>
  <c r="BJ45" i="12"/>
  <c r="BA45" i="12"/>
  <c r="AR45" i="12"/>
  <c r="AI45" i="12"/>
  <c r="Z45" i="12"/>
  <c r="Q45" i="12"/>
  <c r="BS44" i="12"/>
  <c r="BJ44" i="12"/>
  <c r="BA44" i="12"/>
  <c r="AR44" i="12"/>
  <c r="AI44" i="12"/>
  <c r="Z44" i="12"/>
  <c r="Q44" i="12"/>
  <c r="BS43" i="12"/>
  <c r="BJ43" i="12"/>
  <c r="BA43" i="12"/>
  <c r="AR43" i="12"/>
  <c r="AI43" i="12"/>
  <c r="Z43" i="12"/>
  <c r="Q43" i="12"/>
  <c r="BS42" i="12"/>
  <c r="BJ42" i="12"/>
  <c r="BA42" i="12"/>
  <c r="AR42" i="12"/>
  <c r="AI42" i="12"/>
  <c r="Z42" i="12"/>
  <c r="Q42" i="12"/>
  <c r="BS41" i="12"/>
  <c r="BJ41" i="12"/>
  <c r="BA41" i="12"/>
  <c r="AR41" i="12"/>
  <c r="AI41" i="12"/>
  <c r="Z41" i="12"/>
  <c r="Q41" i="12"/>
  <c r="BS40" i="12"/>
  <c r="BJ40" i="12"/>
  <c r="BA40" i="12"/>
  <c r="AR40" i="12"/>
  <c r="AI40" i="12"/>
  <c r="Z40" i="12"/>
  <c r="Q40" i="12"/>
  <c r="BS39" i="12"/>
  <c r="BJ39" i="12"/>
  <c r="BA39" i="12"/>
  <c r="AR39" i="12"/>
  <c r="AI39" i="12"/>
  <c r="Z39" i="12"/>
  <c r="Q39" i="12"/>
  <c r="BS38" i="12"/>
  <c r="BJ38" i="12"/>
  <c r="BA38" i="12"/>
  <c r="AR38" i="12"/>
  <c r="AI38" i="12"/>
  <c r="Z38" i="12"/>
  <c r="Q38" i="12"/>
  <c r="BS37" i="12"/>
  <c r="BJ37" i="12"/>
  <c r="BA37" i="12"/>
  <c r="AR37" i="12"/>
  <c r="AI37" i="12"/>
  <c r="Z37" i="12"/>
  <c r="Q37" i="12"/>
  <c r="BS36" i="12"/>
  <c r="BJ36" i="12"/>
  <c r="BA36" i="12"/>
  <c r="AR36" i="12"/>
  <c r="AI36" i="12"/>
  <c r="Z36" i="12"/>
  <c r="Q36" i="12"/>
  <c r="BS35" i="12"/>
  <c r="BJ35" i="12"/>
  <c r="BA35" i="12"/>
  <c r="AR35" i="12"/>
  <c r="AI35" i="12"/>
  <c r="Z35" i="12"/>
  <c r="Q35" i="12"/>
  <c r="BS34" i="12"/>
  <c r="BJ34" i="12"/>
  <c r="BA34" i="12"/>
  <c r="AR34" i="12"/>
  <c r="AI34" i="12"/>
  <c r="Z34" i="12"/>
  <c r="Q34" i="12"/>
  <c r="BS33" i="12"/>
  <c r="BJ33" i="12"/>
  <c r="BA33" i="12"/>
  <c r="AR33" i="12"/>
  <c r="AI33" i="12"/>
  <c r="Z33" i="12"/>
  <c r="Q33" i="12"/>
  <c r="BS32" i="12"/>
  <c r="BJ32" i="12"/>
  <c r="BA32" i="12"/>
  <c r="AR32" i="12"/>
  <c r="AI32" i="12"/>
  <c r="Z32" i="12"/>
  <c r="Q32" i="12"/>
  <c r="BS31" i="12"/>
  <c r="BJ31" i="12"/>
  <c r="BA31" i="12"/>
  <c r="AR31" i="12"/>
  <c r="AI31" i="12"/>
  <c r="Z31" i="12"/>
  <c r="Q31" i="12"/>
  <c r="BS30" i="12"/>
  <c r="BJ30" i="12"/>
  <c r="BA30" i="12"/>
  <c r="AR30" i="12"/>
  <c r="AI30" i="12"/>
  <c r="Z30" i="12"/>
  <c r="Q30" i="12"/>
  <c r="BS29" i="12"/>
  <c r="BJ29" i="12"/>
  <c r="BA29" i="12"/>
  <c r="AR29" i="12"/>
  <c r="AI29" i="12"/>
  <c r="Z29" i="12"/>
  <c r="Q29" i="12"/>
  <c r="BS28" i="12"/>
  <c r="BJ28" i="12"/>
  <c r="BA28" i="12"/>
  <c r="AR28" i="12"/>
  <c r="AI28" i="12"/>
  <c r="Z28" i="12"/>
  <c r="Q28" i="12"/>
  <c r="BS27" i="12"/>
  <c r="BJ27" i="12"/>
  <c r="BA27" i="12"/>
  <c r="AR27" i="12"/>
  <c r="AI27" i="12"/>
  <c r="Z27" i="12"/>
  <c r="Q27" i="12"/>
  <c r="BS26" i="12"/>
  <c r="BJ26" i="12"/>
  <c r="BA26" i="12"/>
  <c r="AR26" i="12"/>
  <c r="AI26" i="12"/>
  <c r="Z26" i="12"/>
  <c r="Q26" i="12"/>
  <c r="BS25" i="12"/>
  <c r="BJ25" i="12"/>
  <c r="BA25" i="12"/>
  <c r="AR25" i="12"/>
  <c r="AI25" i="12"/>
  <c r="Z25" i="12"/>
  <c r="Q25" i="12"/>
  <c r="BS24" i="12"/>
  <c r="BJ24" i="12"/>
  <c r="BA24" i="12"/>
  <c r="AR24" i="12"/>
  <c r="AI24" i="12"/>
  <c r="Z24" i="12"/>
  <c r="Q24" i="12"/>
  <c r="BS23" i="12"/>
  <c r="BJ23" i="12"/>
  <c r="BA23" i="12"/>
  <c r="AR23" i="12"/>
  <c r="AI23" i="12"/>
  <c r="Z23" i="12"/>
  <c r="Q23" i="12"/>
  <c r="BS22" i="12"/>
  <c r="BJ22" i="12"/>
  <c r="BA22" i="12"/>
  <c r="AR22" i="12"/>
  <c r="AI22" i="12"/>
  <c r="Z22" i="12"/>
  <c r="Q22" i="12"/>
  <c r="BS21" i="12"/>
  <c r="BJ21" i="12"/>
  <c r="BA21" i="12"/>
  <c r="AR21" i="12"/>
  <c r="AI21" i="12"/>
  <c r="Z21" i="12"/>
  <c r="Q21" i="12"/>
  <c r="BS20" i="12"/>
  <c r="BJ20" i="12"/>
  <c r="BA20" i="12"/>
  <c r="AR20" i="12"/>
  <c r="AI20" i="12"/>
  <c r="Z20" i="12"/>
  <c r="Q20" i="12"/>
  <c r="BS19" i="12"/>
  <c r="BJ19" i="12"/>
  <c r="BA19" i="12"/>
  <c r="AR19" i="12"/>
  <c r="AI19" i="12"/>
  <c r="Z19" i="12"/>
  <c r="Q19" i="12"/>
  <c r="BS18" i="12"/>
  <c r="BJ18" i="12"/>
  <c r="BA18" i="12"/>
  <c r="AR18" i="12"/>
  <c r="AI18" i="12"/>
  <c r="Z18" i="12"/>
  <c r="Q18" i="12"/>
  <c r="BS17" i="12"/>
  <c r="BJ17" i="12"/>
  <c r="BA17" i="12"/>
  <c r="AR17" i="12"/>
  <c r="AI17" i="12"/>
  <c r="Z17" i="12"/>
  <c r="Q17" i="12"/>
  <c r="BJ16" i="12"/>
  <c r="BA16" i="12"/>
  <c r="AR16" i="12"/>
  <c r="AI16" i="12"/>
  <c r="Z16" i="12"/>
  <c r="Q16" i="12"/>
  <c r="BJ15" i="12"/>
  <c r="BA15" i="12"/>
  <c r="AR15" i="12"/>
  <c r="AI15" i="12"/>
  <c r="Z15" i="12"/>
  <c r="Q15" i="12"/>
  <c r="BJ14" i="12"/>
  <c r="BA14" i="12"/>
  <c r="AR14" i="12"/>
  <c r="AI14" i="12"/>
  <c r="Z14" i="12"/>
  <c r="Q14" i="12"/>
  <c r="BJ13" i="12"/>
  <c r="BA13" i="12"/>
  <c r="AR13" i="12"/>
  <c r="AI13" i="12"/>
  <c r="Z13" i="12"/>
  <c r="Q13" i="12"/>
  <c r="BJ12" i="12"/>
  <c r="BA12" i="12"/>
  <c r="AR12" i="12"/>
  <c r="AI12" i="12"/>
  <c r="Z12" i="12"/>
  <c r="Q12" i="12"/>
  <c r="BJ11" i="12"/>
  <c r="BA11" i="12"/>
  <c r="AR11" i="12"/>
  <c r="AI11" i="12"/>
  <c r="Z11" i="12"/>
  <c r="Q11" i="12"/>
  <c r="BJ10" i="12"/>
  <c r="BA10" i="12"/>
  <c r="AR10" i="12"/>
  <c r="AI10" i="12"/>
  <c r="Z10" i="12"/>
  <c r="Q10" i="12"/>
  <c r="BJ9" i="12"/>
  <c r="BA9" i="12"/>
  <c r="AI9" i="12"/>
  <c r="Z9" i="12"/>
  <c r="Q9" i="12"/>
  <c r="BJ8" i="12"/>
  <c r="BA8" i="12"/>
  <c r="AR8" i="12"/>
  <c r="AI8" i="12"/>
  <c r="Z8" i="12"/>
  <c r="Q8" i="12"/>
  <c r="CE10" i="12" l="1"/>
  <c r="CE9" i="12"/>
  <c r="CF9" i="12" s="1"/>
  <c r="AC20" i="12"/>
  <c r="AB20" i="12"/>
  <c r="AD20" i="12" s="1"/>
  <c r="CB53" i="12"/>
  <c r="CB54" i="12"/>
  <c r="AT38" i="12"/>
  <c r="AV38" i="12" s="1"/>
  <c r="AU38" i="12"/>
  <c r="AK8" i="12"/>
  <c r="AM8" i="12" s="1"/>
  <c r="AL8" i="12"/>
  <c r="AC26" i="12"/>
  <c r="AB26" i="12"/>
  <c r="AD26" i="12" s="1"/>
  <c r="AC8" i="12"/>
  <c r="AB8" i="12"/>
  <c r="AD8" i="12" s="1"/>
  <c r="AC34" i="12"/>
  <c r="AB34" i="12"/>
  <c r="AD34" i="12" s="1"/>
  <c r="T20" i="12"/>
  <c r="S20" i="12"/>
  <c r="U20" i="12" s="1"/>
  <c r="T34" i="12"/>
  <c r="S34" i="12"/>
  <c r="U34" i="12" s="1"/>
  <c r="T26" i="12"/>
  <c r="S26" i="12"/>
  <c r="U26" i="12" s="1"/>
  <c r="K73" i="12"/>
  <c r="K68" i="12"/>
  <c r="K67" i="12"/>
  <c r="K71" i="12"/>
  <c r="K70" i="12"/>
  <c r="K69" i="12"/>
  <c r="K66" i="12"/>
  <c r="K65" i="12"/>
  <c r="K72" i="12"/>
  <c r="BD13" i="12"/>
  <c r="BC13" i="12"/>
  <c r="BE13" i="12" s="1"/>
  <c r="BM34" i="12"/>
  <c r="BL34" i="12"/>
  <c r="BN34" i="12" s="1"/>
  <c r="AU48" i="12"/>
  <c r="AT48" i="12"/>
  <c r="AV48" i="12" s="1"/>
  <c r="AB11" i="12"/>
  <c r="AD11" i="12" s="1"/>
  <c r="AC11" i="12"/>
  <c r="BV18" i="12"/>
  <c r="BU18" i="12"/>
  <c r="BW18" i="12" s="1"/>
  <c r="T28" i="12"/>
  <c r="S28" i="12"/>
  <c r="U28" i="12" s="1"/>
  <c r="BC32" i="12"/>
  <c r="BE32" i="12" s="1"/>
  <c r="BD32" i="12"/>
  <c r="T44" i="12"/>
  <c r="S44" i="12"/>
  <c r="U44" i="12" s="1"/>
  <c r="BD48" i="12"/>
  <c r="BC48" i="12"/>
  <c r="BE48" i="12" s="1"/>
  <c r="AC19" i="12"/>
  <c r="AB19" i="12"/>
  <c r="AD19" i="12" s="1"/>
  <c r="BD30" i="12"/>
  <c r="BC30" i="12"/>
  <c r="BE30" i="12" s="1"/>
  <c r="AC51" i="12"/>
  <c r="AB51" i="12"/>
  <c r="AD51" i="12" s="1"/>
  <c r="AT9" i="12"/>
  <c r="AV9" i="12" s="1"/>
  <c r="AU9" i="12"/>
  <c r="AB12" i="12"/>
  <c r="AD12" i="12" s="1"/>
  <c r="AC12" i="12"/>
  <c r="BM14" i="12"/>
  <c r="BL14" i="12"/>
  <c r="BN14" i="12" s="1"/>
  <c r="AU17" i="12"/>
  <c r="AT17" i="12"/>
  <c r="AV17" i="12" s="1"/>
  <c r="BM19" i="12"/>
  <c r="BL19" i="12"/>
  <c r="BN19" i="12" s="1"/>
  <c r="T22" i="12"/>
  <c r="S22" i="12"/>
  <c r="U22" i="12" s="1"/>
  <c r="AL24" i="12"/>
  <c r="AK24" i="12"/>
  <c r="AM24" i="12" s="1"/>
  <c r="BC26" i="12"/>
  <c r="BE26" i="12" s="1"/>
  <c r="BD26" i="12"/>
  <c r="BV28" i="12"/>
  <c r="BU28" i="12"/>
  <c r="BW28" i="12" s="1"/>
  <c r="AC31" i="12"/>
  <c r="AB31" i="12"/>
  <c r="AD31" i="12" s="1"/>
  <c r="AU33" i="12"/>
  <c r="AT33" i="12"/>
  <c r="AV33" i="12" s="1"/>
  <c r="BM35" i="12"/>
  <c r="BL35" i="12"/>
  <c r="BN35" i="12" s="1"/>
  <c r="T38" i="12"/>
  <c r="S38" i="12"/>
  <c r="U38" i="12" s="1"/>
  <c r="AK40" i="12"/>
  <c r="AM40" i="12" s="1"/>
  <c r="AL40" i="12"/>
  <c r="BC42" i="12"/>
  <c r="BE42" i="12" s="1"/>
  <c r="BD42" i="12"/>
  <c r="BV44" i="12"/>
  <c r="BU44" i="12"/>
  <c r="BW44" i="12" s="1"/>
  <c r="AB47" i="12"/>
  <c r="AD47" i="12" s="1"/>
  <c r="AC47" i="12"/>
  <c r="AU49" i="12"/>
  <c r="AT49" i="12"/>
  <c r="AV49" i="12" s="1"/>
  <c r="BM51" i="12"/>
  <c r="BL51" i="12"/>
  <c r="BN51" i="12" s="1"/>
  <c r="AU32" i="12"/>
  <c r="AT32" i="12"/>
  <c r="AV32" i="12" s="1"/>
  <c r="BU19" i="12"/>
  <c r="BW19" i="12" s="1"/>
  <c r="BV19" i="12"/>
  <c r="BC33" i="12"/>
  <c r="BD33" i="12"/>
  <c r="T45" i="12"/>
  <c r="S45" i="12"/>
  <c r="U45" i="12" s="1"/>
  <c r="AU12" i="12"/>
  <c r="AT12" i="12"/>
  <c r="AV12" i="12" s="1"/>
  <c r="BV26" i="12"/>
  <c r="BU26" i="12"/>
  <c r="BW26" i="12" s="1"/>
  <c r="AL38" i="12"/>
  <c r="AK38" i="12"/>
  <c r="AM38" i="12" s="1"/>
  <c r="BV42" i="12"/>
  <c r="BU42" i="12"/>
  <c r="BW42" i="12" s="1"/>
  <c r="T52" i="12"/>
  <c r="S52" i="12"/>
  <c r="U52" i="12" s="1"/>
  <c r="AL15" i="12"/>
  <c r="AK15" i="12"/>
  <c r="AM15" i="12" s="1"/>
  <c r="AT22" i="12"/>
  <c r="AU22" i="12"/>
  <c r="BD31" i="12"/>
  <c r="BC31" i="12"/>
  <c r="BE31" i="12" s="1"/>
  <c r="BU33" i="12"/>
  <c r="BW33" i="12" s="1"/>
  <c r="BV33" i="12"/>
  <c r="AC36" i="12"/>
  <c r="AB36" i="12"/>
  <c r="AD36" i="12" s="1"/>
  <c r="BL40" i="12"/>
  <c r="BN40" i="12" s="1"/>
  <c r="BM40" i="12"/>
  <c r="T43" i="12"/>
  <c r="S43" i="12"/>
  <c r="U43" i="12" s="1"/>
  <c r="AL45" i="12"/>
  <c r="AK45" i="12"/>
  <c r="AM45" i="12" s="1"/>
  <c r="BC47" i="12"/>
  <c r="BE47" i="12" s="1"/>
  <c r="BD47" i="12"/>
  <c r="BU49" i="12"/>
  <c r="BW49" i="12" s="1"/>
  <c r="BV49" i="12"/>
  <c r="AC52" i="12"/>
  <c r="AB52" i="12"/>
  <c r="AD52" i="12" s="1"/>
  <c r="BV20" i="12"/>
  <c r="BU20" i="12"/>
  <c r="BW20" i="12" s="1"/>
  <c r="T21" i="12"/>
  <c r="S21" i="12"/>
  <c r="U21" i="12" s="1"/>
  <c r="BD9" i="12"/>
  <c r="BC9" i="12"/>
  <c r="BE9" i="12" s="1"/>
  <c r="AT24" i="12"/>
  <c r="AV24" i="12" s="1"/>
  <c r="AU24" i="12"/>
  <c r="AU40" i="12"/>
  <c r="AT40" i="12"/>
  <c r="AV40" i="12" s="1"/>
  <c r="BL17" i="12"/>
  <c r="BN17" i="12" s="1"/>
  <c r="BM17" i="12"/>
  <c r="AC45" i="12"/>
  <c r="AB45" i="12"/>
  <c r="AD45" i="12" s="1"/>
  <c r="AB10" i="12"/>
  <c r="AD10" i="12" s="1"/>
  <c r="AC10" i="12"/>
  <c r="AK20" i="12"/>
  <c r="AM20" i="12" s="1"/>
  <c r="AL20" i="12"/>
  <c r="BC22" i="12"/>
  <c r="BE22" i="12" s="1"/>
  <c r="BD22" i="12"/>
  <c r="BU24" i="12"/>
  <c r="BW24" i="12" s="1"/>
  <c r="BV24" i="12"/>
  <c r="AC27" i="12"/>
  <c r="AB27" i="12"/>
  <c r="AD27" i="12" s="1"/>
  <c r="AU29" i="12"/>
  <c r="AT29" i="12"/>
  <c r="AV29" i="12" s="1"/>
  <c r="BM31" i="12"/>
  <c r="BL31" i="12"/>
  <c r="BN31" i="12" s="1"/>
  <c r="AK36" i="12"/>
  <c r="AM36" i="12" s="1"/>
  <c r="AL36" i="12"/>
  <c r="BD38" i="12"/>
  <c r="BC38" i="12"/>
  <c r="BE38" i="12" s="1"/>
  <c r="BU40" i="12"/>
  <c r="BW40" i="12" s="1"/>
  <c r="BV40" i="12"/>
  <c r="AB43" i="12"/>
  <c r="AD43" i="12" s="1"/>
  <c r="AC43" i="12"/>
  <c r="AU45" i="12"/>
  <c r="AT45" i="12"/>
  <c r="AV45" i="12" s="1"/>
  <c r="BM47" i="12"/>
  <c r="BL47" i="12"/>
  <c r="BN47" i="12" s="1"/>
  <c r="T50" i="12"/>
  <c r="S50" i="12"/>
  <c r="U50" i="12" s="1"/>
  <c r="AK52" i="12"/>
  <c r="AM52" i="12" s="1"/>
  <c r="AL52" i="12"/>
  <c r="BM27" i="12"/>
  <c r="BL27" i="12"/>
  <c r="BN27" i="12" s="1"/>
  <c r="BU27" i="12"/>
  <c r="BW27" i="12" s="1"/>
  <c r="BV27" i="12"/>
  <c r="BC17" i="12"/>
  <c r="BE17" i="12" s="1"/>
  <c r="BD17" i="12"/>
  <c r="T29" i="12"/>
  <c r="S29" i="12"/>
  <c r="U29" i="12" s="1"/>
  <c r="AC38" i="12"/>
  <c r="AB38" i="12"/>
  <c r="AD38" i="12" s="1"/>
  <c r="BU51" i="12"/>
  <c r="BW51" i="12" s="1"/>
  <c r="BV51" i="12"/>
  <c r="AU31" i="12"/>
  <c r="AT31" i="12"/>
  <c r="AV31" i="12" s="1"/>
  <c r="AU47" i="12"/>
  <c r="AT47" i="12"/>
  <c r="AV47" i="12" s="1"/>
  <c r="BD12" i="12"/>
  <c r="BC12" i="12"/>
  <c r="T27" i="12"/>
  <c r="S27" i="12"/>
  <c r="U27" i="12" s="1"/>
  <c r="BL12" i="12"/>
  <c r="BN12" i="12" s="1"/>
  <c r="BM12" i="12"/>
  <c r="T13" i="12"/>
  <c r="S13" i="12"/>
  <c r="U13" i="12" s="1"/>
  <c r="AC18" i="12"/>
  <c r="AB18" i="12"/>
  <c r="AD18" i="12" s="1"/>
  <c r="BL22" i="12"/>
  <c r="BN22" i="12" s="1"/>
  <c r="BM22" i="12"/>
  <c r="T25" i="12"/>
  <c r="S25" i="12"/>
  <c r="U25" i="12" s="1"/>
  <c r="AK27" i="12"/>
  <c r="AM27" i="12" s="1"/>
  <c r="AL27" i="12"/>
  <c r="BD29" i="12"/>
  <c r="BC29" i="12"/>
  <c r="BE29" i="12" s="1"/>
  <c r="BU31" i="12"/>
  <c r="BW31" i="12" s="1"/>
  <c r="BV31" i="12"/>
  <c r="AT36" i="12"/>
  <c r="AV36" i="12" s="1"/>
  <c r="AU36" i="12"/>
  <c r="BM38" i="12"/>
  <c r="BL38" i="12"/>
  <c r="T41" i="12"/>
  <c r="S41" i="12"/>
  <c r="U41" i="12" s="1"/>
  <c r="AK43" i="12"/>
  <c r="AM43" i="12" s="1"/>
  <c r="AL43" i="12"/>
  <c r="BC45" i="12"/>
  <c r="BE45" i="12" s="1"/>
  <c r="BD45" i="12"/>
  <c r="BU47" i="12"/>
  <c r="BW47" i="12" s="1"/>
  <c r="BV47" i="12"/>
  <c r="AC50" i="12"/>
  <c r="AB50" i="12"/>
  <c r="AD50" i="12" s="1"/>
  <c r="AT52" i="12"/>
  <c r="AV52" i="12" s="1"/>
  <c r="AU52" i="12"/>
  <c r="BM18" i="12"/>
  <c r="BL18" i="12"/>
  <c r="BN18" i="12" s="1"/>
  <c r="AK12" i="12"/>
  <c r="AM12" i="12" s="1"/>
  <c r="AL12" i="12"/>
  <c r="BL26" i="12"/>
  <c r="BN26" i="12" s="1"/>
  <c r="BM26" i="12"/>
  <c r="AK47" i="12"/>
  <c r="AM47" i="12" s="1"/>
  <c r="AL47" i="12"/>
  <c r="AC15" i="12"/>
  <c r="AB15" i="12"/>
  <c r="AD15" i="12" s="1"/>
  <c r="AL22" i="12"/>
  <c r="AK22" i="12"/>
  <c r="AM22" i="12" s="1"/>
  <c r="AC29" i="12"/>
  <c r="AB29" i="12"/>
  <c r="AD29" i="12" s="1"/>
  <c r="BM33" i="12"/>
  <c r="BL33" i="12"/>
  <c r="BN33" i="12" s="1"/>
  <c r="BD40" i="12"/>
  <c r="BC40" i="12"/>
  <c r="BE40" i="12" s="1"/>
  <c r="BL49" i="12"/>
  <c r="BN49" i="12" s="1"/>
  <c r="BM49" i="12"/>
  <c r="T10" i="12"/>
  <c r="S10" i="12"/>
  <c r="U10" i="12" s="1"/>
  <c r="AL29" i="12"/>
  <c r="AK29" i="12"/>
  <c r="AM29" i="12" s="1"/>
  <c r="AT15" i="12"/>
  <c r="AV15" i="12" s="1"/>
  <c r="AU15" i="12"/>
  <c r="AK10" i="12"/>
  <c r="AM10" i="12" s="1"/>
  <c r="AL10" i="12"/>
  <c r="BD15" i="12"/>
  <c r="BC15" i="12"/>
  <c r="BE15" i="12" s="1"/>
  <c r="AT20" i="12"/>
  <c r="AV20" i="12" s="1"/>
  <c r="AU20" i="12"/>
  <c r="AU10" i="12"/>
  <c r="AT10" i="12"/>
  <c r="AV10" i="12" s="1"/>
  <c r="AB13" i="12"/>
  <c r="AD13" i="12" s="1"/>
  <c r="AC13" i="12"/>
  <c r="BM15" i="12"/>
  <c r="BL15" i="12"/>
  <c r="BN15" i="12" s="1"/>
  <c r="AL18" i="12"/>
  <c r="AK18" i="12"/>
  <c r="AM18" i="12" s="1"/>
  <c r="BD20" i="12"/>
  <c r="BC20" i="12"/>
  <c r="BE20" i="12" s="1"/>
  <c r="BV22" i="12"/>
  <c r="BU22" i="12"/>
  <c r="BW22" i="12" s="1"/>
  <c r="AC25" i="12"/>
  <c r="AB25" i="12"/>
  <c r="AD25" i="12" s="1"/>
  <c r="AU27" i="12"/>
  <c r="AT27" i="12"/>
  <c r="AV27" i="12" s="1"/>
  <c r="BL29" i="12"/>
  <c r="BN29" i="12" s="1"/>
  <c r="BM29" i="12"/>
  <c r="T32" i="12"/>
  <c r="S32" i="12"/>
  <c r="U32" i="12" s="1"/>
  <c r="AL34" i="12"/>
  <c r="AK34" i="12"/>
  <c r="AM34" i="12" s="1"/>
  <c r="BD36" i="12"/>
  <c r="BC36" i="12"/>
  <c r="BE36" i="12" s="1"/>
  <c r="BV38" i="12"/>
  <c r="BU38" i="12"/>
  <c r="BW38" i="12" s="1"/>
  <c r="AC41" i="12"/>
  <c r="AB41" i="12"/>
  <c r="AD41" i="12" s="1"/>
  <c r="AU43" i="12"/>
  <c r="AT43" i="12"/>
  <c r="AV43" i="12" s="1"/>
  <c r="BL45" i="12"/>
  <c r="BN45" i="12" s="1"/>
  <c r="BM45" i="12"/>
  <c r="T48" i="12"/>
  <c r="S48" i="12"/>
  <c r="U48" i="12" s="1"/>
  <c r="AL50" i="12"/>
  <c r="AK50" i="12"/>
  <c r="AM50" i="12" s="1"/>
  <c r="BD52" i="12"/>
  <c r="BC52" i="12"/>
  <c r="BE52" i="12" s="1"/>
  <c r="CC53" i="12"/>
  <c r="AU13" i="12"/>
  <c r="AT13" i="12"/>
  <c r="AV13" i="12" s="1"/>
  <c r="AT25" i="12"/>
  <c r="AV25" i="12" s="1"/>
  <c r="AU25" i="12"/>
  <c r="AL32" i="12"/>
  <c r="AK32" i="12"/>
  <c r="AM32" i="12" s="1"/>
  <c r="BV36" i="12"/>
  <c r="BU36" i="12"/>
  <c r="BW36" i="12" s="1"/>
  <c r="T46" i="12"/>
  <c r="S46" i="12"/>
  <c r="U46" i="12" s="1"/>
  <c r="BV52" i="12"/>
  <c r="BU52" i="12"/>
  <c r="BW52" i="12" s="1"/>
  <c r="T37" i="12"/>
  <c r="S37" i="12"/>
  <c r="U37" i="12" s="1"/>
  <c r="T15" i="12"/>
  <c r="S15" i="12"/>
  <c r="U15" i="12" s="1"/>
  <c r="AC22" i="12"/>
  <c r="AB22" i="12"/>
  <c r="AD22" i="12" s="1"/>
  <c r="AL31" i="12"/>
  <c r="AK31" i="12"/>
  <c r="AM31" i="12" s="1"/>
  <c r="BU35" i="12"/>
  <c r="BW35" i="12" s="1"/>
  <c r="BV35" i="12"/>
  <c r="BL42" i="12"/>
  <c r="BN42" i="12" s="1"/>
  <c r="BM42" i="12"/>
  <c r="BC49" i="12"/>
  <c r="BE49" i="12" s="1"/>
  <c r="BD49" i="12"/>
  <c r="BL9" i="12"/>
  <c r="BN9" i="12" s="1"/>
  <c r="BM9" i="12"/>
  <c r="BD24" i="12"/>
  <c r="BC24" i="12"/>
  <c r="BE24" i="12" s="1"/>
  <c r="T36" i="12"/>
  <c r="S36" i="12"/>
  <c r="U36" i="12" s="1"/>
  <c r="BU17" i="12"/>
  <c r="BW17" i="12" s="1"/>
  <c r="BV17" i="12"/>
  <c r="BL24" i="12"/>
  <c r="BN24" i="12" s="1"/>
  <c r="BM24" i="12"/>
  <c r="T18" i="12"/>
  <c r="S18" i="12"/>
  <c r="U18" i="12" s="1"/>
  <c r="T8" i="12"/>
  <c r="S8" i="12"/>
  <c r="U8" i="12" s="1"/>
  <c r="BD10" i="12"/>
  <c r="BC10" i="12"/>
  <c r="BE10" i="12" s="1"/>
  <c r="AL13" i="12"/>
  <c r="AK13" i="12"/>
  <c r="AM13" i="12" s="1"/>
  <c r="T16" i="12"/>
  <c r="S16" i="12"/>
  <c r="U16" i="12" s="1"/>
  <c r="AU18" i="12"/>
  <c r="AT18" i="12"/>
  <c r="AV18" i="12" s="1"/>
  <c r="BL20" i="12"/>
  <c r="BN20" i="12" s="1"/>
  <c r="BM20" i="12"/>
  <c r="T23" i="12"/>
  <c r="S23" i="12"/>
  <c r="U23" i="12" s="1"/>
  <c r="AL25" i="12"/>
  <c r="AK25" i="12"/>
  <c r="AM25" i="12" s="1"/>
  <c r="BD27" i="12"/>
  <c r="BC27" i="12"/>
  <c r="BE27" i="12" s="1"/>
  <c r="BU29" i="12"/>
  <c r="BW29" i="12" s="1"/>
  <c r="BV29" i="12"/>
  <c r="AB32" i="12"/>
  <c r="AD32" i="12" s="1"/>
  <c r="AC32" i="12"/>
  <c r="AU34" i="12"/>
  <c r="AT34" i="12"/>
  <c r="AV34" i="12" s="1"/>
  <c r="BM36" i="12"/>
  <c r="BL36" i="12"/>
  <c r="BN36" i="12" s="1"/>
  <c r="T39" i="12"/>
  <c r="S39" i="12"/>
  <c r="U39" i="12" s="1"/>
  <c r="AL41" i="12"/>
  <c r="AK41" i="12"/>
  <c r="AM41" i="12" s="1"/>
  <c r="BD43" i="12"/>
  <c r="BC43" i="12"/>
  <c r="BE43" i="12" s="1"/>
  <c r="BV45" i="12"/>
  <c r="BU45" i="12"/>
  <c r="BW45" i="12" s="1"/>
  <c r="AB48" i="12"/>
  <c r="AD48" i="12" s="1"/>
  <c r="AC48" i="12"/>
  <c r="AU50" i="12"/>
  <c r="AT50" i="12"/>
  <c r="AV50" i="12" s="1"/>
  <c r="BM52" i="12"/>
  <c r="BL52" i="12"/>
  <c r="BN52" i="12" s="1"/>
  <c r="CC54" i="12"/>
  <c r="BL10" i="12"/>
  <c r="BN10" i="12" s="1"/>
  <c r="BM10" i="12"/>
  <c r="BD25" i="12"/>
  <c r="BC25" i="12"/>
  <c r="BE25" i="12" s="1"/>
  <c r="BU43" i="12"/>
  <c r="BW43" i="12" s="1"/>
  <c r="BV43" i="12"/>
  <c r="AU16" i="12"/>
  <c r="AT16" i="12"/>
  <c r="AV16" i="12" s="1"/>
  <c r="AT23" i="12"/>
  <c r="AV23" i="12" s="1"/>
  <c r="AU23" i="12"/>
  <c r="AK30" i="12"/>
  <c r="AM30" i="12" s="1"/>
  <c r="AL30" i="12"/>
  <c r="BV34" i="12"/>
  <c r="BU34" i="12"/>
  <c r="BW34" i="12" s="1"/>
  <c r="AK46" i="12"/>
  <c r="AM46" i="12" s="1"/>
  <c r="AL46" i="12"/>
  <c r="BV50" i="12"/>
  <c r="BU50" i="12"/>
  <c r="BW50" i="12" s="1"/>
  <c r="BD8" i="12"/>
  <c r="BC8" i="12"/>
  <c r="BE8" i="12" s="1"/>
  <c r="AK11" i="12"/>
  <c r="AM11" i="12" s="1"/>
  <c r="AL11" i="12"/>
  <c r="T14" i="12"/>
  <c r="S14" i="12"/>
  <c r="U14" i="12" s="1"/>
  <c r="BC16" i="12"/>
  <c r="BE16" i="12" s="1"/>
  <c r="BD16" i="12"/>
  <c r="T19" i="12"/>
  <c r="S19" i="12"/>
  <c r="U19" i="12" s="1"/>
  <c r="AK21" i="12"/>
  <c r="AM21" i="12" s="1"/>
  <c r="AL21" i="12"/>
  <c r="BD23" i="12"/>
  <c r="BC23" i="12"/>
  <c r="BE23" i="12" s="1"/>
  <c r="BV25" i="12"/>
  <c r="BU25" i="12"/>
  <c r="BW25" i="12" s="1"/>
  <c r="AB28" i="12"/>
  <c r="AD28" i="12" s="1"/>
  <c r="AC28" i="12"/>
  <c r="AT30" i="12"/>
  <c r="AV30" i="12" s="1"/>
  <c r="AU30" i="12"/>
  <c r="BM32" i="12"/>
  <c r="BL32" i="12"/>
  <c r="BN32" i="12" s="1"/>
  <c r="T35" i="12"/>
  <c r="S35" i="12"/>
  <c r="U35" i="12" s="1"/>
  <c r="AK37" i="12"/>
  <c r="AM37" i="12" s="1"/>
  <c r="AL37" i="12"/>
  <c r="BD39" i="12"/>
  <c r="BC39" i="12"/>
  <c r="BE39" i="12" s="1"/>
  <c r="BV41" i="12"/>
  <c r="BU41" i="12"/>
  <c r="BW41" i="12" s="1"/>
  <c r="AB44" i="12"/>
  <c r="AD44" i="12" s="1"/>
  <c r="AC44" i="12"/>
  <c r="AT46" i="12"/>
  <c r="AV46" i="12" s="1"/>
  <c r="AU46" i="12"/>
  <c r="BM48" i="12"/>
  <c r="BL48" i="12"/>
  <c r="BN48" i="12" s="1"/>
  <c r="T51" i="12"/>
  <c r="S51" i="12"/>
  <c r="U51" i="12" s="1"/>
  <c r="AB23" i="12"/>
  <c r="AD23" i="12" s="1"/>
  <c r="AC23" i="12"/>
  <c r="AB39" i="12"/>
  <c r="AD39" i="12" s="1"/>
  <c r="AC39" i="12"/>
  <c r="AL23" i="12"/>
  <c r="AK23" i="12"/>
  <c r="AM23" i="12" s="1"/>
  <c r="AB46" i="12"/>
  <c r="AD46" i="12" s="1"/>
  <c r="AC46" i="12"/>
  <c r="AT8" i="12"/>
  <c r="AV8" i="12" s="1"/>
  <c r="AU8" i="12"/>
  <c r="BL25" i="12"/>
  <c r="BN25" i="12" s="1"/>
  <c r="BM25" i="12"/>
  <c r="AT39" i="12"/>
  <c r="AV39" i="12" s="1"/>
  <c r="AU39" i="12"/>
  <c r="AU11" i="12"/>
  <c r="AT11" i="12"/>
  <c r="AV11" i="12" s="1"/>
  <c r="AT21" i="12"/>
  <c r="AV21" i="12" s="1"/>
  <c r="AU21" i="12"/>
  <c r="AK28" i="12"/>
  <c r="AM28" i="12" s="1"/>
  <c r="AL28" i="12"/>
  <c r="AC35" i="12"/>
  <c r="AB35" i="12"/>
  <c r="AD35" i="12" s="1"/>
  <c r="BM39" i="12"/>
  <c r="BL39" i="12"/>
  <c r="BN39" i="12" s="1"/>
  <c r="AK44" i="12"/>
  <c r="AM44" i="12" s="1"/>
  <c r="AL44" i="12"/>
  <c r="BU48" i="12"/>
  <c r="BW48" i="12" s="1"/>
  <c r="BV48" i="12"/>
  <c r="T17" i="12"/>
  <c r="S17" i="12"/>
  <c r="U17" i="12" s="1"/>
  <c r="BV23" i="12"/>
  <c r="BU23" i="12"/>
  <c r="BW23" i="12" s="1"/>
  <c r="AU28" i="12"/>
  <c r="AT28" i="12"/>
  <c r="AV28" i="12" s="1"/>
  <c r="BM30" i="12"/>
  <c r="BL30" i="12"/>
  <c r="BN30" i="12" s="1"/>
  <c r="T33" i="12"/>
  <c r="S33" i="12"/>
  <c r="U33" i="12" s="1"/>
  <c r="AL35" i="12"/>
  <c r="AK35" i="12"/>
  <c r="AM35" i="12" s="1"/>
  <c r="BC37" i="12"/>
  <c r="BE37" i="12" s="1"/>
  <c r="BD37" i="12"/>
  <c r="BV39" i="12"/>
  <c r="BU39" i="12"/>
  <c r="BW39" i="12" s="1"/>
  <c r="AC42" i="12"/>
  <c r="AB42" i="12"/>
  <c r="AD42" i="12" s="1"/>
  <c r="AU44" i="12"/>
  <c r="AT44" i="12"/>
  <c r="AV44" i="12" s="1"/>
  <c r="BM46" i="12"/>
  <c r="BL46" i="12"/>
  <c r="BN46" i="12" s="1"/>
  <c r="T49" i="12"/>
  <c r="S49" i="12"/>
  <c r="U49" i="12" s="1"/>
  <c r="AL51" i="12"/>
  <c r="AK51" i="12"/>
  <c r="AM51" i="12" s="1"/>
  <c r="AB16" i="12"/>
  <c r="AD16" i="12" s="1"/>
  <c r="AC16" i="12"/>
  <c r="BC34" i="12"/>
  <c r="BE34" i="12" s="1"/>
  <c r="BD34" i="12"/>
  <c r="BM43" i="12"/>
  <c r="BL43" i="12"/>
  <c r="BN43" i="12" s="1"/>
  <c r="AL16" i="12"/>
  <c r="AK16" i="12"/>
  <c r="AM16" i="12" s="1"/>
  <c r="AB30" i="12"/>
  <c r="AD30" i="12" s="1"/>
  <c r="AC30" i="12"/>
  <c r="BD41" i="12"/>
  <c r="BC41" i="12"/>
  <c r="BE41" i="12" s="1"/>
  <c r="BM50" i="12"/>
  <c r="BL50" i="12"/>
  <c r="BN50" i="12" s="1"/>
  <c r="BM13" i="12"/>
  <c r="BL13" i="12"/>
  <c r="BN13" i="12" s="1"/>
  <c r="AC37" i="12"/>
  <c r="AB37" i="12"/>
  <c r="AD37" i="12" s="1"/>
  <c r="BM8" i="12"/>
  <c r="BL8" i="12"/>
  <c r="BN8" i="12" s="1"/>
  <c r="BM16" i="12"/>
  <c r="BL16" i="12"/>
  <c r="BN16" i="12" s="1"/>
  <c r="AT37" i="12"/>
  <c r="AV37" i="12" s="1"/>
  <c r="AU37" i="12"/>
  <c r="BC46" i="12"/>
  <c r="BE46" i="12" s="1"/>
  <c r="BD46" i="12"/>
  <c r="BD11" i="12"/>
  <c r="BC11" i="12"/>
  <c r="BE11" i="12" s="1"/>
  <c r="AL19" i="12"/>
  <c r="AK19" i="12"/>
  <c r="AM19" i="12" s="1"/>
  <c r="AC9" i="12"/>
  <c r="AB9" i="12"/>
  <c r="AD9" i="12" s="1"/>
  <c r="AT14" i="12"/>
  <c r="AV14" i="12" s="1"/>
  <c r="AU14" i="12"/>
  <c r="AB17" i="12"/>
  <c r="AD17" i="12" s="1"/>
  <c r="AC17" i="12"/>
  <c r="AT19" i="12"/>
  <c r="AV19" i="12" s="1"/>
  <c r="AU19" i="12"/>
  <c r="BL21" i="12"/>
  <c r="BN21" i="12" s="1"/>
  <c r="BM21" i="12"/>
  <c r="T24" i="12"/>
  <c r="S24" i="12"/>
  <c r="U24" i="12" s="1"/>
  <c r="AK26" i="12"/>
  <c r="AM26" i="12" s="1"/>
  <c r="AL26" i="12"/>
  <c r="BD28" i="12"/>
  <c r="BC28" i="12"/>
  <c r="BE28" i="12" s="1"/>
  <c r="BU30" i="12"/>
  <c r="BW30" i="12" s="1"/>
  <c r="BV30" i="12"/>
  <c r="AB33" i="12"/>
  <c r="AD33" i="12" s="1"/>
  <c r="AC33" i="12"/>
  <c r="AT35" i="12"/>
  <c r="AV35" i="12" s="1"/>
  <c r="AU35" i="12"/>
  <c r="BM37" i="12"/>
  <c r="BL37" i="12"/>
  <c r="BN37" i="12" s="1"/>
  <c r="T40" i="12"/>
  <c r="S40" i="12"/>
  <c r="U40" i="12" s="1"/>
  <c r="AK42" i="12"/>
  <c r="AM42" i="12" s="1"/>
  <c r="AL42" i="12"/>
  <c r="BD44" i="12"/>
  <c r="BC44" i="12"/>
  <c r="BE44" i="12" s="1"/>
  <c r="BU46" i="12"/>
  <c r="BW46" i="12" s="1"/>
  <c r="BV46" i="12"/>
  <c r="AB49" i="12"/>
  <c r="AD49" i="12" s="1"/>
  <c r="AC49" i="12"/>
  <c r="AT51" i="12"/>
  <c r="AV51" i="12" s="1"/>
  <c r="AU51" i="12"/>
  <c r="BC18" i="12"/>
  <c r="BE18" i="12" s="1"/>
  <c r="BD18" i="12"/>
  <c r="T30" i="12"/>
  <c r="S30" i="12"/>
  <c r="U30" i="12" s="1"/>
  <c r="AT41" i="12"/>
  <c r="AV41" i="12" s="1"/>
  <c r="AU41" i="12"/>
  <c r="AK48" i="12"/>
  <c r="AM48" i="12" s="1"/>
  <c r="AL48" i="12"/>
  <c r="BC50" i="12"/>
  <c r="BE50" i="12" s="1"/>
  <c r="BD50" i="12"/>
  <c r="T11" i="12"/>
  <c r="S11" i="12"/>
  <c r="U11" i="12" s="1"/>
  <c r="AK39" i="12"/>
  <c r="AM39" i="12" s="1"/>
  <c r="AL39" i="12"/>
  <c r="AC21" i="12"/>
  <c r="AB21" i="12"/>
  <c r="AD21" i="12" s="1"/>
  <c r="BL41" i="12"/>
  <c r="BN41" i="12" s="1"/>
  <c r="BM41" i="12"/>
  <c r="AB14" i="12"/>
  <c r="AD14" i="12" s="1"/>
  <c r="AC14" i="12"/>
  <c r="BM23" i="12"/>
  <c r="BL23" i="12"/>
  <c r="BN23" i="12" s="1"/>
  <c r="BU32" i="12"/>
  <c r="BW32" i="12" s="1"/>
  <c r="BV32" i="12"/>
  <c r="T42" i="12"/>
  <c r="S42" i="12"/>
  <c r="U42" i="12" s="1"/>
  <c r="T9" i="12"/>
  <c r="S9" i="12"/>
  <c r="U9" i="12" s="1"/>
  <c r="AK14" i="12"/>
  <c r="AM14" i="12" s="1"/>
  <c r="AL14" i="12"/>
  <c r="BC21" i="12"/>
  <c r="BE21" i="12" s="1"/>
  <c r="BD21" i="12"/>
  <c r="BM11" i="12"/>
  <c r="BL11" i="12"/>
  <c r="BN11" i="12" s="1"/>
  <c r="AL9" i="12"/>
  <c r="AK9" i="12"/>
  <c r="AM9" i="12" s="1"/>
  <c r="T12" i="12"/>
  <c r="S12" i="12"/>
  <c r="U12" i="12" s="1"/>
  <c r="BD14" i="12"/>
  <c r="BC14" i="12"/>
  <c r="BE14" i="12" s="1"/>
  <c r="AL17" i="12"/>
  <c r="AK17" i="12"/>
  <c r="AM17" i="12" s="1"/>
  <c r="BC19" i="12"/>
  <c r="BE19" i="12" s="1"/>
  <c r="BD19" i="12"/>
  <c r="BV21" i="12"/>
  <c r="BU21" i="12"/>
  <c r="BW21" i="12" s="1"/>
  <c r="AB24" i="12"/>
  <c r="AD24" i="12" s="1"/>
  <c r="AC24" i="12"/>
  <c r="AU26" i="12"/>
  <c r="AT26" i="12"/>
  <c r="AV26" i="12" s="1"/>
  <c r="BL28" i="12"/>
  <c r="BN28" i="12" s="1"/>
  <c r="BM28" i="12"/>
  <c r="T31" i="12"/>
  <c r="S31" i="12"/>
  <c r="U31" i="12" s="1"/>
  <c r="AL33" i="12"/>
  <c r="AK33" i="12"/>
  <c r="AM33" i="12" s="1"/>
  <c r="BC35" i="12"/>
  <c r="BE35" i="12" s="1"/>
  <c r="BD35" i="12"/>
  <c r="BV37" i="12"/>
  <c r="BU37" i="12"/>
  <c r="BW37" i="12" s="1"/>
  <c r="AC40" i="12"/>
  <c r="AB40" i="12"/>
  <c r="AD40" i="12" s="1"/>
  <c r="AU42" i="12"/>
  <c r="AT42" i="12"/>
  <c r="AV42" i="12" s="1"/>
  <c r="BL44" i="12"/>
  <c r="BN44" i="12" s="1"/>
  <c r="BM44" i="12"/>
  <c r="T47" i="12"/>
  <c r="S47" i="12"/>
  <c r="U47" i="12" s="1"/>
  <c r="AL49" i="12"/>
  <c r="AK49" i="12"/>
  <c r="AM49" i="12" s="1"/>
  <c r="BC51" i="12"/>
  <c r="BE51" i="12" s="1"/>
  <c r="BD51" i="12"/>
  <c r="CE24" i="12"/>
  <c r="CF24" i="12" s="1"/>
  <c r="CE39" i="12"/>
  <c r="CF39" i="12" s="1"/>
  <c r="CE47" i="12"/>
  <c r="CF47" i="12" s="1"/>
  <c r="CE22" i="12"/>
  <c r="CF22" i="12" s="1"/>
  <c r="CE38" i="12"/>
  <c r="CF38" i="12" s="1"/>
  <c r="CE18" i="12"/>
  <c r="CF18" i="12" s="1"/>
  <c r="CE15" i="12"/>
  <c r="CF15" i="12" s="1"/>
  <c r="CE45" i="12"/>
  <c r="CF45" i="12" s="1"/>
  <c r="CE12" i="12"/>
  <c r="CF12" i="12" s="1"/>
  <c r="CE26" i="12"/>
  <c r="CF26" i="12" s="1"/>
  <c r="CE42" i="12"/>
  <c r="CF42" i="12" s="1"/>
  <c r="BE33" i="12"/>
  <c r="CE20" i="12"/>
  <c r="CF20" i="12" s="1"/>
  <c r="BE12" i="12"/>
  <c r="AV22" i="12"/>
  <c r="CE16" i="12"/>
  <c r="CF16" i="12" s="1"/>
  <c r="CE19" i="12"/>
  <c r="CF19" i="12" s="1"/>
  <c r="CE35" i="12"/>
  <c r="CF35" i="12" s="1"/>
  <c r="CE41" i="12"/>
  <c r="CF41" i="12" s="1"/>
  <c r="CE52" i="12"/>
  <c r="CF52" i="12" s="1"/>
  <c r="CE43" i="12"/>
  <c r="CF43" i="12" s="1"/>
  <c r="CE34" i="12"/>
  <c r="CF34" i="12" s="1"/>
  <c r="CE13" i="12"/>
  <c r="CF13" i="12" s="1"/>
  <c r="CE11" i="12"/>
  <c r="CF11" i="12" s="1"/>
  <c r="CE40" i="12"/>
  <c r="CF40" i="12" s="1"/>
  <c r="CE17" i="12"/>
  <c r="CF17" i="12" s="1"/>
  <c r="CE49" i="12"/>
  <c r="CF49" i="12" s="1"/>
  <c r="CE27" i="12"/>
  <c r="CF27" i="12" s="1"/>
  <c r="CE21" i="12"/>
  <c r="CF21" i="12" s="1"/>
  <c r="CE23" i="12"/>
  <c r="CF23" i="12" s="1"/>
  <c r="CE51" i="12"/>
  <c r="CF51" i="12" s="1"/>
  <c r="CE46" i="12"/>
  <c r="CF46" i="12" s="1"/>
  <c r="CE50" i="12"/>
  <c r="CF50" i="12" s="1"/>
  <c r="CE30" i="12"/>
  <c r="CF30" i="12" s="1"/>
  <c r="CE31" i="12"/>
  <c r="CF31" i="12" s="1"/>
  <c r="CE14" i="12"/>
  <c r="CF14" i="12" s="1"/>
  <c r="CE37" i="12"/>
  <c r="CF37" i="12" s="1"/>
  <c r="CE28" i="12"/>
  <c r="CF28" i="12" s="1"/>
  <c r="CF10" i="12"/>
  <c r="CE33" i="12"/>
  <c r="CF33" i="12" s="1"/>
  <c r="CE29" i="12"/>
  <c r="CF29" i="12" s="1"/>
  <c r="CE32" i="12"/>
  <c r="CF32" i="12" s="1"/>
  <c r="CE48" i="12"/>
  <c r="CF48" i="12" s="1"/>
  <c r="CE44" i="12"/>
  <c r="CF44" i="12" s="1"/>
  <c r="CE36" i="12"/>
  <c r="CF36" i="12" s="1"/>
  <c r="CE25" i="12"/>
  <c r="CF25" i="12" s="1"/>
  <c r="CE8" i="12"/>
  <c r="CF8" i="12" s="1"/>
  <c r="BN38" i="12"/>
  <c r="BZ12" i="12" l="1"/>
  <c r="N8" i="17"/>
  <c r="M8" i="17"/>
  <c r="L8" i="17"/>
  <c r="BZ18" i="12"/>
  <c r="BZ28" i="12"/>
  <c r="BZ31" i="12"/>
  <c r="BZ14" i="12"/>
  <c r="BZ17" i="12"/>
  <c r="BZ30" i="12"/>
  <c r="BZ34" i="12"/>
  <c r="BZ42" i="12"/>
  <c r="CA42" i="12" s="1"/>
  <c r="CI42" i="12" s="1"/>
  <c r="BZ35" i="12"/>
  <c r="BZ8" i="12"/>
  <c r="BZ51" i="12"/>
  <c r="BZ24" i="12"/>
  <c r="BZ40" i="12"/>
  <c r="CA40" i="12" s="1"/>
  <c r="CI40" i="12" s="1"/>
  <c r="BZ20" i="12"/>
  <c r="BZ52" i="12"/>
  <c r="BZ44" i="12"/>
  <c r="CA44" i="12" s="1"/>
  <c r="CI44" i="12" s="1"/>
  <c r="BZ46" i="12"/>
  <c r="BZ41" i="12"/>
  <c r="BZ23" i="12"/>
  <c r="BZ32" i="12"/>
  <c r="BZ45" i="12"/>
  <c r="BZ38" i="12"/>
  <c r="BZ21" i="12"/>
  <c r="BZ25" i="12"/>
  <c r="BZ29" i="12"/>
  <c r="BZ39" i="12"/>
  <c r="BZ36" i="12"/>
  <c r="BZ15" i="12"/>
  <c r="BZ50" i="12"/>
  <c r="BZ47" i="12"/>
  <c r="BZ27" i="12"/>
  <c r="BZ16" i="12"/>
  <c r="BZ43" i="12"/>
  <c r="BZ33" i="12"/>
  <c r="BZ13" i="12"/>
  <c r="BZ26" i="12"/>
  <c r="BZ22" i="12"/>
  <c r="BZ9" i="12"/>
  <c r="CA9" i="12" s="1"/>
  <c r="CI9" i="12" s="1"/>
  <c r="BZ11" i="12"/>
  <c r="CA11" i="12" s="1"/>
  <c r="BZ19" i="12"/>
  <c r="BZ48" i="12"/>
  <c r="BZ10" i="12"/>
  <c r="CA10" i="12" s="1"/>
  <c r="CI10" i="12" s="1"/>
  <c r="BZ49" i="12"/>
  <c r="BZ37" i="12"/>
  <c r="T72" i="12"/>
  <c r="T71" i="12"/>
  <c r="T70" i="12"/>
  <c r="T69" i="12"/>
  <c r="T66" i="12"/>
  <c r="T65" i="12"/>
  <c r="T67" i="12"/>
  <c r="T68" i="12"/>
  <c r="BD72" i="12"/>
  <c r="BD71" i="12"/>
  <c r="BD70" i="12"/>
  <c r="BD69" i="12"/>
  <c r="BD67" i="12"/>
  <c r="BD66" i="12"/>
  <c r="BD65" i="12"/>
  <c r="BD68" i="12"/>
  <c r="AU67" i="12"/>
  <c r="AU72" i="12"/>
  <c r="AU71" i="12"/>
  <c r="AU70" i="12"/>
  <c r="AU69" i="12"/>
  <c r="AU68" i="12"/>
  <c r="AU66" i="12"/>
  <c r="AU65" i="12"/>
  <c r="BV71" i="12"/>
  <c r="BV70" i="12"/>
  <c r="BV69" i="12"/>
  <c r="BV66" i="12"/>
  <c r="BV72" i="12"/>
  <c r="BV68" i="12"/>
  <c r="BV67" i="12"/>
  <c r="BV65" i="12"/>
  <c r="BM72" i="12"/>
  <c r="BM71" i="12"/>
  <c r="BM70" i="12"/>
  <c r="BM69" i="12"/>
  <c r="BM68" i="12"/>
  <c r="BM67" i="12"/>
  <c r="BM66" i="12"/>
  <c r="BM65" i="12"/>
  <c r="AC68" i="12"/>
  <c r="AC66" i="12"/>
  <c r="AC71" i="12"/>
  <c r="AC72" i="12"/>
  <c r="M10" i="17" s="1"/>
  <c r="AC67" i="12"/>
  <c r="AC70" i="12"/>
  <c r="K10" i="17" s="1"/>
  <c r="AC69" i="12"/>
  <c r="J10" i="17" s="1"/>
  <c r="AC65" i="12"/>
  <c r="K76" i="12"/>
  <c r="AL72" i="12"/>
  <c r="AL67" i="12"/>
  <c r="AL71" i="12"/>
  <c r="AL70" i="12"/>
  <c r="AL65" i="12"/>
  <c r="AL66" i="12"/>
  <c r="AL68" i="12"/>
  <c r="AL69" i="12"/>
  <c r="T73" i="12"/>
  <c r="AC73" i="12"/>
  <c r="AL73" i="12"/>
  <c r="AU73" i="12"/>
  <c r="BD73" i="12"/>
  <c r="BM73" i="12"/>
  <c r="BV73" i="12"/>
  <c r="CA39" i="12"/>
  <c r="CI39" i="12" s="1"/>
  <c r="H8" i="17"/>
  <c r="I8" i="17"/>
  <c r="J8" i="17"/>
  <c r="G8" i="17"/>
  <c r="K8" i="17"/>
  <c r="H16" i="17" l="1"/>
  <c r="I16" i="17"/>
  <c r="M16" i="17"/>
  <c r="G16" i="17"/>
  <c r="F16" i="17"/>
  <c r="J16" i="17"/>
  <c r="K16" i="17"/>
  <c r="L16" i="17"/>
  <c r="BV76" i="12"/>
  <c r="J15" i="17"/>
  <c r="L15" i="17"/>
  <c r="BM76" i="12"/>
  <c r="K15" i="17"/>
  <c r="M15" i="17"/>
  <c r="I13" i="17"/>
  <c r="G13" i="17"/>
  <c r="H13" i="17"/>
  <c r="J13" i="17"/>
  <c r="F13" i="17"/>
  <c r="K13" i="17"/>
  <c r="L13" i="17"/>
  <c r="M13" i="17"/>
  <c r="L12" i="17"/>
  <c r="F12" i="17"/>
  <c r="G12" i="17"/>
  <c r="I12" i="17"/>
  <c r="J12" i="17"/>
  <c r="M12" i="17"/>
  <c r="H12" i="17"/>
  <c r="K12" i="17"/>
  <c r="AU76" i="12"/>
  <c r="L11" i="17"/>
  <c r="J11" i="17"/>
  <c r="I11" i="17"/>
  <c r="G11" i="17"/>
  <c r="F11" i="17"/>
  <c r="K11" i="17"/>
  <c r="H11" i="17"/>
  <c r="M11" i="17"/>
  <c r="L10" i="17"/>
  <c r="H10" i="17"/>
  <c r="I10" i="17"/>
  <c r="AC76" i="12"/>
  <c r="G10" i="17"/>
  <c r="F10" i="17"/>
  <c r="K9" i="17"/>
  <c r="I9" i="17"/>
  <c r="T76" i="12"/>
  <c r="H9" i="17"/>
  <c r="F9" i="17"/>
  <c r="G9" i="17"/>
  <c r="J9" i="17"/>
  <c r="L9" i="17"/>
  <c r="M9" i="17"/>
  <c r="CB42" i="12"/>
  <c r="CB9" i="12"/>
  <c r="CB11" i="12"/>
  <c r="CB44" i="12"/>
  <c r="CB10" i="12"/>
  <c r="CB40" i="12"/>
  <c r="CB39" i="12"/>
  <c r="N12" i="17"/>
  <c r="N9" i="17"/>
  <c r="N16" i="17"/>
  <c r="N15" i="17"/>
  <c r="BD76" i="12"/>
  <c r="N13" i="17"/>
  <c r="N10" i="17"/>
  <c r="AL76" i="12"/>
  <c r="N11" i="17"/>
  <c r="CA16" i="12"/>
  <c r="CI16" i="12" s="1"/>
  <c r="CA17" i="12"/>
  <c r="CI17" i="12" s="1"/>
  <c r="CA38" i="12"/>
  <c r="CI38" i="12" s="1"/>
  <c r="CA45" i="12"/>
  <c r="CI45" i="12" s="1"/>
  <c r="CA31" i="12"/>
  <c r="CI31" i="12" s="1"/>
  <c r="CA30" i="12"/>
  <c r="CI30" i="12" s="1"/>
  <c r="CA50" i="12"/>
  <c r="CI50" i="12" s="1"/>
  <c r="CA20" i="12"/>
  <c r="CI20" i="12" s="1"/>
  <c r="CA33" i="12"/>
  <c r="CI33" i="12" s="1"/>
  <c r="CA23" i="12"/>
  <c r="CI23" i="12" s="1"/>
  <c r="CA18" i="12"/>
  <c r="CI18" i="12" s="1"/>
  <c r="CA36" i="12"/>
  <c r="CI36" i="12" s="1"/>
  <c r="CA24" i="12"/>
  <c r="CI24" i="12" s="1"/>
  <c r="CA28" i="12"/>
  <c r="CI28" i="12" s="1"/>
  <c r="CA46" i="12"/>
  <c r="CI46" i="12" s="1"/>
  <c r="CA12" i="12"/>
  <c r="CA22" i="12"/>
  <c r="CI22" i="12" s="1"/>
  <c r="CA41" i="12"/>
  <c r="CI41" i="12" s="1"/>
  <c r="CA52" i="12"/>
  <c r="CI52" i="12" s="1"/>
  <c r="CA25" i="12"/>
  <c r="CI25" i="12" s="1"/>
  <c r="CA37" i="12"/>
  <c r="CI37" i="12" s="1"/>
  <c r="CA14" i="12"/>
  <c r="CI14" i="12" s="1"/>
  <c r="CA35" i="12"/>
  <c r="CI35" i="12" s="1"/>
  <c r="CA43" i="12"/>
  <c r="CI43" i="12" s="1"/>
  <c r="CA13" i="12"/>
  <c r="CI13" i="12" s="1"/>
  <c r="CA19" i="12"/>
  <c r="CI19" i="12" s="1"/>
  <c r="CA34" i="12"/>
  <c r="CI34" i="12" s="1"/>
  <c r="CA51" i="12"/>
  <c r="CI51" i="12" s="1"/>
  <c r="CA15" i="12"/>
  <c r="CI15" i="12" s="1"/>
  <c r="CA26" i="12"/>
  <c r="CI26" i="12" s="1"/>
  <c r="CA21" i="12"/>
  <c r="CI21" i="12" s="1"/>
  <c r="CA48" i="12"/>
  <c r="CA32" i="12"/>
  <c r="CI32" i="12" s="1"/>
  <c r="CA29" i="12"/>
  <c r="CI29" i="12" s="1"/>
  <c r="CA27" i="12"/>
  <c r="CI27" i="12" s="1"/>
  <c r="CA47" i="12"/>
  <c r="CI47" i="12" s="1"/>
  <c r="CA49" i="12"/>
  <c r="CI49" i="12" s="1"/>
  <c r="CA8" i="12"/>
  <c r="CC44" i="12"/>
  <c r="CC42" i="12"/>
  <c r="CC40" i="12"/>
  <c r="CC39" i="12"/>
  <c r="F8" i="17"/>
  <c r="CB48" i="12" l="1"/>
  <c r="CI48" i="12"/>
  <c r="CB12" i="12"/>
  <c r="CI12" i="12"/>
  <c r="CB47" i="12"/>
  <c r="CB45" i="12"/>
  <c r="CB29" i="12"/>
  <c r="CB17" i="12"/>
  <c r="CB32" i="12"/>
  <c r="CB22" i="12"/>
  <c r="CB25" i="12"/>
  <c r="CB21" i="12"/>
  <c r="CB38" i="12"/>
  <c r="CB52" i="12"/>
  <c r="CB16" i="12"/>
  <c r="CB27" i="12"/>
  <c r="CB41" i="12"/>
  <c r="CB26" i="12"/>
  <c r="CB28" i="12"/>
  <c r="CB15" i="12"/>
  <c r="CB51" i="12"/>
  <c r="CB36" i="12"/>
  <c r="CB19" i="12"/>
  <c r="CB23" i="12"/>
  <c r="CB20" i="12"/>
  <c r="CB46" i="12"/>
  <c r="CB24" i="12"/>
  <c r="CB34" i="12"/>
  <c r="CB18" i="12"/>
  <c r="CB13" i="12"/>
  <c r="CB33" i="12"/>
  <c r="CB43" i="12"/>
  <c r="CB35" i="12"/>
  <c r="CB50" i="12"/>
  <c r="CI8" i="12"/>
  <c r="CB8" i="12"/>
  <c r="CB14" i="12"/>
  <c r="CB30" i="12"/>
  <c r="CB49" i="12"/>
  <c r="CB37" i="12"/>
  <c r="CB31" i="12"/>
  <c r="CC45" i="12"/>
  <c r="CC41" i="12"/>
  <c r="CC38" i="12"/>
  <c r="CC22" i="12"/>
  <c r="CC12" i="12"/>
  <c r="CC8" i="12"/>
  <c r="CC18" i="12"/>
  <c r="CC35" i="12"/>
  <c r="CC37" i="12"/>
  <c r="CC19" i="12"/>
  <c r="CC13" i="12"/>
  <c r="CC31" i="12"/>
  <c r="CC46" i="12"/>
  <c r="CC15" i="12"/>
  <c r="CC34" i="12"/>
  <c r="CC43" i="12"/>
  <c r="CC20" i="12"/>
  <c r="CC50" i="12"/>
  <c r="CC47" i="12"/>
  <c r="CC27" i="12"/>
  <c r="CC17" i="12"/>
  <c r="CC36" i="12"/>
  <c r="CC23" i="12"/>
  <c r="CC11" i="12"/>
  <c r="CC52" i="12"/>
  <c r="CC25" i="12"/>
  <c r="CC32" i="12"/>
  <c r="CC30" i="12"/>
  <c r="CC48" i="12"/>
  <c r="CC16" i="12"/>
  <c r="CC51" i="12"/>
  <c r="CC29" i="12"/>
  <c r="CC10" i="12"/>
  <c r="CC24" i="12"/>
  <c r="CC49" i="12"/>
  <c r="CC9" i="12"/>
  <c r="CC26" i="12"/>
  <c r="CC14" i="12"/>
  <c r="CC33" i="12"/>
  <c r="CC21" i="12"/>
  <c r="CC28" i="12"/>
  <c r="O8" i="17"/>
  <c r="P8" i="17" s="1"/>
  <c r="O12" i="17"/>
  <c r="P12" i="17" s="1"/>
  <c r="O9" i="17"/>
  <c r="P9" i="17" s="1"/>
  <c r="O10" i="17"/>
  <c r="P10" i="17" s="1"/>
  <c r="O13" i="17"/>
  <c r="P13" i="17" s="1"/>
  <c r="O11" i="17"/>
  <c r="P11" i="17" s="1"/>
  <c r="O16" i="17"/>
  <c r="P16" i="17" s="1"/>
  <c r="CI67" i="12" l="1"/>
  <c r="CI65" i="12"/>
  <c r="CI66" i="12"/>
  <c r="CI68" i="12"/>
  <c r="CI69" i="12"/>
  <c r="CB73" i="12"/>
  <c r="CB69" i="12"/>
  <c r="I8" i="18" s="1"/>
  <c r="I11" i="18" s="1"/>
  <c r="CB65" i="12"/>
  <c r="E8" i="18" s="1"/>
  <c r="CB66" i="12"/>
  <c r="F8" i="18" s="1"/>
  <c r="CB72" i="12"/>
  <c r="CB71" i="12"/>
  <c r="K8" i="18" s="1"/>
  <c r="K11" i="18" s="1"/>
  <c r="CB68" i="12"/>
  <c r="H8" i="18" s="1"/>
  <c r="CB70" i="12"/>
  <c r="J8" i="18" s="1"/>
  <c r="J11" i="18" s="1"/>
  <c r="CB67" i="12"/>
  <c r="G8" i="18" s="1"/>
  <c r="L8" i="18" l="1"/>
  <c r="CB76" i="12"/>
  <c r="M8" i="18" s="1"/>
  <c r="C8" i="18"/>
  <c r="G11" i="18" s="1"/>
  <c r="M11" i="18" l="1"/>
  <c r="F11" i="18"/>
  <c r="H11" i="18"/>
  <c r="L11" i="18"/>
  <c r="E11" i="18"/>
  <c r="C11" i="18"/>
  <c r="A29" i="21"/>
  <c r="A30" i="21" s="1"/>
  <c r="A31" i="21" s="1"/>
  <c r="A32" i="21" s="1"/>
  <c r="A33" i="21" s="1"/>
  <c r="A34" i="21" s="1"/>
  <c r="A35" i="21" s="1"/>
  <c r="A36" i="21" s="1"/>
  <c r="A37" i="21" s="1"/>
  <c r="A38" i="21" s="1"/>
  <c r="A39" i="21" s="1"/>
  <c r="A56" i="21"/>
  <c r="A57" i="21"/>
  <c r="A58" i="21" s="1"/>
  <c r="A59" i="21" s="1"/>
  <c r="A60" i="21" s="1"/>
  <c r="A61" i="21" s="1"/>
  <c r="A62" i="21" s="1"/>
  <c r="A63" i="21" s="1"/>
  <c r="A64" i="21" s="1"/>
  <c r="A65" i="21" s="1"/>
  <c r="A66" i="21" s="1"/>
  <c r="A67" i="21" s="1"/>
  <c r="A68" i="21" s="1"/>
  <c r="A69" i="21" s="1"/>
  <c r="A70" i="21" s="1"/>
  <c r="A22" i="21"/>
  <c r="A23" i="21" s="1"/>
  <c r="A24" i="21" s="1"/>
  <c r="A25" i="21" s="1"/>
  <c r="A26" i="21" s="1"/>
  <c r="A27" i="21" s="1"/>
  <c r="A42" i="21"/>
  <c r="A43" i="21" s="1"/>
  <c r="A44" i="21" s="1"/>
  <c r="A46" i="21"/>
  <c r="A41" i="21"/>
  <c r="A51" i="21"/>
  <c r="A47" i="21"/>
  <c r="A52" i="21"/>
  <c r="A53" i="21"/>
  <c r="A54" i="21"/>
  <c r="A49" i="21"/>
  <c r="A8" i="21"/>
  <c r="A21" i="21"/>
  <c r="A11" i="21"/>
  <c r="A12" i="21"/>
  <c r="A13" i="21" s="1"/>
  <c r="A14" i="21" s="1"/>
  <c r="A15" i="21" s="1"/>
  <c r="A9" i="21"/>
  <c r="A17" i="21"/>
  <c r="A18" i="21"/>
</calcChain>
</file>

<file path=xl/sharedStrings.xml><?xml version="1.0" encoding="utf-8"?>
<sst xmlns="http://schemas.openxmlformats.org/spreadsheetml/2006/main" count="937" uniqueCount="355">
  <si>
    <t>Sl.No</t>
  </si>
  <si>
    <t>USN</t>
  </si>
  <si>
    <t>Student Name</t>
  </si>
  <si>
    <t>A</t>
  </si>
  <si>
    <t>B</t>
  </si>
  <si>
    <t>C</t>
  </si>
  <si>
    <t>T</t>
  </si>
  <si>
    <t>CR</t>
  </si>
  <si>
    <t>GP</t>
  </si>
  <si>
    <t>GR</t>
  </si>
  <si>
    <t>SGPA</t>
  </si>
  <si>
    <t>F</t>
  </si>
  <si>
    <t>Section</t>
  </si>
  <si>
    <t>EX</t>
  </si>
  <si>
    <t>IA</t>
  </si>
  <si>
    <t>IN</t>
  </si>
  <si>
    <t>RV</t>
  </si>
  <si>
    <t>CR*GP</t>
  </si>
  <si>
    <t>BANGALORE INSTITUTE OF TECHNOLOGY</t>
  </si>
  <si>
    <t xml:space="preserve">(Affiliated to Visvesvaraya Technological University, Belagavi, Recognised by AICTE, New Delhi)
K.R. Road, V.V. Pura, Bengaluru – 560 004. Phone: 26613237/26615865   Fax: 22426796
</t>
  </si>
  <si>
    <t>Sl. No.</t>
  </si>
  <si>
    <t>TOTAL</t>
  </si>
  <si>
    <t>APP</t>
  </si>
  <si>
    <t>A%</t>
  </si>
  <si>
    <t>B%</t>
  </si>
  <si>
    <t>C%</t>
  </si>
  <si>
    <t>F%</t>
  </si>
  <si>
    <t>TOTAL PASS</t>
  </si>
  <si>
    <t>Total No. of</t>
  </si>
  <si>
    <t>Total No. of Students Passed</t>
  </si>
  <si>
    <t>Final Grade</t>
  </si>
  <si>
    <t>TOTAL STUDENTS</t>
  </si>
  <si>
    <t>TOTAL NO OF STUDENTS APPEARED IN ALL SUBJECTS</t>
  </si>
  <si>
    <t>TOTAL A</t>
  </si>
  <si>
    <t>TOTAL B</t>
  </si>
  <si>
    <t>TOTAL C</t>
  </si>
  <si>
    <t>TOTAL FAIL</t>
  </si>
  <si>
    <t>TOTAL A%</t>
  </si>
  <si>
    <t>TOTAL B%</t>
  </si>
  <si>
    <t>TOTAL C%</t>
  </si>
  <si>
    <t>TOTAL FAIL%</t>
  </si>
  <si>
    <t>TOTAL PASS%</t>
  </si>
  <si>
    <t>Percentage</t>
  </si>
  <si>
    <t>Total Marks</t>
  </si>
  <si>
    <t>Absent</t>
  </si>
  <si>
    <t>AB</t>
  </si>
  <si>
    <t>Total No. of Students Appeared</t>
  </si>
  <si>
    <t>O</t>
  </si>
  <si>
    <t>A+</t>
  </si>
  <si>
    <t>B+</t>
  </si>
  <si>
    <t>P</t>
  </si>
  <si>
    <t>O%</t>
  </si>
  <si>
    <t>A+%</t>
  </si>
  <si>
    <t>B+%</t>
  </si>
  <si>
    <t>P%</t>
  </si>
  <si>
    <t>TOTAL O</t>
  </si>
  <si>
    <t>TOTAL A+</t>
  </si>
  <si>
    <t>TOTAL B+</t>
  </si>
  <si>
    <t>TOTAL P</t>
  </si>
  <si>
    <t xml:space="preserve">TOTAL O% </t>
  </si>
  <si>
    <t>TOTAL A+%</t>
  </si>
  <si>
    <t>TOTAL B+%</t>
  </si>
  <si>
    <t>TOTAL P%</t>
  </si>
  <si>
    <t>NIL</t>
  </si>
  <si>
    <t>Course Code</t>
  </si>
  <si>
    <t>Course Name</t>
  </si>
  <si>
    <t>TOTAL PERCENTAGE</t>
  </si>
  <si>
    <t>FCD</t>
  </si>
  <si>
    <t>FC</t>
  </si>
  <si>
    <t>SC</t>
  </si>
  <si>
    <t>PASS</t>
  </si>
  <si>
    <t>FAIL</t>
  </si>
  <si>
    <t>Provisional Results of Second Semester 2022 Batch Examination for the Academic year 2022-23 (Sep/Oct 2023)</t>
  </si>
  <si>
    <t xml:space="preserve">Mathematics for CSE Stream -II </t>
  </si>
  <si>
    <t>Mathematics for CSE Stream-II</t>
  </si>
  <si>
    <t>Chemistry for CSE Stream</t>
  </si>
  <si>
    <t xml:space="preserve">Computer-Aided Engineering Drawing </t>
  </si>
  <si>
    <t xml:space="preserve">Introduction to Electronics Engineering </t>
  </si>
  <si>
    <t>Introduction to Python Programming</t>
  </si>
  <si>
    <t xml:space="preserve">Professional Writing Skills in English </t>
  </si>
  <si>
    <t xml:space="preserve">Samskrutika Kannada / Balake Kannada </t>
  </si>
  <si>
    <t xml:space="preserve">Scientific Foundations of Health </t>
  </si>
  <si>
    <t>Professional Writing Skills in English</t>
  </si>
  <si>
    <t>BMATS201</t>
  </si>
  <si>
    <t>BCHES202</t>
  </si>
  <si>
    <t>BCEDK203</t>
  </si>
  <si>
    <t>BESCK204C</t>
  </si>
  <si>
    <t>BPLCK205B</t>
  </si>
  <si>
    <t>BPWSK206</t>
  </si>
  <si>
    <t>BSFHK258</t>
  </si>
  <si>
    <t>BKSKK207</t>
  </si>
  <si>
    <t>BKBKK207</t>
  </si>
  <si>
    <t>Samskrutika Kannada</t>
  </si>
  <si>
    <t xml:space="preserve">Balake Kannada </t>
  </si>
  <si>
    <t xml:space="preserve"> Subject Wise Result Analysis of Second Semester 2022 Batch Examination for the Academic year 2022-23 (Sep/Oct 2023)</t>
  </si>
  <si>
    <t xml:space="preserve"> Overall Result Analysis of Second Semester 2022 Batch Examination for the Academic year 2022-23 (Sep/Oct 2023)</t>
  </si>
  <si>
    <t xml:space="preserve"> Absentees List of Second Semester 2022 Batch Examination for the Academic year 2022-23 (Sep/Oct 2023)</t>
  </si>
  <si>
    <t>Balake Kannada</t>
  </si>
  <si>
    <t>1BI22CD001</t>
  </si>
  <si>
    <t>1BI22CD002</t>
  </si>
  <si>
    <t>1BI22CD003</t>
  </si>
  <si>
    <t>1BI22CD004</t>
  </si>
  <si>
    <t>1BI22CD005</t>
  </si>
  <si>
    <t>1BI22CD006</t>
  </si>
  <si>
    <t>1BI22CD007</t>
  </si>
  <si>
    <t>1BI22CD008</t>
  </si>
  <si>
    <t>1BI22CD009</t>
  </si>
  <si>
    <t>1BI22CD010</t>
  </si>
  <si>
    <t>1BI22CD011</t>
  </si>
  <si>
    <t>1BI22CD012</t>
  </si>
  <si>
    <t>1BI22CD013</t>
  </si>
  <si>
    <t>1BI22CD014</t>
  </si>
  <si>
    <t>1BI22CD015</t>
  </si>
  <si>
    <t>1BI22CD016</t>
  </si>
  <si>
    <t>1BI22CD017</t>
  </si>
  <si>
    <t>1BI22CD018</t>
  </si>
  <si>
    <t>1BI22CD019</t>
  </si>
  <si>
    <t>1BI22CD020</t>
  </si>
  <si>
    <t>1BI22CD021</t>
  </si>
  <si>
    <t>1BI22CD022</t>
  </si>
  <si>
    <t>1BI22CD023</t>
  </si>
  <si>
    <t>1BI22CD024</t>
  </si>
  <si>
    <t>1BI22CD025</t>
  </si>
  <si>
    <t>1BI22CD026</t>
  </si>
  <si>
    <t>1BI22CD027</t>
  </si>
  <si>
    <t>1BI22CD028</t>
  </si>
  <si>
    <t>1BI22CD029</t>
  </si>
  <si>
    <t>1BI22CD030</t>
  </si>
  <si>
    <t>1BI22CD031</t>
  </si>
  <si>
    <t>1BI22CD032</t>
  </si>
  <si>
    <t>1BI22CD033</t>
  </si>
  <si>
    <t>1BI22CD034</t>
  </si>
  <si>
    <t>1BI22CD035</t>
  </si>
  <si>
    <t>1BI22CD036</t>
  </si>
  <si>
    <t>1BI22CD037</t>
  </si>
  <si>
    <t>1BI22CD038</t>
  </si>
  <si>
    <t>1BI22CD039</t>
  </si>
  <si>
    <t>1BI22CD040</t>
  </si>
  <si>
    <t>1BI22CD041</t>
  </si>
  <si>
    <t>1BI22CD042</t>
  </si>
  <si>
    <t>1BI22CD043</t>
  </si>
  <si>
    <t>1BI22CD044</t>
  </si>
  <si>
    <t>1BI22CD045</t>
  </si>
  <si>
    <t>1BI22CD046</t>
  </si>
  <si>
    <t>1BI22CD047</t>
  </si>
  <si>
    <t>1BI22CD048</t>
  </si>
  <si>
    <t>1BI22CD049</t>
  </si>
  <si>
    <t>1BI22CD050</t>
  </si>
  <si>
    <t>1BI22CD051</t>
  </si>
  <si>
    <t>1BI22CD052</t>
  </si>
  <si>
    <t>1BI22CD053</t>
  </si>
  <si>
    <t>1BI22CD054</t>
  </si>
  <si>
    <t>1BI22CD055</t>
  </si>
  <si>
    <t>1BI22CD056</t>
  </si>
  <si>
    <t>1BI22CD057</t>
  </si>
  <si>
    <t>1BI22CD058</t>
  </si>
  <si>
    <t>1BI22CD059</t>
  </si>
  <si>
    <t>1BI22CD060</t>
  </si>
  <si>
    <t>1BI22CD061</t>
  </si>
  <si>
    <t>1BI22CD062</t>
  </si>
  <si>
    <t>ANANYA BATTINENI</t>
  </si>
  <si>
    <t>ARATI</t>
  </si>
  <si>
    <t>ARPITA KRISHNA</t>
  </si>
  <si>
    <t>ARVIND</t>
  </si>
  <si>
    <t>ARYA B V</t>
  </si>
  <si>
    <t>BHUMIKA KALASAREDDY</t>
  </si>
  <si>
    <t>BHUMIKA P</t>
  </si>
  <si>
    <t>CHARITHA D</t>
  </si>
  <si>
    <t>DARSHAN E</t>
  </si>
  <si>
    <t>DEVAJ S</t>
  </si>
  <si>
    <t>DIA SHARMA</t>
  </si>
  <si>
    <t>ESHWAR R</t>
  </si>
  <si>
    <t>G RAM CHARAN</t>
  </si>
  <si>
    <t>GOURAV CHAHAR</t>
  </si>
  <si>
    <t>HARSHA K L</t>
  </si>
  <si>
    <t>JANANI P</t>
  </si>
  <si>
    <t>JEEVAN K</t>
  </si>
  <si>
    <t>KANNIKA MAHESH D</t>
  </si>
  <si>
    <t>KHUSHI KUMARI</t>
  </si>
  <si>
    <t>KRUTHIKA S</t>
  </si>
  <si>
    <t>KRUTHIKA S S</t>
  </si>
  <si>
    <t>KUSHAL N</t>
  </si>
  <si>
    <t>M KRITHIKA</t>
  </si>
  <si>
    <t>MANYASHREE P</t>
  </si>
  <si>
    <t>MITTA THANVITHA</t>
  </si>
  <si>
    <t>MOHAMMED AMAAN</t>
  </si>
  <si>
    <t>NAGASUPRIYA BANDLAMUDI</t>
  </si>
  <si>
    <t>NISHANT BHARDWAJ</t>
  </si>
  <si>
    <t>NITESH N</t>
  </si>
  <si>
    <t>PAVAN D</t>
  </si>
  <si>
    <t>PRANAV GUPTA</t>
  </si>
  <si>
    <t>PREETHAM GOWDA R</t>
  </si>
  <si>
    <t>PRIYAM KUMARI</t>
  </si>
  <si>
    <t>PRIYANKA S</t>
  </si>
  <si>
    <t>PUNITH S</t>
  </si>
  <si>
    <t>PUVVADI VENKATA TANAY</t>
  </si>
  <si>
    <t>RAGHAVENDRA RAMESH DIVATE</t>
  </si>
  <si>
    <t>RAVIKUMAR L</t>
  </si>
  <si>
    <t>REESHA L N PRABHU</t>
  </si>
  <si>
    <t>RUPESH KUMAR SINGH</t>
  </si>
  <si>
    <t>S MOHAMMED HASNAIN</t>
  </si>
  <si>
    <t>SAHANA H R</t>
  </si>
  <si>
    <t>SAIYAM JAIN H M</t>
  </si>
  <si>
    <t>SANYA RAMESH</t>
  </si>
  <si>
    <t>SARA TAHOOR</t>
  </si>
  <si>
    <t>SARANG SINGH</t>
  </si>
  <si>
    <t>SHARAD KRISHNA J S</t>
  </si>
  <si>
    <t>SHASHI KIRAN J</t>
  </si>
  <si>
    <t>SHEEWAM KUMAR</t>
  </si>
  <si>
    <t>SHREELAKSHMI C GOWDA</t>
  </si>
  <si>
    <t>SHREYAS RACHAPPA BAGALKOT</t>
  </si>
  <si>
    <t>SHRIHARI M V</t>
  </si>
  <si>
    <t>SINCHANA R P</t>
  </si>
  <si>
    <t>SRASHTI</t>
  </si>
  <si>
    <t>SURAJ A R</t>
  </si>
  <si>
    <t>TANISH PANDEY</t>
  </si>
  <si>
    <t>THANUSH J</t>
  </si>
  <si>
    <t>THANYA S</t>
  </si>
  <si>
    <t>VAIBHAV KUMAR</t>
  </si>
  <si>
    <t>VARCHAS V</t>
  </si>
  <si>
    <t>VISHRUTHA S</t>
  </si>
  <si>
    <t>VIVEK DESAI</t>
  </si>
  <si>
    <t>YASHVI BHUWALKA</t>
  </si>
  <si>
    <t>Department of CSE-Data Science</t>
  </si>
  <si>
    <t>1BI22CD063</t>
  </si>
  <si>
    <t>Computer-Aided Engineering Drawing (BCEDK203)</t>
  </si>
  <si>
    <t>Introduction to Electronics Communication               (BESCK204C)</t>
  </si>
  <si>
    <t>Mathematics for CSE Stream -II           (BMATS201)</t>
  </si>
  <si>
    <t>Chemistry for CSE Stream                (BCHES202)</t>
  </si>
  <si>
    <t>Introduction to Python Programming (BPLCK205B)</t>
  </si>
  <si>
    <t>Professional Writing Skills in English (BPWSK206)</t>
  </si>
  <si>
    <t>Scientific Foundations of Health (BSFHK2058)</t>
  </si>
  <si>
    <t>D</t>
  </si>
  <si>
    <t xml:space="preserve">Samskrutika Kannada / Balake Kannada (BKSKK207 / BKBKK207) </t>
  </si>
  <si>
    <t>HoD, CSE-DS</t>
  </si>
  <si>
    <t>HOD, CSE-DATA SCIENCE</t>
  </si>
  <si>
    <t>1St</t>
  </si>
  <si>
    <t>2nd</t>
  </si>
  <si>
    <t>NAME</t>
  </si>
  <si>
    <t>3rd</t>
  </si>
  <si>
    <t>avg</t>
  </si>
  <si>
    <t>Sl</t>
  </si>
  <si>
    <t>Provisional Results of Second Semester 2022 Batch Examination for the Academic year 2023-24 (Sep/Oct 2023)</t>
  </si>
  <si>
    <t>1BI23CD001</t>
  </si>
  <si>
    <t>ALTAF MAKASHI</t>
  </si>
  <si>
    <t>1BI23CD002</t>
  </si>
  <si>
    <t>ANJALI M</t>
  </si>
  <si>
    <t>1BI23CD003</t>
  </si>
  <si>
    <t>ANKIT KUMAR</t>
  </si>
  <si>
    <t>1BI23CD004</t>
  </si>
  <si>
    <t>ARYAN KASHYAP</t>
  </si>
  <si>
    <t>1BI23CD005</t>
  </si>
  <si>
    <t>ARYAN SAHU</t>
  </si>
  <si>
    <t>1BI23CD006</t>
  </si>
  <si>
    <t>ASHWINI KULKARNI</t>
  </si>
  <si>
    <t>1BI23CD007</t>
  </si>
  <si>
    <t>AYUSH KUMAR</t>
  </si>
  <si>
    <t>1BI23CD008</t>
  </si>
  <si>
    <t>AYUSH KUMAR BHADANI</t>
  </si>
  <si>
    <t>1BI23CD009</t>
  </si>
  <si>
    <t>AYUSH RAJ</t>
  </si>
  <si>
    <t>1BI23CD010</t>
  </si>
  <si>
    <t>B ANKITH KUMAR</t>
  </si>
  <si>
    <t>1BI23CD011</t>
  </si>
  <si>
    <t>BASAVARAJ</t>
  </si>
  <si>
    <t>1BI23CD012</t>
  </si>
  <si>
    <t>BINDU SHREE R</t>
  </si>
  <si>
    <t>1BI23CD013</t>
  </si>
  <si>
    <t>CHETHAN S</t>
  </si>
  <si>
    <t>1BI23CD014</t>
  </si>
  <si>
    <t>DARSHITH C M</t>
  </si>
  <si>
    <t>1BI23CD015</t>
  </si>
  <si>
    <t>DEEKSHA R S</t>
  </si>
  <si>
    <t>1BI23CD016</t>
  </si>
  <si>
    <t>ESHWAR R J</t>
  </si>
  <si>
    <t>1BI23CD017</t>
  </si>
  <si>
    <t>G VINITH SAI REDDY</t>
  </si>
  <si>
    <t>1BI23CD018</t>
  </si>
  <si>
    <t>GALLA NAVATEJA</t>
  </si>
  <si>
    <t>1BI23CD019</t>
  </si>
  <si>
    <t>GOPA SAI RUTHVIK</t>
  </si>
  <si>
    <t>1BI23CD020</t>
  </si>
  <si>
    <t>HARINI K</t>
  </si>
  <si>
    <t>1BI23CD021</t>
  </si>
  <si>
    <t>JASHANK K</t>
  </si>
  <si>
    <t>1BI23CD022</t>
  </si>
  <si>
    <t>kala manjunatha</t>
  </si>
  <si>
    <t>1BI23CD023</t>
  </si>
  <si>
    <t>KARTIKEY VARSHNEY</t>
  </si>
  <si>
    <t>1BI23CD024</t>
  </si>
  <si>
    <t>KOMANNUTHALA P SRI HARSHA</t>
  </si>
  <si>
    <t>1BI23CD025</t>
  </si>
  <si>
    <t>KOTLA HIMASREE</t>
  </si>
  <si>
    <t>1BI23CD026</t>
  </si>
  <si>
    <t>KUSHAL S</t>
  </si>
  <si>
    <t>1BI23CD027</t>
  </si>
  <si>
    <t>MADHURA M</t>
  </si>
  <si>
    <t>1BI23CD028</t>
  </si>
  <si>
    <t>Mayur Arjun reddy</t>
  </si>
  <si>
    <t>1BI23CD029</t>
  </si>
  <si>
    <t>mitu shyam</t>
  </si>
  <si>
    <t>1BI23CD030</t>
  </si>
  <si>
    <t>N NAYANA THARA</t>
  </si>
  <si>
    <t>1BI23CD031</t>
  </si>
  <si>
    <t>Narasingh s jadhav</t>
  </si>
  <si>
    <t>1BI23CD032</t>
  </si>
  <si>
    <t>NAVYA N MOGER</t>
  </si>
  <si>
    <t>1BI23CD033</t>
  </si>
  <si>
    <t>NEHA PATEL J K</t>
  </si>
  <si>
    <t>1BI23CD034</t>
  </si>
  <si>
    <t>NIHAr s</t>
  </si>
  <si>
    <t>1BI23CD035</t>
  </si>
  <si>
    <t>NISHANT KUMAR RAI</t>
  </si>
  <si>
    <t>1BI23CD036</t>
  </si>
  <si>
    <t>PRANAV A S</t>
  </si>
  <si>
    <t>1BI23CD037</t>
  </si>
  <si>
    <t>RATNESH SANTOSH CHAURASIYA</t>
  </si>
  <si>
    <t>1BI23CD038</t>
  </si>
  <si>
    <t>ROHAN S GOWDA</t>
  </si>
  <si>
    <t>1BI23CD039</t>
  </si>
  <si>
    <t>ROHIT R KASHYAP</t>
  </si>
  <si>
    <t>1BI23CD040</t>
  </si>
  <si>
    <t>SALAGALLA CHETAN</t>
  </si>
  <si>
    <t>1BI23CD041</t>
  </si>
  <si>
    <t>SAMARTH B H</t>
  </si>
  <si>
    <t>1BI23CD042</t>
  </si>
  <si>
    <t>SANJEEV M D</t>
  </si>
  <si>
    <t>1BI23CD043</t>
  </si>
  <si>
    <t>SHANTANNU GUPTA</t>
  </si>
  <si>
    <t>1BI23CD044</t>
  </si>
  <si>
    <t>SHARANYA S DEVADIGA</t>
  </si>
  <si>
    <t>1BI23CD045</t>
  </si>
  <si>
    <t>SHREEYA B</t>
  </si>
  <si>
    <t>1BI23CD046</t>
  </si>
  <si>
    <t>SPARSH JAIN</t>
  </si>
  <si>
    <t>1BI23CD047</t>
  </si>
  <si>
    <t>SRINIVAS SHREYAS</t>
  </si>
  <si>
    <t>1BI23CD048</t>
  </si>
  <si>
    <t>SRIVATSA K</t>
  </si>
  <si>
    <t>1BI23CD049</t>
  </si>
  <si>
    <t>SWASTIK ATHARVA</t>
  </si>
  <si>
    <t>1BI23CD050</t>
  </si>
  <si>
    <t>TALACHERU MOKSHAGNA LAKSHMI RAHUL</t>
  </si>
  <si>
    <t>1BI23CD051</t>
  </si>
  <si>
    <t>TEJAS C</t>
  </si>
  <si>
    <t>1BI23CD052</t>
  </si>
  <si>
    <t>TRIVIKRAM NARAYANAN</t>
  </si>
  <si>
    <t>1BI23CD053</t>
  </si>
  <si>
    <t>UMME SALMA</t>
  </si>
  <si>
    <t>1BI23CD054</t>
  </si>
  <si>
    <t>VANKA SASHANK</t>
  </si>
  <si>
    <t>1BI23CD055</t>
  </si>
  <si>
    <t>VISHAL S</t>
  </si>
  <si>
    <t>1BI23CD056</t>
  </si>
  <si>
    <t>vishwa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</si>
</sst>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Arial"/>
    </font>
    <font>
      <b/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indexed="8"/>
      <name val="Calibri"/>
      <family val="2"/>
    </font>
    <font>
      <b/>
      <sz val="12"/>
      <name val="Times New Roman"/>
      <family val="1"/>
    </font>
    <font>
      <b/>
      <sz val="16"/>
      <color theme="1"/>
      <name val="Verdana"/>
      <family val="2"/>
    </font>
    <font>
      <b/>
      <sz val="8"/>
      <color rgb="FF000000"/>
      <name val="Verdana"/>
      <family val="2"/>
    </font>
    <font>
      <b/>
      <sz val="14"/>
      <color theme="1"/>
      <name val="Verdana"/>
      <family val="2"/>
    </font>
    <font>
      <b/>
      <sz val="16"/>
      <color theme="1"/>
      <name val="Times New Roman"/>
      <family val="1"/>
    </font>
    <font>
      <b/>
      <sz val="9"/>
      <name val="Times New Roman"/>
      <family val="1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name val="Arial"/>
      <family val="2"/>
    </font>
    <font>
      <sz val="12"/>
      <name val="Times New Roman"/>
      <family val="1"/>
    </font>
    <font>
      <sz val="1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9" fontId="13" fillId="0" borderId="0" applyFont="0" applyFill="0" applyBorder="0" applyAlignment="0" applyProtection="0"/>
  </cellStyleXfs>
  <cellXfs count="133">
    <xf numFmtId="0" fontId="0" fillId="0" borderId="0" xfId="0" applyFont="1" applyAlignment="1"/>
    <xf numFmtId="0" fontId="3" fillId="0" borderId="0" xfId="0" applyFont="1" applyFill="1" applyBorder="1" applyAlignment="1"/>
    <xf numFmtId="0" fontId="4" fillId="0" borderId="0" xfId="0" applyFont="1" applyAlignment="1"/>
    <xf numFmtId="0" fontId="5" fillId="0" borderId="0" xfId="0" applyFont="1" applyAlignment="1"/>
    <xf numFmtId="0" fontId="3" fillId="0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7" fillId="2" borderId="1" xfId="1" applyFont="1" applyFill="1" applyBorder="1" applyAlignment="1" applyProtection="1">
      <alignment horizontal="center" vertical="center"/>
    </xf>
    <xf numFmtId="0" fontId="7" fillId="2" borderId="1" xfId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/>
    <xf numFmtId="0" fontId="4" fillId="0" borderId="1" xfId="0" applyFont="1" applyBorder="1" applyAlignment="1"/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3" fillId="0" borderId="3" xfId="0" applyFont="1" applyFill="1" applyBorder="1" applyAlignment="1"/>
    <xf numFmtId="0" fontId="3" fillId="0" borderId="1" xfId="0" applyFont="1" applyFill="1" applyBorder="1" applyAlignment="1">
      <alignment horizontal="center" vertical="top"/>
    </xf>
    <xf numFmtId="0" fontId="3" fillId="0" borderId="1" xfId="0" applyFont="1" applyFill="1" applyBorder="1" applyAlignment="1">
      <alignment wrapText="1"/>
    </xf>
    <xf numFmtId="0" fontId="3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2" fontId="2" fillId="0" borderId="1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vertical="top" wrapText="1"/>
    </xf>
    <xf numFmtId="0" fontId="3" fillId="0" borderId="2" xfId="0" applyFont="1" applyFill="1" applyBorder="1" applyAlignment="1"/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8" xfId="0" applyFont="1" applyBorder="1" applyAlignment="1"/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/>
    <xf numFmtId="0" fontId="2" fillId="0" borderId="0" xfId="0" applyFont="1" applyFill="1" applyAlignment="1"/>
    <xf numFmtId="0" fontId="2" fillId="0" borderId="1" xfId="0" applyFont="1" applyFill="1" applyBorder="1" applyAlignment="1" applyProtection="1">
      <alignment horizontal="center"/>
    </xf>
    <xf numFmtId="0" fontId="2" fillId="0" borderId="8" xfId="0" applyFont="1" applyFill="1" applyBorder="1"/>
    <xf numFmtId="0" fontId="2" fillId="0" borderId="0" xfId="0" applyFont="1" applyFill="1" applyBorder="1" applyAlignment="1"/>
    <xf numFmtId="0" fontId="2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4" fillId="0" borderId="8" xfId="0" applyFont="1" applyBorder="1" applyAlignment="1"/>
    <xf numFmtId="0" fontId="9" fillId="0" borderId="0" xfId="0" applyFont="1" applyAlignment="1">
      <alignment vertical="top" wrapText="1"/>
    </xf>
    <xf numFmtId="0" fontId="10" fillId="0" borderId="0" xfId="0" applyFont="1" applyAlignment="1"/>
    <xf numFmtId="0" fontId="8" fillId="0" borderId="0" xfId="0" applyFont="1" applyAlignment="1"/>
    <xf numFmtId="0" fontId="2" fillId="0" borderId="1" xfId="0" applyFont="1" applyFill="1" applyBorder="1" applyAlignment="1"/>
    <xf numFmtId="0" fontId="3" fillId="0" borderId="10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2" borderId="1" xfId="1" applyFont="1" applyFill="1" applyBorder="1" applyAlignment="1" applyProtection="1">
      <alignment horizontal="center" vertical="center" wrapText="1"/>
    </xf>
    <xf numFmtId="1" fontId="0" fillId="0" borderId="1" xfId="0" applyNumberFormat="1" applyFont="1" applyBorder="1" applyAlignment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4" fillId="3" borderId="0" xfId="0" applyFont="1" applyFill="1" applyAlignment="1"/>
    <xf numFmtId="0" fontId="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" fillId="0" borderId="11" xfId="0" applyFont="1" applyBorder="1" applyAlignment="1"/>
    <xf numFmtId="0" fontId="2" fillId="0" borderId="11" xfId="0" applyFont="1" applyBorder="1"/>
    <xf numFmtId="0" fontId="3" fillId="0" borderId="9" xfId="0" applyFont="1" applyFill="1" applyBorder="1" applyAlignment="1">
      <alignment horizontal="center" wrapText="1"/>
    </xf>
    <xf numFmtId="0" fontId="3" fillId="0" borderId="0" xfId="0" applyFont="1" applyFill="1" applyAlignment="1">
      <alignment horizontal="center" wrapText="1"/>
    </xf>
    <xf numFmtId="0" fontId="3" fillId="4" borderId="1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center" wrapText="1"/>
    </xf>
    <xf numFmtId="0" fontId="2" fillId="4" borderId="1" xfId="0" applyFont="1" applyFill="1" applyBorder="1" applyAlignment="1"/>
    <xf numFmtId="0" fontId="2" fillId="4" borderId="1" xfId="0" applyFont="1" applyFill="1" applyBorder="1"/>
    <xf numFmtId="0" fontId="2" fillId="4" borderId="1" xfId="0" applyFont="1" applyFill="1" applyBorder="1" applyAlignment="1">
      <alignment horizontal="center"/>
    </xf>
    <xf numFmtId="0" fontId="2" fillId="4" borderId="11" xfId="0" applyFont="1" applyFill="1" applyBorder="1" applyAlignment="1"/>
    <xf numFmtId="2" fontId="2" fillId="4" borderId="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0" xfId="0" applyFont="1" applyFill="1" applyAlignment="1"/>
    <xf numFmtId="0" fontId="3" fillId="4" borderId="0" xfId="0" applyFont="1" applyFill="1" applyAlignment="1"/>
    <xf numFmtId="0" fontId="2" fillId="0" borderId="1" xfId="0" applyFont="1" applyFill="1" applyBorder="1" applyAlignment="1">
      <alignment vertical="center" wrapText="1"/>
    </xf>
    <xf numFmtId="0" fontId="2" fillId="0" borderId="11" xfId="0" applyFont="1" applyFill="1" applyBorder="1" applyAlignment="1"/>
    <xf numFmtId="0" fontId="16" fillId="0" borderId="0" xfId="0" applyFont="1" applyAlignment="1"/>
    <xf numFmtId="0" fontId="17" fillId="0" borderId="6" xfId="1" applyFont="1" applyBorder="1" applyAlignment="1">
      <alignment horizontal="center" wrapText="1"/>
    </xf>
    <xf numFmtId="0" fontId="17" fillId="0" borderId="5" xfId="1" applyFont="1" applyBorder="1" applyAlignment="1" applyProtection="1">
      <alignment horizontal="center"/>
    </xf>
    <xf numFmtId="1" fontId="17" fillId="0" borderId="5" xfId="1" applyNumberFormat="1" applyFont="1" applyBorder="1" applyAlignment="1">
      <alignment horizontal="center"/>
    </xf>
    <xf numFmtId="1" fontId="17" fillId="0" borderId="5" xfId="1" applyNumberFormat="1" applyFont="1" applyBorder="1" applyAlignment="1" applyProtection="1">
      <alignment horizontal="center"/>
    </xf>
    <xf numFmtId="0" fontId="17" fillId="0" borderId="7" xfId="1" applyFont="1" applyBorder="1" applyAlignment="1" applyProtection="1">
      <alignment horizontal="center"/>
    </xf>
    <xf numFmtId="0" fontId="17" fillId="0" borderId="7" xfId="1" applyFont="1" applyBorder="1" applyAlignment="1">
      <alignment horizontal="center"/>
    </xf>
    <xf numFmtId="0" fontId="17" fillId="0" borderId="0" xfId="1" applyFont="1" applyAlignment="1" applyProtection="1">
      <alignment horizontal="center"/>
    </xf>
    <xf numFmtId="9" fontId="17" fillId="0" borderId="5" xfId="2" applyFont="1" applyBorder="1" applyAlignment="1">
      <alignment horizontal="center"/>
    </xf>
    <xf numFmtId="0" fontId="17" fillId="0" borderId="5" xfId="1" applyFont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4" fillId="0" borderId="0" xfId="0" applyFont="1" applyFill="1" applyAlignment="1">
      <alignment horizontal="center"/>
    </xf>
    <xf numFmtId="0" fontId="14" fillId="0" borderId="0" xfId="0" applyFont="1" applyFill="1" applyAlignment="1"/>
    <xf numFmtId="0" fontId="3" fillId="0" borderId="10" xfId="0" applyFont="1" applyFill="1" applyBorder="1" applyAlignment="1">
      <alignment horizontal="center" vertical="top" wrapText="1"/>
    </xf>
    <xf numFmtId="0" fontId="3" fillId="0" borderId="9" xfId="0" applyFont="1" applyFill="1" applyBorder="1" applyAlignment="1">
      <alignment horizontal="center" vertical="top" wrapText="1"/>
    </xf>
    <xf numFmtId="0" fontId="3" fillId="0" borderId="11" xfId="0" applyFont="1" applyFill="1" applyBorder="1" applyAlignment="1">
      <alignment horizontal="center" vertical="top"/>
    </xf>
    <xf numFmtId="0" fontId="3" fillId="0" borderId="11" xfId="0" applyFont="1" applyFill="1" applyBorder="1" applyAlignment="1">
      <alignment horizontal="center" vertical="top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Border="1" applyAlignment="1"/>
    <xf numFmtId="0" fontId="2" fillId="0" borderId="8" xfId="0" applyFont="1" applyBorder="1" applyAlignment="1">
      <alignment horizontal="center" vertical="center" wrapText="1"/>
    </xf>
    <xf numFmtId="0" fontId="2" fillId="0" borderId="8" xfId="0" applyFont="1" applyFill="1" applyBorder="1" applyAlignment="1"/>
    <xf numFmtId="0" fontId="19" fillId="0" borderId="0" xfId="0" applyFont="1" applyFill="1" applyAlignment="1">
      <alignment horizontal="center"/>
    </xf>
    <xf numFmtId="0" fontId="19" fillId="0" borderId="1" xfId="0" applyFont="1" applyFill="1" applyBorder="1" applyAlignment="1">
      <alignment horizontal="center"/>
    </xf>
    <xf numFmtId="0" fontId="19" fillId="0" borderId="0" xfId="0" applyFont="1" applyFill="1" applyAlignment="1"/>
    <xf numFmtId="0" fontId="20" fillId="0" borderId="1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vertical="center" wrapText="1"/>
    </xf>
    <xf numFmtId="2" fontId="19" fillId="0" borderId="1" xfId="0" applyNumberFormat="1" applyFont="1" applyFill="1" applyBorder="1" applyAlignment="1">
      <alignment horizontal="center"/>
    </xf>
    <xf numFmtId="2" fontId="20" fillId="0" borderId="1" xfId="0" applyNumberFormat="1" applyFont="1" applyFill="1" applyBorder="1" applyAlignment="1">
      <alignment horizontal="center"/>
    </xf>
    <xf numFmtId="0" fontId="19" fillId="0" borderId="1" xfId="0" applyFont="1" applyFill="1" applyBorder="1" applyAlignment="1"/>
    <xf numFmtId="0" fontId="21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top"/>
    </xf>
    <xf numFmtId="0" fontId="5" fillId="0" borderId="0" xfId="0" applyFont="1" applyFill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0" fontId="2" fillId="0" borderId="3" xfId="0" applyFont="1" applyFill="1" applyBorder="1" applyAlignment="1">
      <alignment horizontal="center" wrapText="1"/>
    </xf>
    <xf numFmtId="0" fontId="3" fillId="0" borderId="4" xfId="0" applyFont="1" applyFill="1" applyBorder="1" applyAlignment="1">
      <alignment horizontal="center" wrapText="1"/>
    </xf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 vertical="top" wrapText="1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1" xfId="0" applyBorder="1"/>
    <xf numFmtId="0" fontId="0" fillId="5" borderId="1" xfId="0" applyFill="1" applyBorder="1"/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 wrapText="1"/>
    </xf>
    <xf numFmtId="0" fontId="2" fillId="6" borderId="1" xfId="0" applyFont="1" applyFill="1" applyBorder="1" applyAlignment="1"/>
    <xf numFmtId="0" fontId="2" fillId="6" borderId="1" xfId="0" applyFont="1" applyFill="1" applyBorder="1"/>
    <xf numFmtId="0" fontId="2" fillId="6" borderId="1" xfId="0" applyFont="1" applyFill="1" applyBorder="1" applyAlignment="1">
      <alignment horizontal="center"/>
    </xf>
    <xf numFmtId="0" fontId="2" fillId="6" borderId="11" xfId="0" applyFont="1" applyFill="1" applyBorder="1" applyAlignment="1"/>
    <xf numFmtId="0" fontId="14" fillId="6" borderId="0" xfId="0" applyFont="1" applyFill="1" applyAlignment="1"/>
    <xf numFmtId="2" fontId="2" fillId="6" borderId="1" xfId="0" applyNumberFormat="1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/>
    <xf numFmtId="0" fontId="3" fillId="6" borderId="0" xfId="0" applyFont="1" applyFill="1" applyAlignment="1"/>
  </cellXfs>
  <cellStyles count="3">
    <cellStyle name="Excel Built-in Normal" xfId="1"/>
    <cellStyle name="Normal" xfId="0" builtinId="0"/>
    <cellStyle name="Percent" xfId="2" builtinId="5"/>
  </cellStyles>
  <dxfs count="93"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/>
        <color theme="7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/>
        <color theme="7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color rgb="FF9C0006"/>
      </font>
    </dxf>
    <dxf>
      <font>
        <color rgb="FFFF0000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/>
        <color theme="7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color rgb="FF9C0006"/>
      </font>
    </dxf>
    <dxf>
      <font>
        <color rgb="FFFF0000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 val="0"/>
        <strike val="0"/>
        <sz val="11"/>
        <color rgb="FFFF0000"/>
        <name val="Calibri"/>
      </font>
    </dxf>
    <dxf>
      <font>
        <b/>
        <i/>
        <color theme="7"/>
      </font>
    </dxf>
    <dxf>
      <font>
        <b/>
        <i val="0"/>
        <color rgb="FFFF0000"/>
      </font>
    </dxf>
    <dxf>
      <font>
        <b/>
        <i val="0"/>
        <color rgb="FFFFFF00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92"/>
      <tableStyleElement type="headerRow" dxfId="91"/>
    </tableStyle>
  </tableStyles>
  <colors>
    <mruColors>
      <color rgb="FF009999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SubjectWise!$F$7</c:f>
              <c:strCache>
                <c:ptCount val="1"/>
                <c:pt idx="0">
                  <c:v>O%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SubjectWise!$F$8:$F$16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19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strRef>
              <c:f>SubjectWise!$G$7</c:f>
              <c:strCache>
                <c:ptCount val="1"/>
                <c:pt idx="0">
                  <c:v>A+%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SubjectWise!$G$8:$G$16</c:f>
              <c:numCache>
                <c:formatCode>General</c:formatCode>
                <c:ptCount val="9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17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</c:ser>
        <c:ser>
          <c:idx val="2"/>
          <c:order val="2"/>
          <c:tx>
            <c:strRef>
              <c:f>SubjectWise!$H$7</c:f>
              <c:strCache>
                <c:ptCount val="1"/>
                <c:pt idx="0">
                  <c:v>A%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SubjectWise!$H$8:$H$16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16</c:v>
                </c:pt>
                <c:pt idx="7">
                  <c:v>1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strRef>
              <c:f>SubjectWise!$I$7</c:f>
              <c:strCache>
                <c:ptCount val="1"/>
                <c:pt idx="0">
                  <c:v>B+%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SubjectWise!$I$8:$I$16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4"/>
          <c:order val="4"/>
          <c:tx>
            <c:strRef>
              <c:f>SubjectWise!$J$7</c:f>
              <c:strCache>
                <c:ptCount val="1"/>
                <c:pt idx="0">
                  <c:v>B%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SubjectWise!$J$8:$J$16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5"/>
          <c:order val="5"/>
          <c:tx>
            <c:strRef>
              <c:f>SubjectWise!$K$7</c:f>
              <c:strCache>
                <c:ptCount val="1"/>
                <c:pt idx="0">
                  <c:v>C%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SubjectWise!$K$8:$K$16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6"/>
          <c:order val="6"/>
          <c:tx>
            <c:strRef>
              <c:f>SubjectWise!$L$7</c:f>
              <c:strCache>
                <c:ptCount val="1"/>
                <c:pt idx="0">
                  <c:v>P%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SubjectWise!$L$8:$L$16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7"/>
          <c:order val="7"/>
          <c:tx>
            <c:strRef>
              <c:f>SubjectWise!$M$7</c:f>
              <c:strCache>
                <c:ptCount val="1"/>
                <c:pt idx="0">
                  <c:v>F%</c:v>
                </c:pt>
              </c:strCache>
            </c:strRef>
          </c:tx>
          <c:invertIfNegative val="0"/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SubjectWise!$B$8:$B$16</c:f>
              <c:strCache>
                <c:ptCount val="9"/>
                <c:pt idx="0">
                  <c:v>BMATS201</c:v>
                </c:pt>
                <c:pt idx="1">
                  <c:v>BCHES202</c:v>
                </c:pt>
                <c:pt idx="2">
                  <c:v>BCEDK203</c:v>
                </c:pt>
                <c:pt idx="3">
                  <c:v>BESCK204C</c:v>
                </c:pt>
                <c:pt idx="4">
                  <c:v>BPLCK205B</c:v>
                </c:pt>
                <c:pt idx="5">
                  <c:v>BPWSK206</c:v>
                </c:pt>
                <c:pt idx="6">
                  <c:v>BKSKK207</c:v>
                </c:pt>
                <c:pt idx="7">
                  <c:v>BKBKK207</c:v>
                </c:pt>
                <c:pt idx="8">
                  <c:v>BSFHK258</c:v>
                </c:pt>
              </c:strCache>
            </c:strRef>
          </c:cat>
          <c:val>
            <c:numRef>
              <c:f>SubjectWise!$M$8:$M$16</c:f>
              <c:numCache>
                <c:formatCode>General</c:formatCode>
                <c:ptCount val="9"/>
                <c:pt idx="0">
                  <c:v>55</c:v>
                </c:pt>
                <c:pt idx="1">
                  <c:v>56</c:v>
                </c:pt>
                <c:pt idx="2">
                  <c:v>56</c:v>
                </c:pt>
                <c:pt idx="3">
                  <c:v>56</c:v>
                </c:pt>
                <c:pt idx="4">
                  <c:v>56</c:v>
                </c:pt>
                <c:pt idx="5">
                  <c:v>56</c:v>
                </c:pt>
                <c:pt idx="6">
                  <c:v>0</c:v>
                </c:pt>
                <c:pt idx="7">
                  <c:v>56</c:v>
                </c:pt>
                <c:pt idx="8">
                  <c:v>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57199488"/>
        <c:axId val="259810432"/>
      </c:barChart>
      <c:catAx>
        <c:axId val="257199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9810432"/>
        <c:crosses val="autoZero"/>
        <c:auto val="1"/>
        <c:lblAlgn val="ctr"/>
        <c:lblOffset val="100"/>
        <c:noMultiLvlLbl val="0"/>
      </c:catAx>
      <c:valAx>
        <c:axId val="2598104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571994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6633995925334508E-2"/>
          <c:y val="0.12769949275088011"/>
          <c:w val="0.83698841840574123"/>
          <c:h val="0.7407883654464927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FinalResult!$E$10:$M$10</c:f>
              <c:strCache>
                <c:ptCount val="9"/>
                <c:pt idx="0">
                  <c:v>TOTAL O% </c:v>
                </c:pt>
                <c:pt idx="1">
                  <c:v>TOTAL A+%</c:v>
                </c:pt>
                <c:pt idx="2">
                  <c:v>TOTAL A%</c:v>
                </c:pt>
                <c:pt idx="3">
                  <c:v>TOTAL B%</c:v>
                </c:pt>
                <c:pt idx="4">
                  <c:v>TOTAL B+%</c:v>
                </c:pt>
                <c:pt idx="5">
                  <c:v>TOTAL C%</c:v>
                </c:pt>
                <c:pt idx="6">
                  <c:v>TOTAL P%</c:v>
                </c:pt>
                <c:pt idx="7">
                  <c:v>TOTAL FAIL%</c:v>
                </c:pt>
                <c:pt idx="8">
                  <c:v>TOTAL PASS%</c:v>
                </c:pt>
              </c:strCache>
            </c:strRef>
          </c:cat>
          <c:val>
            <c:numRef>
              <c:f>FinalResult!$E$11:$M$11</c:f>
              <c:numCache>
                <c:formatCode>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 formatCode="0">
                  <c:v>0</c:v>
                </c:pt>
                <c:pt idx="5" formatCode="0">
                  <c:v>0</c:v>
                </c:pt>
                <c:pt idx="6" formatCode="0">
                  <c:v>0</c:v>
                </c:pt>
                <c:pt idx="7">
                  <c:v>0.88888888888888884</c:v>
                </c:pt>
                <c:pt idx="8">
                  <c:v>0.1111111111111111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768896"/>
        <c:axId val="154770432"/>
      </c:barChart>
      <c:catAx>
        <c:axId val="154768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54770432"/>
        <c:crosses val="autoZero"/>
        <c:auto val="1"/>
        <c:lblAlgn val="ctr"/>
        <c:lblOffset val="100"/>
        <c:noMultiLvlLbl val="0"/>
      </c:catAx>
      <c:valAx>
        <c:axId val="15477043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5476889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txPr>
    <a:bodyPr/>
    <a:lstStyle/>
    <a:p>
      <a:pPr>
        <a:defRPr baseline="0">
          <a:latin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2.wdp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microsoft.com/office/2007/relationships/hdphoto" Target="../media/hdphoto3.wdp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216177</xdr:colOff>
      <xdr:row>0</xdr:row>
      <xdr:rowOff>127553</xdr:rowOff>
    </xdr:from>
    <xdr:to>
      <xdr:col>19</xdr:col>
      <xdr:colOff>1</xdr:colOff>
      <xdr:row>3</xdr:row>
      <xdr:rowOff>153726</xdr:rowOff>
    </xdr:to>
    <xdr:pic>
      <xdr:nvPicPr>
        <xdr:cNvPr id="2" name="Picture 1" descr="D:\CSE-Office-12-19\bit-logo-may2020.jpg"/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5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01220" y="127553"/>
          <a:ext cx="718103" cy="821303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0</xdr:rowOff>
    </xdr:from>
    <xdr:to>
      <xdr:col>2</xdr:col>
      <xdr:colOff>381000</xdr:colOff>
      <xdr:row>2</xdr:row>
      <xdr:rowOff>160020</xdr:rowOff>
    </xdr:to>
    <xdr:pic>
      <xdr:nvPicPr>
        <xdr:cNvPr id="6" name="Picture 5" descr="D:\CSE-Office-12-19\bit-logo-may2020.jpg"/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5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0"/>
          <a:ext cx="771525" cy="739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213360</xdr:colOff>
      <xdr:row>3</xdr:row>
      <xdr:rowOff>68580</xdr:rowOff>
    </xdr:from>
    <xdr:to>
      <xdr:col>12</xdr:col>
      <xdr:colOff>411480</xdr:colOff>
      <xdr:row>3</xdr:row>
      <xdr:rowOff>106680</xdr:rowOff>
    </xdr:to>
    <xdr:cxnSp macro="">
      <xdr:nvCxnSpPr>
        <xdr:cNvPr id="7" name="Straight Connector 6"/>
        <xdr:cNvCxnSpPr/>
      </xdr:nvCxnSpPr>
      <xdr:spPr>
        <a:xfrm>
          <a:off x="213360" y="868680"/>
          <a:ext cx="9654540" cy="3810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1920240</xdr:colOff>
      <xdr:row>17</xdr:row>
      <xdr:rowOff>22860</xdr:rowOff>
    </xdr:from>
    <xdr:to>
      <xdr:col>8</xdr:col>
      <xdr:colOff>518160</xdr:colOff>
      <xdr:row>18</xdr:row>
      <xdr:rowOff>78235</xdr:rowOff>
    </xdr:to>
    <xdr:sp macro="" textlink="">
      <xdr:nvSpPr>
        <xdr:cNvPr id="8" name="TextBox 1"/>
        <xdr:cNvSpPr txBox="1"/>
      </xdr:nvSpPr>
      <xdr:spPr>
        <a:xfrm>
          <a:off x="3253740" y="4137660"/>
          <a:ext cx="4709160" cy="230635"/>
        </a:xfrm>
        <a:prstGeom prst="rect">
          <a:avLst/>
        </a:prstGeom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Subject</a:t>
          </a:r>
          <a:r>
            <a:rPr lang="en-US" sz="12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 Wise Result Analysis II SEM 2022 Batch</a:t>
          </a:r>
          <a:endParaRPr lang="en-US" sz="12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91440</xdr:colOff>
      <xdr:row>19</xdr:row>
      <xdr:rowOff>72390</xdr:rowOff>
    </xdr:from>
    <xdr:to>
      <xdr:col>14</xdr:col>
      <xdr:colOff>137160</xdr:colOff>
      <xdr:row>37</xdr:row>
      <xdr:rowOff>129540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624841</xdr:colOff>
      <xdr:row>0</xdr:row>
      <xdr:rowOff>45721</xdr:rowOff>
    </xdr:from>
    <xdr:to>
      <xdr:col>2</xdr:col>
      <xdr:colOff>708660</xdr:colOff>
      <xdr:row>2</xdr:row>
      <xdr:rowOff>175260</xdr:rowOff>
    </xdr:to>
    <xdr:pic>
      <xdr:nvPicPr>
        <xdr:cNvPr id="2" name="Picture 1" descr="D:\CSE-Office-12-19\bit-logo-may2020.jpg"/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5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841" y="45721"/>
          <a:ext cx="708659" cy="769619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</xdr:colOff>
      <xdr:row>12</xdr:row>
      <xdr:rowOff>76199</xdr:rowOff>
    </xdr:from>
    <xdr:to>
      <xdr:col>12</xdr:col>
      <xdr:colOff>285750</xdr:colOff>
      <xdr:row>31</xdr:row>
      <xdr:rowOff>19050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76200</xdr:colOff>
      <xdr:row>3</xdr:row>
      <xdr:rowOff>60960</xdr:rowOff>
    </xdr:from>
    <xdr:to>
      <xdr:col>12</xdr:col>
      <xdr:colOff>800100</xdr:colOff>
      <xdr:row>3</xdr:row>
      <xdr:rowOff>83820</xdr:rowOff>
    </xdr:to>
    <xdr:cxnSp macro="">
      <xdr:nvCxnSpPr>
        <xdr:cNvPr id="8" name="Straight Connector 7"/>
        <xdr:cNvCxnSpPr/>
      </xdr:nvCxnSpPr>
      <xdr:spPr>
        <a:xfrm>
          <a:off x="76200" y="922020"/>
          <a:ext cx="7612380" cy="2286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0.24476</cdr:x>
      <cdr:y>0.02817</cdr:y>
    </cdr:from>
    <cdr:to>
      <cdr:x>0.73007</cdr:x>
      <cdr:y>0.11549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666875" y="95250"/>
          <a:ext cx="3305175" cy="2952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200" b="1">
              <a:latin typeface="Times New Roman" panose="02020603050405020304" pitchFamily="18" charset="0"/>
              <a:cs typeface="Times New Roman" panose="02020603050405020304" pitchFamily="18" charset="0"/>
            </a:rPr>
            <a:t>Overall Result Analysis for I SEM 2021 Batch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350520</xdr:colOff>
      <xdr:row>0</xdr:row>
      <xdr:rowOff>38100</xdr:rowOff>
    </xdr:from>
    <xdr:to>
      <xdr:col>1</xdr:col>
      <xdr:colOff>419100</xdr:colOff>
      <xdr:row>2</xdr:row>
      <xdr:rowOff>182880</xdr:rowOff>
    </xdr:to>
    <xdr:pic>
      <xdr:nvPicPr>
        <xdr:cNvPr id="2" name="Picture 1" descr="D:\CSE-Office-12-19\bit-logo-may2020.jpg"/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5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520" y="38100"/>
          <a:ext cx="739140" cy="7543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167640</xdr:colOff>
      <xdr:row>3</xdr:row>
      <xdr:rowOff>45720</xdr:rowOff>
    </xdr:from>
    <xdr:to>
      <xdr:col>11</xdr:col>
      <xdr:colOff>121920</xdr:colOff>
      <xdr:row>3</xdr:row>
      <xdr:rowOff>83820</xdr:rowOff>
    </xdr:to>
    <xdr:cxnSp macro="">
      <xdr:nvCxnSpPr>
        <xdr:cNvPr id="3" name="Straight Connector 2"/>
        <xdr:cNvCxnSpPr/>
      </xdr:nvCxnSpPr>
      <xdr:spPr>
        <a:xfrm>
          <a:off x="167640" y="876300"/>
          <a:ext cx="7330440" cy="3810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216177</xdr:colOff>
      <xdr:row>0</xdr:row>
      <xdr:rowOff>127553</xdr:rowOff>
    </xdr:from>
    <xdr:to>
      <xdr:col>84</xdr:col>
      <xdr:colOff>12424</xdr:colOff>
      <xdr:row>3</xdr:row>
      <xdr:rowOff>106101</xdr:rowOff>
    </xdr:to>
    <xdr:pic>
      <xdr:nvPicPr>
        <xdr:cNvPr id="2" name="Picture 1" descr="D:\CSE-Office-12-19\bit-logo-may2020.jpg"/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7250"/>
                  </a14:imgEffect>
                  <a14:imgEffect>
                    <a14:saturation sat="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31452" y="127553"/>
          <a:ext cx="726799" cy="835798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907"/>
  <sheetViews>
    <sheetView tabSelected="1" zoomScaleNormal="100" workbookViewId="0">
      <selection activeCell="CE8" sqref="CE8"/>
    </sheetView>
  </sheetViews>
  <sheetFormatPr defaultColWidth="12.625" defaultRowHeight="15" customHeight="1" x14ac:dyDescent="0.25"/>
  <cols>
    <col min="1" max="1" width="6" style="11" customWidth="1"/>
    <col min="2" max="2" width="12.25" style="11" customWidth="1"/>
    <col min="3" max="3" width="32.375" style="11" customWidth="1"/>
    <col min="4" max="4" width="3.875" style="18" customWidth="1"/>
    <col min="5" max="5" width="4" style="22" customWidth="1"/>
    <col min="6" max="10" width="4.125" style="21" customWidth="1"/>
    <col min="11" max="13" width="4.125" style="11" customWidth="1"/>
    <col min="14" max="18" width="4.125" style="21" customWidth="1"/>
    <col min="19" max="20" width="4.125" style="11" customWidth="1"/>
    <col min="21" max="21" width="4.875" style="11" customWidth="1"/>
    <col min="22" max="23" width="4.125" style="11" customWidth="1"/>
    <col min="24" max="24" width="4.375" style="11" customWidth="1"/>
    <col min="25" max="33" width="4.125" style="11" customWidth="1"/>
    <col min="34" max="34" width="3.625" style="11" customWidth="1"/>
    <col min="35" max="38" width="4.125" style="11" customWidth="1"/>
    <col min="39" max="39" width="4.75" style="11" customWidth="1"/>
    <col min="40" max="78" width="4.125" style="11" customWidth="1"/>
    <col min="79" max="79" width="6.75" style="11" customWidth="1"/>
    <col min="80" max="80" width="5.625" style="21" customWidth="1"/>
    <col min="81" max="82" width="5.625" style="11" customWidth="1"/>
    <col min="83" max="84" width="5.625" style="21" customWidth="1"/>
    <col min="85" max="86" width="5.625" style="11" customWidth="1"/>
    <col min="87" max="87" width="10.25" style="11" customWidth="1"/>
    <col min="88" max="109" width="5.625" style="11" customWidth="1"/>
    <col min="110" max="16384" width="12.625" style="11"/>
  </cols>
  <sheetData>
    <row r="1" spans="1:88" ht="21" customHeight="1" x14ac:dyDescent="0.25">
      <c r="A1" s="104" t="s">
        <v>18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</row>
    <row r="2" spans="1:88" ht="29.25" customHeight="1" x14ac:dyDescent="0.25">
      <c r="A2" s="105" t="s">
        <v>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</row>
    <row r="3" spans="1:88" ht="13.5" customHeight="1" x14ac:dyDescent="0.25">
      <c r="A3" s="107" t="s">
        <v>242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</row>
    <row r="4" spans="1:88" ht="23.25" customHeight="1" x14ac:dyDescent="0.25">
      <c r="A4" s="104" t="s">
        <v>223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</row>
    <row r="5" spans="1:88" ht="30" customHeight="1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26"/>
      <c r="BY5" s="12"/>
      <c r="BZ5" s="12"/>
      <c r="CA5" s="12"/>
    </row>
    <row r="6" spans="1:88" ht="30" customHeight="1" x14ac:dyDescent="0.25">
      <c r="A6" s="13"/>
      <c r="B6" s="13"/>
      <c r="C6" s="14"/>
      <c r="D6" s="110" t="s">
        <v>227</v>
      </c>
      <c r="E6" s="108"/>
      <c r="F6" s="108"/>
      <c r="G6" s="108"/>
      <c r="H6" s="108"/>
      <c r="I6" s="108"/>
      <c r="J6" s="108"/>
      <c r="K6" s="108"/>
      <c r="L6" s="108"/>
      <c r="M6" s="15"/>
      <c r="N6" s="108" t="s">
        <v>228</v>
      </c>
      <c r="O6" s="108"/>
      <c r="P6" s="108"/>
      <c r="Q6" s="108"/>
      <c r="R6" s="108"/>
      <c r="S6" s="108"/>
      <c r="T6" s="108"/>
      <c r="U6" s="108"/>
      <c r="W6" s="109" t="s">
        <v>225</v>
      </c>
      <c r="X6" s="109"/>
      <c r="Y6" s="109"/>
      <c r="Z6" s="109"/>
      <c r="AA6" s="109"/>
      <c r="AB6" s="109"/>
      <c r="AC6" s="109"/>
      <c r="AD6" s="109"/>
      <c r="AF6" s="108" t="s">
        <v>226</v>
      </c>
      <c r="AG6" s="108"/>
      <c r="AH6" s="108"/>
      <c r="AI6" s="108"/>
      <c r="AJ6" s="108"/>
      <c r="AK6" s="108"/>
      <c r="AL6" s="108"/>
      <c r="AM6" s="108"/>
      <c r="AO6" s="108" t="s">
        <v>229</v>
      </c>
      <c r="AP6" s="108"/>
      <c r="AQ6" s="108"/>
      <c r="AR6" s="108"/>
      <c r="AS6" s="108"/>
      <c r="AT6" s="108"/>
      <c r="AU6" s="108"/>
      <c r="AV6" s="108"/>
      <c r="AX6" s="108" t="s">
        <v>230</v>
      </c>
      <c r="AY6" s="108"/>
      <c r="AZ6" s="108"/>
      <c r="BA6" s="108"/>
      <c r="BB6" s="108"/>
      <c r="BC6" s="108"/>
      <c r="BD6" s="108"/>
      <c r="BE6" s="108"/>
      <c r="BG6" s="108" t="s">
        <v>233</v>
      </c>
      <c r="BH6" s="108"/>
      <c r="BI6" s="108"/>
      <c r="BJ6" s="108"/>
      <c r="BK6" s="108"/>
      <c r="BL6" s="108"/>
      <c r="BM6" s="108"/>
      <c r="BN6" s="108"/>
      <c r="BP6" s="108" t="s">
        <v>231</v>
      </c>
      <c r="BQ6" s="108"/>
      <c r="BR6" s="108"/>
      <c r="BS6" s="108"/>
      <c r="BT6" s="108"/>
      <c r="BU6" s="108"/>
      <c r="BV6" s="108"/>
      <c r="BW6" s="108"/>
      <c r="BX6" s="22"/>
    </row>
    <row r="7" spans="1:88" ht="30" customHeight="1" x14ac:dyDescent="0.25">
      <c r="A7" s="4" t="s">
        <v>0</v>
      </c>
      <c r="B7" s="45" t="s">
        <v>1</v>
      </c>
      <c r="C7" s="45" t="s">
        <v>2</v>
      </c>
      <c r="D7" s="4" t="s">
        <v>12</v>
      </c>
      <c r="E7" s="16" t="s">
        <v>15</v>
      </c>
      <c r="F7" s="4" t="s">
        <v>13</v>
      </c>
      <c r="G7" s="4" t="s">
        <v>16</v>
      </c>
      <c r="H7" s="4" t="s">
        <v>6</v>
      </c>
      <c r="I7" s="4" t="s">
        <v>7</v>
      </c>
      <c r="J7" s="4" t="s">
        <v>8</v>
      </c>
      <c r="K7" s="4" t="s">
        <v>9</v>
      </c>
      <c r="L7" s="17" t="s">
        <v>17</v>
      </c>
      <c r="M7" s="18"/>
      <c r="N7" s="16" t="s">
        <v>15</v>
      </c>
      <c r="O7" s="4" t="s">
        <v>13</v>
      </c>
      <c r="P7" s="4" t="s">
        <v>16</v>
      </c>
      <c r="Q7" s="4" t="s">
        <v>6</v>
      </c>
      <c r="R7" s="4" t="s">
        <v>7</v>
      </c>
      <c r="S7" s="4" t="s">
        <v>8</v>
      </c>
      <c r="T7" s="4" t="s">
        <v>9</v>
      </c>
      <c r="U7" s="17" t="s">
        <v>17</v>
      </c>
      <c r="V7" s="18"/>
      <c r="W7" s="16" t="s">
        <v>14</v>
      </c>
      <c r="X7" s="4" t="s">
        <v>13</v>
      </c>
      <c r="Y7" s="4" t="s">
        <v>16</v>
      </c>
      <c r="Z7" s="4" t="s">
        <v>6</v>
      </c>
      <c r="AA7" s="4" t="s">
        <v>7</v>
      </c>
      <c r="AB7" s="4" t="s">
        <v>8</v>
      </c>
      <c r="AC7" s="4" t="s">
        <v>9</v>
      </c>
      <c r="AD7" s="17" t="s">
        <v>17</v>
      </c>
      <c r="AE7" s="18"/>
      <c r="AF7" s="16" t="s">
        <v>14</v>
      </c>
      <c r="AG7" s="4" t="s">
        <v>13</v>
      </c>
      <c r="AH7" s="4" t="s">
        <v>16</v>
      </c>
      <c r="AI7" s="4" t="s">
        <v>6</v>
      </c>
      <c r="AJ7" s="4" t="s">
        <v>7</v>
      </c>
      <c r="AK7" s="4" t="s">
        <v>8</v>
      </c>
      <c r="AL7" s="4" t="s">
        <v>9</v>
      </c>
      <c r="AM7" s="17" t="s">
        <v>17</v>
      </c>
      <c r="AN7" s="18"/>
      <c r="AO7" s="16" t="s">
        <v>14</v>
      </c>
      <c r="AP7" s="4" t="s">
        <v>13</v>
      </c>
      <c r="AQ7" s="4" t="s">
        <v>16</v>
      </c>
      <c r="AR7" s="4" t="s">
        <v>6</v>
      </c>
      <c r="AS7" s="4" t="s">
        <v>7</v>
      </c>
      <c r="AT7" s="4" t="s">
        <v>8</v>
      </c>
      <c r="AU7" s="4" t="s">
        <v>9</v>
      </c>
      <c r="AV7" s="17" t="s">
        <v>17</v>
      </c>
      <c r="AW7" s="18"/>
      <c r="AX7" s="16" t="s">
        <v>14</v>
      </c>
      <c r="AY7" s="4" t="s">
        <v>13</v>
      </c>
      <c r="AZ7" s="4" t="s">
        <v>16</v>
      </c>
      <c r="BA7" s="4" t="s">
        <v>6</v>
      </c>
      <c r="BB7" s="4" t="s">
        <v>7</v>
      </c>
      <c r="BC7" s="4" t="s">
        <v>8</v>
      </c>
      <c r="BD7" s="4" t="s">
        <v>9</v>
      </c>
      <c r="BE7" s="17" t="s">
        <v>17</v>
      </c>
      <c r="BF7" s="18"/>
      <c r="BG7" s="16" t="s">
        <v>14</v>
      </c>
      <c r="BH7" s="4" t="s">
        <v>13</v>
      </c>
      <c r="BI7" s="4" t="s">
        <v>16</v>
      </c>
      <c r="BJ7" s="4" t="s">
        <v>6</v>
      </c>
      <c r="BK7" s="4" t="s">
        <v>7</v>
      </c>
      <c r="BL7" s="4" t="s">
        <v>8</v>
      </c>
      <c r="BM7" s="4" t="s">
        <v>9</v>
      </c>
      <c r="BN7" s="17" t="s">
        <v>17</v>
      </c>
      <c r="BO7" s="18"/>
      <c r="BP7" s="16" t="s">
        <v>14</v>
      </c>
      <c r="BQ7" s="4" t="s">
        <v>13</v>
      </c>
      <c r="BR7" s="4" t="s">
        <v>16</v>
      </c>
      <c r="BS7" s="4" t="s">
        <v>6</v>
      </c>
      <c r="BT7" s="4" t="s">
        <v>7</v>
      </c>
      <c r="BU7" s="4" t="s">
        <v>8</v>
      </c>
      <c r="BV7" s="4" t="s">
        <v>9</v>
      </c>
      <c r="BW7" s="17" t="s">
        <v>17</v>
      </c>
      <c r="BX7" s="17"/>
      <c r="BY7" s="18"/>
      <c r="BZ7" s="18"/>
      <c r="CA7" s="18" t="s">
        <v>10</v>
      </c>
      <c r="CB7" s="59" t="s">
        <v>30</v>
      </c>
      <c r="CC7" s="25" t="s">
        <v>42</v>
      </c>
      <c r="CE7" s="59" t="s">
        <v>43</v>
      </c>
      <c r="CF7" s="59" t="s">
        <v>42</v>
      </c>
    </row>
    <row r="8" spans="1:88" ht="15.75" x14ac:dyDescent="0.25">
      <c r="A8" s="44">
        <v>1</v>
      </c>
      <c r="B8" s="120" t="s">
        <v>243</v>
      </c>
      <c r="C8" s="120" t="s">
        <v>244</v>
      </c>
      <c r="D8" s="58" t="s">
        <v>232</v>
      </c>
      <c r="E8" s="43">
        <v>45</v>
      </c>
      <c r="F8" s="43">
        <v>35</v>
      </c>
      <c r="G8" s="30"/>
      <c r="H8" s="19">
        <f t="shared" ref="H8:H27" si="0">SUM(E8:F8)</f>
        <v>80</v>
      </c>
      <c r="I8" s="19">
        <v>4</v>
      </c>
      <c r="J8" s="19" t="str">
        <f>IF(F8&lt;=17,"0",IF(H8&lt;=39,"0",IF(H8&lt;=49,"4",IF(H8&lt;=54,"5",IF(H8&lt;=59,"6",IF(H8&lt;=69,"7",IF(H8&lt;=79,"8",IF(H8&lt;=89,"9","10"))))))))</f>
        <v>9</v>
      </c>
      <c r="K8" s="19" t="str">
        <f>IF(F8&lt;=17,"F",IF(H8&lt;=39,"F",IF(H8&lt;=49,"P",IF(H8&lt;=54,"C",IF(H8&lt;=59,"B",IF(H8&lt;=69,"B+",IF(H8&lt;=79,"A",IF(H8&lt;=89,"A+","O"))))))))</f>
        <v>A+</v>
      </c>
      <c r="L8" s="19">
        <f>I8*J8</f>
        <v>36</v>
      </c>
      <c r="M8" s="19"/>
      <c r="N8" s="43"/>
      <c r="O8" s="43"/>
      <c r="P8" s="30"/>
      <c r="Q8" s="19">
        <f t="shared" ref="Q8:Q13" si="1">SUM(N8:O8)</f>
        <v>0</v>
      </c>
      <c r="R8" s="19">
        <v>4</v>
      </c>
      <c r="S8" s="19" t="str">
        <f>IF(O8&lt;=17,"0",IF(Q8&lt;=39,"4",IF(Q8&lt;=49,"4",IF(Q8&lt;=54,"5",IF(Q8&lt;=59,"6",IF(Q8&lt;=69,"7",IF(Q8&lt;=79,"8",IF(Q8&lt;=89,"9","10"))))))))</f>
        <v>0</v>
      </c>
      <c r="T8" s="19" t="str">
        <f>IF(O8&lt;=17,"F",IF(Q8&lt;=39,"F",IF(Q8&lt;=49,"P",IF(Q8&lt;=54,"C",IF(Q8&lt;=59,"B",IF(Q8&lt;=69,"B+",IF(Q8&lt;=79,"A",IF(Q8&lt;=89,"A+","O"))))))))</f>
        <v>F</v>
      </c>
      <c r="U8" s="19">
        <f t="shared" ref="U8:U59" si="2">R8*S8</f>
        <v>0</v>
      </c>
      <c r="V8" s="19"/>
      <c r="W8" s="43"/>
      <c r="X8" s="43"/>
      <c r="Y8" s="19"/>
      <c r="Z8" s="19">
        <f t="shared" ref="Z8:Z27" si="3">SUM(W8:X8)</f>
        <v>0</v>
      </c>
      <c r="AA8" s="19">
        <v>3</v>
      </c>
      <c r="AB8" s="19" t="str">
        <f>IF(X8&lt;=17,"0",IF(Z8&lt;=39,"0",IF(Z8&lt;=49,"4",IF(Z8&lt;=54,"5",IF(Z8&lt;=59,"6",IF(Z8&lt;=69,"7",IF(Z8&lt;=79,"8",IF(Z8&lt;=89,"9","10"))))))))</f>
        <v>0</v>
      </c>
      <c r="AC8" s="19" t="str">
        <f>IF(X8&lt;=17,"F",IF(Z8&lt;=39,"F",IF(Z8&lt;=49,"P",IF(Z8&lt;=54,"C",IF(Z8&lt;=59,"B",IF(Z8&lt;=69,"B+",IF(Z8&lt;=79,"A",IF(Z8&lt;=89,"A+","O"))))))))</f>
        <v>F</v>
      </c>
      <c r="AD8" s="19">
        <f t="shared" ref="AD8:AD27" si="4">AA8*AB8</f>
        <v>0</v>
      </c>
      <c r="AE8" s="19"/>
      <c r="AF8" s="56"/>
      <c r="AG8" s="56"/>
      <c r="AH8" s="30"/>
      <c r="AI8" s="19">
        <f t="shared" ref="AI8:AI13" si="5">SUM(AF8:AG8)</f>
        <v>0</v>
      </c>
      <c r="AJ8" s="19">
        <v>3</v>
      </c>
      <c r="AK8" s="19" t="str">
        <f>IF(AG8&lt;=17,"0",IF(AI8&lt;=39,"0",IF(AI8&lt;=49,"4",IF(AI8&lt;=54,"5",IF(AI8&lt;=59,"6",IF(AI8&lt;=69,"7",IF(AI8&lt;=79,"8",IF(AI8&lt;=89,"9","10"))))))))</f>
        <v>0</v>
      </c>
      <c r="AL8" s="19" t="str">
        <f>IF(AG8&lt;=17,"F",IF(AI8&lt;=39,"F",IF(AI8&lt;=49,"P",IF(AI8&lt;=54,"C",IF(AI8&lt;=59,"B",IF(AI8&lt;=69,"B+",IF(AI8&lt;=79,"A",IF(AI8&lt;=89,"A+","O"))))))))</f>
        <v>F</v>
      </c>
      <c r="AM8" s="19">
        <f t="shared" ref="AM8:AM59" si="6">AJ8*AK8</f>
        <v>0</v>
      </c>
      <c r="AN8" s="19"/>
      <c r="AO8" s="56"/>
      <c r="AP8" s="56"/>
      <c r="AQ8" s="30"/>
      <c r="AR8" s="19">
        <f t="shared" ref="AR8:AR27" si="7">(AO8+AP8)</f>
        <v>0</v>
      </c>
      <c r="AS8" s="19">
        <v>3</v>
      </c>
      <c r="AT8" s="19" t="str">
        <f>IF(AP8&lt;=17,"0",IF(AR8&lt;=39,"0",IF(AR8&lt;=49,"4",IF(AR8&lt;=54,"5",IF(AR8&lt;=59,"6",IF(AR8&lt;=69,"7",IF(AR8&lt;=79,"8",IF(AR8&lt;=89,"9","10"))))))))</f>
        <v>0</v>
      </c>
      <c r="AU8" s="19" t="str">
        <f>IF(AP8&lt;=17,"F",IF(AR8&lt;=39,"F",IF(AR8&lt;=49,"P",IF(AR8&lt;=54,"C",IF(AR8&lt;=59,"B",IF(AR8&lt;=69,"B+",IF(AR8&lt;=79,"A",IF(AR8&lt;=89,"A+","O"))))))))</f>
        <v>F</v>
      </c>
      <c r="AV8" s="19">
        <f t="shared" ref="AV8:AV59" si="8">AS8*AT8</f>
        <v>0</v>
      </c>
      <c r="AW8" s="19"/>
      <c r="AX8" s="43"/>
      <c r="AY8" s="43"/>
      <c r="AZ8" s="30"/>
      <c r="BA8" s="19">
        <f t="shared" ref="BA8:BA27" si="9">(AX8+AY8)</f>
        <v>0</v>
      </c>
      <c r="BB8" s="19">
        <v>1</v>
      </c>
      <c r="BC8" s="19" t="str">
        <f>IF(AY8&lt;=17,"0",IF(BA8&lt;=39,"0",IF(BA8&lt;=49,"4",IF(BA8&lt;=54,"5",IF(BA8&lt;=59,"6",IF(BA8&lt;=69,"7",IF(BA8&lt;=79,"8",IF(BA8&lt;=89,"9","10"))))))))</f>
        <v>0</v>
      </c>
      <c r="BD8" s="19" t="str">
        <f>IF(AY8&lt;=17,"F",IF(BA8&lt;=39,"F",IF(BA8&lt;=49,"P",IF(BA8&lt;=54,"C",IF(BA8&lt;=59,"B",IF(BA8&lt;=69,"B+",IF(BA8&lt;=79,"A",IF(BA8&lt;=89,"A+","O"))))))))</f>
        <v>F</v>
      </c>
      <c r="BE8" s="19">
        <f t="shared" ref="BE8:BE59" si="10">BB8*BC8</f>
        <v>0</v>
      </c>
      <c r="BF8" s="53" t="s">
        <v>97</v>
      </c>
      <c r="BG8" s="43"/>
      <c r="BH8" s="43"/>
      <c r="BI8" s="30"/>
      <c r="BJ8" s="19">
        <f t="shared" ref="BJ8:BJ27" si="11">(BG8+BH8)</f>
        <v>0</v>
      </c>
      <c r="BK8" s="19">
        <v>1</v>
      </c>
      <c r="BL8" s="19" t="str">
        <f>IF(BH8&lt;=17,"0",IF(BJ8&lt;=39,"0",IF(BJ8&lt;=49,"4",IF(BJ8&lt;=54,"5",IF(BJ8&lt;=59,"6",IF(BJ8&lt;=69,"7",IF(BJ8&lt;=79,"8",IF(BJ8&lt;=89,"9","10"))))))))</f>
        <v>0</v>
      </c>
      <c r="BM8" s="19" t="str">
        <f>IF(BH8&lt;=17,"F",IF(BJ8&lt;=39,"F",IF(BJ8&lt;=49,"P",IF(BJ8&lt;=54,"C",IF(BJ8&lt;=59,"B",IF(BJ8&lt;=69,"B+",IF(BJ8&lt;=79,"A",IF(BJ8&lt;=89,"A+","O"))))))))</f>
        <v>F</v>
      </c>
      <c r="BN8" s="19">
        <f t="shared" ref="BN8:BN59" si="12">BK8*BL8</f>
        <v>0</v>
      </c>
      <c r="BO8" s="19"/>
      <c r="BP8" s="43"/>
      <c r="BQ8" s="43"/>
      <c r="BR8" s="30"/>
      <c r="BS8" s="19">
        <f t="shared" ref="BS8:BS27" si="13">(BP8+BQ8)</f>
        <v>0</v>
      </c>
      <c r="BT8" s="19">
        <v>1</v>
      </c>
      <c r="BU8" s="19" t="str">
        <f>IF(BQ8&lt;=17,"0",IF(BS8&lt;=39,"0",IF(BS8&lt;=49,"4",IF(BS8&lt;=54,"5",IF(BS8&lt;=59,"6",IF(BS8&lt;=69,"7",IF(BS8&lt;=79,"8",IF(BS8&lt;=89,"9","10"))))))))</f>
        <v>0</v>
      </c>
      <c r="BV8" s="19" t="str">
        <f>IF(BQ8&lt;=17,"F",IF(BS8&lt;=39,"F",IF(BS8&lt;=49,"P",IF(BS8&lt;=54,"C",IF(BS8&lt;=59,"B",IF(BS8&lt;=69,"B+",IF(BS8&lt;=79,"A",IF(BS8&lt;=89,"A+","O"))))))))</f>
        <v>F</v>
      </c>
      <c r="BW8" s="19">
        <f t="shared" ref="BW8:BW25" si="14">BT8*BU8</f>
        <v>0</v>
      </c>
      <c r="BX8" s="19"/>
      <c r="BY8" s="19"/>
      <c r="BZ8" s="19">
        <f t="shared" ref="BZ8:BZ39" si="15">L8+U8+AD8+AM8+AV8+BE8+BN8+BW8</f>
        <v>36</v>
      </c>
      <c r="CA8" s="20">
        <f>BZ8/20</f>
        <v>1.8</v>
      </c>
      <c r="CB8" s="35" t="str">
        <f>IF(CA8&lt;4,"F",IF(BV8="F","F",IF(BM8="F","F",IF(BD8="F","F",IF(AU8="F","F",IF(AL8="F","F",IF(AC8="F","F",IF(T8="F","F",IF(K8="F","F",IF(CA8&lt;=5,"C",IF(CA8&lt;6,"B",IF(CA8&lt;7,"B+",IF(CA8&lt;8,"A",IF(CA8&lt;=9,"A+","O"))))))))))))))</f>
        <v>F</v>
      </c>
      <c r="CC8" s="31">
        <f t="shared" ref="CC8:CC59" si="16">CA8*9.5</f>
        <v>17.100000000000001</v>
      </c>
      <c r="CD8" s="31"/>
      <c r="CE8" s="35">
        <f t="shared" ref="CE8:CE39" si="17">SUM(BS8,BJ8,BA8,AR8,AI8,Z8,Q8,H8)</f>
        <v>80</v>
      </c>
      <c r="CF8" s="35">
        <f>(CE8/800)*100</f>
        <v>10</v>
      </c>
      <c r="CG8" s="31"/>
      <c r="CH8" s="31"/>
      <c r="CI8" s="31" t="str">
        <f>IF(CA8&lt;=4,"F",IF(CA8&lt;=6,"PASS",IF(CA8&lt;=6.5,"SC",IF(CA8&lt;=7.5,"FC",IF(CA8&lt;="10","FCD")))))</f>
        <v>F</v>
      </c>
    </row>
    <row r="9" spans="1:88" ht="15.75" x14ac:dyDescent="0.25">
      <c r="A9" s="44">
        <f>A8+1</f>
        <v>2</v>
      </c>
      <c r="B9" s="120" t="s">
        <v>245</v>
      </c>
      <c r="C9" s="120" t="s">
        <v>246</v>
      </c>
      <c r="D9" s="58" t="s">
        <v>232</v>
      </c>
      <c r="E9" s="64"/>
      <c r="F9" s="64"/>
      <c r="G9" s="30"/>
      <c r="H9" s="19">
        <f t="shared" si="0"/>
        <v>0</v>
      </c>
      <c r="I9" s="19">
        <v>4</v>
      </c>
      <c r="J9" s="19" t="str">
        <f t="shared" ref="J9:J10" si="18">IF(F9&lt;=17,"0",IF(H9&lt;=39,"0",IF(H9&lt;=49,"4",IF(H9&lt;=54,"5",IF(H9&lt;=59,"6",IF(H9&lt;=69,"7",IF(H9&lt;=79,"8",IF(H9&lt;=89,"9","10"))))))))</f>
        <v>0</v>
      </c>
      <c r="K9" s="19" t="str">
        <f t="shared" ref="K9:K10" si="19">IF(F9&lt;=17,"F",IF(H9&lt;=39,"F",IF(H9&lt;=49,"P",IF(H9&lt;=54,"C",IF(H9&lt;=59,"B",IF(H9&lt;=69,"B+",IF(H9&lt;=79,"A",IF(H9&lt;=89,"A+","O"))))))))</f>
        <v>F</v>
      </c>
      <c r="L9" s="19">
        <f t="shared" ref="L9:L60" si="20">I9*J9</f>
        <v>0</v>
      </c>
      <c r="M9" s="19"/>
      <c r="N9" s="9"/>
      <c r="O9" s="9"/>
      <c r="P9" s="30"/>
      <c r="Q9" s="19">
        <f t="shared" si="1"/>
        <v>0</v>
      </c>
      <c r="R9" s="19">
        <v>4</v>
      </c>
      <c r="S9" s="19" t="str">
        <f t="shared" ref="S9:S63" si="21">IF(O9&lt;=17,"0",IF(Q9&lt;=39,"4",IF(Q9&lt;=49,"4",IF(Q9&lt;=54,"5",IF(Q9&lt;=59,"6",IF(Q9&lt;=69,"7",IF(Q9&lt;=79,"8",IF(Q9&lt;=89,"9","10"))))))))</f>
        <v>0</v>
      </c>
      <c r="T9" s="19" t="str">
        <f t="shared" ref="T9:T63" si="22">IF(O9&lt;=17,"F",IF(Q9&lt;=39,"F",IF(Q9&lt;=49,"P",IF(Q9&lt;=54,"C",IF(Q9&lt;=59,"B",IF(Q9&lt;=69,"B+",IF(Q9&lt;=79,"A",IF(Q9&lt;=89,"A+","O"))))))))</f>
        <v>F</v>
      </c>
      <c r="U9" s="19">
        <f t="shared" si="2"/>
        <v>0</v>
      </c>
      <c r="V9" s="19"/>
      <c r="W9" s="9"/>
      <c r="X9" s="9"/>
      <c r="Y9" s="19"/>
      <c r="Z9" s="19">
        <f t="shared" si="3"/>
        <v>0</v>
      </c>
      <c r="AA9" s="19">
        <v>3</v>
      </c>
      <c r="AB9" s="19" t="str">
        <f t="shared" ref="AB9:AB63" si="23">IF(X9&lt;=17,"0",IF(Z9&lt;=39,"0",IF(Z9&lt;=49,"4",IF(Z9&lt;=54,"5",IF(Z9&lt;=59,"6",IF(Z9&lt;=69,"7",IF(Z9&lt;=79,"8",IF(Z9&lt;=89,"9","10"))))))))</f>
        <v>0</v>
      </c>
      <c r="AC9" s="19" t="str">
        <f t="shared" ref="AC9:AC63" si="24">IF(X9&lt;=17,"F",IF(Z9&lt;=39,"F",IF(Z9&lt;=49,"P",IF(Z9&lt;=54,"C",IF(Z9&lt;=59,"B",IF(Z9&lt;=69,"B+",IF(Z9&lt;=79,"A",IF(Z9&lt;=89,"A+","O"))))))))</f>
        <v>F</v>
      </c>
      <c r="AD9" s="19">
        <f t="shared" si="4"/>
        <v>0</v>
      </c>
      <c r="AE9" s="19"/>
      <c r="AF9" s="56"/>
      <c r="AG9" s="56"/>
      <c r="AH9" s="30"/>
      <c r="AI9" s="19">
        <f t="shared" si="5"/>
        <v>0</v>
      </c>
      <c r="AJ9" s="19">
        <v>3</v>
      </c>
      <c r="AK9" s="19" t="str">
        <f t="shared" ref="AK9:AK63" si="25">IF(AG9&lt;=17,"0",IF(AI9&lt;=39,"0",IF(AI9&lt;=49,"4",IF(AI9&lt;=54,"5",IF(AI9&lt;=59,"6",IF(AI9&lt;=69,"7",IF(AI9&lt;=79,"8",IF(AI9&lt;=89,"9","10"))))))))</f>
        <v>0</v>
      </c>
      <c r="AL9" s="19" t="str">
        <f t="shared" ref="AL9:AL63" si="26">IF(AG9&lt;=17,"F",IF(AI9&lt;=39,"F",IF(AI9&lt;=49,"P",IF(AI9&lt;=54,"C",IF(AI9&lt;=59,"B",IF(AI9&lt;=69,"B+",IF(AI9&lt;=79,"A",IF(AI9&lt;=89,"A+","O"))))))))</f>
        <v>F</v>
      </c>
      <c r="AM9" s="19">
        <f t="shared" si="6"/>
        <v>0</v>
      </c>
      <c r="AO9" s="43"/>
      <c r="AP9" s="56"/>
      <c r="AQ9" s="30"/>
      <c r="AR9" s="19">
        <f t="shared" si="7"/>
        <v>0</v>
      </c>
      <c r="AS9" s="19">
        <v>3</v>
      </c>
      <c r="AT9" s="19" t="str">
        <f t="shared" ref="AT9:AT63" si="27">IF(AP9&lt;=17,"0",IF(AR9&lt;=39,"0",IF(AR9&lt;=49,"4",IF(AR9&lt;=54,"5",IF(AR9&lt;=59,"6",IF(AR9&lt;=69,"7",IF(AR9&lt;=79,"8",IF(AR9&lt;=89,"9","10"))))))))</f>
        <v>0</v>
      </c>
      <c r="AU9" s="19" t="str">
        <f t="shared" ref="AU9:AU63" si="28">IF(AP9&lt;=17,"F",IF(AR9&lt;=39,"F",IF(AR9&lt;=49,"P",IF(AR9&lt;=54,"C",IF(AR9&lt;=59,"B",IF(AR9&lt;=69,"B+",IF(AR9&lt;=79,"A",IF(AR9&lt;=89,"A+","O"))))))))</f>
        <v>F</v>
      </c>
      <c r="AV9" s="19">
        <f t="shared" si="8"/>
        <v>0</v>
      </c>
      <c r="AW9" s="19"/>
      <c r="AX9" s="9"/>
      <c r="AY9" s="9"/>
      <c r="AZ9" s="30"/>
      <c r="BA9" s="19">
        <f t="shared" si="9"/>
        <v>0</v>
      </c>
      <c r="BB9" s="19">
        <v>1</v>
      </c>
      <c r="BC9" s="19" t="str">
        <f t="shared" ref="BC9:BC63" si="29">IF(AY9&lt;=17,"0",IF(BA9&lt;=39,"0",IF(BA9&lt;=49,"4",IF(BA9&lt;=54,"5",IF(BA9&lt;=59,"6",IF(BA9&lt;=69,"7",IF(BA9&lt;=79,"8",IF(BA9&lt;=89,"9","10"))))))))</f>
        <v>0</v>
      </c>
      <c r="BD9" s="19" t="str">
        <f t="shared" ref="BD9:BD63" si="30">IF(AY9&lt;=17,"F",IF(BA9&lt;=39,"F",IF(BA9&lt;=49,"P",IF(BA9&lt;=54,"C",IF(BA9&lt;=59,"B",IF(BA9&lt;=69,"B+",IF(BA9&lt;=79,"A",IF(BA9&lt;=89,"A+","O"))))))))</f>
        <v>F</v>
      </c>
      <c r="BE9" s="19">
        <f t="shared" si="10"/>
        <v>0</v>
      </c>
      <c r="BF9" s="53" t="s">
        <v>92</v>
      </c>
      <c r="BG9" s="9"/>
      <c r="BH9" s="9"/>
      <c r="BI9" s="30"/>
      <c r="BJ9" s="19">
        <f t="shared" si="11"/>
        <v>0</v>
      </c>
      <c r="BK9" s="19">
        <v>1</v>
      </c>
      <c r="BL9" s="19" t="str">
        <f t="shared" ref="BL9:BL63" si="31">IF(BH9&lt;=17,"0",IF(BJ9&lt;=39,"0",IF(BJ9&lt;=49,"4",IF(BJ9&lt;=54,"5",IF(BJ9&lt;=59,"6",IF(BJ9&lt;=69,"7",IF(BJ9&lt;=79,"8",IF(BJ9&lt;=89,"9","10"))))))))</f>
        <v>0</v>
      </c>
      <c r="BM9" s="19" t="str">
        <f t="shared" ref="BM9:BM63" si="32">IF(BH9&lt;=17,"F",IF(BJ9&lt;=39,"F",IF(BJ9&lt;=49,"P",IF(BJ9&lt;=54,"C",IF(BJ9&lt;=59,"B",IF(BJ9&lt;=69,"B+",IF(BJ9&lt;=79,"A",IF(BJ9&lt;=89,"A+","O"))))))))</f>
        <v>F</v>
      </c>
      <c r="BN9" s="19">
        <f t="shared" si="12"/>
        <v>0</v>
      </c>
      <c r="BO9" s="19"/>
      <c r="BP9" s="9"/>
      <c r="BQ9" s="9"/>
      <c r="BR9" s="30"/>
      <c r="BS9" s="19">
        <f t="shared" si="13"/>
        <v>0</v>
      </c>
      <c r="BT9" s="19">
        <v>1</v>
      </c>
      <c r="BU9" s="19" t="str">
        <f t="shared" ref="BU9:BU63" si="33">IF(BQ9&lt;=17,"0",IF(BS9&lt;=39,"0",IF(BS9&lt;=49,"4",IF(BS9&lt;=54,"5",IF(BS9&lt;=59,"6",IF(BS9&lt;=69,"7",IF(BS9&lt;=79,"8",IF(BS9&lt;=89,"9","10"))))))))</f>
        <v>0</v>
      </c>
      <c r="BV9" s="19" t="str">
        <f t="shared" ref="BV9:BV63" si="34">IF(BQ9&lt;=17,"F",IF(BS9&lt;=39,"F",IF(BS9&lt;=49,"P",IF(BS9&lt;=54,"C",IF(BS9&lt;=59,"B",IF(BS9&lt;=69,"B+",IF(BS9&lt;=79,"A",IF(BS9&lt;=89,"A+","O"))))))))</f>
        <v>F</v>
      </c>
      <c r="BW9" s="19">
        <f t="shared" si="14"/>
        <v>0</v>
      </c>
      <c r="BX9" s="19"/>
      <c r="BY9" s="19"/>
      <c r="BZ9" s="19">
        <f t="shared" si="15"/>
        <v>0</v>
      </c>
      <c r="CA9" s="20">
        <f t="shared" ref="CA9:CA63" si="35">BZ9/20</f>
        <v>0</v>
      </c>
      <c r="CB9" s="35" t="str">
        <f t="shared" ref="CB9:CB63" si="36">IF(CA9&lt;4,"F",IF(BV9="F","F",IF(BM9="F","F",IF(BD9="F","F",IF(AU9="F","F",IF(AL9="F","F",IF(AC9="F","F",IF(T9="F","F",IF(K9="F","F",IF(CA9&lt;=5,"C",IF(CA9&lt;6,"B",IF(CA9&lt;7,"B+",IF(CA9&lt;8,"A",IF(CA9&lt;=9,"A+","O"))))))))))))))</f>
        <v>F</v>
      </c>
      <c r="CC9" s="31">
        <f t="shared" si="16"/>
        <v>0</v>
      </c>
      <c r="CD9" s="31"/>
      <c r="CE9" s="35">
        <f t="shared" si="17"/>
        <v>0</v>
      </c>
      <c r="CF9" s="35">
        <f t="shared" ref="CF9:CF60" si="37">(CE9/800)*100</f>
        <v>0</v>
      </c>
      <c r="CG9" s="31"/>
      <c r="CH9" s="31"/>
      <c r="CI9" s="31" t="str">
        <f t="shared" ref="CI9:CI63" si="38">IF(CA9&lt;=4,"F",IF(CA9&lt;=6,"PASS",IF(CA9&lt;=6.5,"SC",IF(CA9&lt;=7.5,"FC",IF(CA9&lt;="10","FCD")))))</f>
        <v>F</v>
      </c>
    </row>
    <row r="10" spans="1:88" ht="15.75" x14ac:dyDescent="0.25">
      <c r="A10" s="44">
        <f t="shared" ref="A10:A61" si="39">A9+1</f>
        <v>3</v>
      </c>
      <c r="B10" s="120" t="s">
        <v>247</v>
      </c>
      <c r="C10" s="120" t="s">
        <v>248</v>
      </c>
      <c r="D10" s="58" t="s">
        <v>232</v>
      </c>
      <c r="E10" s="9"/>
      <c r="F10" s="9"/>
      <c r="G10" s="30"/>
      <c r="H10" s="19">
        <f t="shared" si="0"/>
        <v>0</v>
      </c>
      <c r="I10" s="19">
        <v>4</v>
      </c>
      <c r="J10" s="19" t="str">
        <f t="shared" si="18"/>
        <v>0</v>
      </c>
      <c r="K10" s="19" t="str">
        <f t="shared" si="19"/>
        <v>F</v>
      </c>
      <c r="L10" s="19">
        <f t="shared" si="20"/>
        <v>0</v>
      </c>
      <c r="M10" s="19"/>
      <c r="N10" s="9"/>
      <c r="O10" s="9"/>
      <c r="P10" s="30"/>
      <c r="Q10" s="19">
        <f t="shared" si="1"/>
        <v>0</v>
      </c>
      <c r="R10" s="19">
        <v>4</v>
      </c>
      <c r="S10" s="19" t="str">
        <f t="shared" si="21"/>
        <v>0</v>
      </c>
      <c r="T10" s="19" t="str">
        <f t="shared" si="22"/>
        <v>F</v>
      </c>
      <c r="U10" s="19">
        <f t="shared" si="2"/>
        <v>0</v>
      </c>
      <c r="V10" s="19"/>
      <c r="W10" s="9"/>
      <c r="X10" s="9"/>
      <c r="Y10" s="19"/>
      <c r="Z10" s="19">
        <f t="shared" si="3"/>
        <v>0</v>
      </c>
      <c r="AA10" s="19">
        <v>3</v>
      </c>
      <c r="AB10" s="19" t="str">
        <f t="shared" si="23"/>
        <v>0</v>
      </c>
      <c r="AC10" s="19" t="str">
        <f t="shared" si="24"/>
        <v>F</v>
      </c>
      <c r="AD10" s="19">
        <f t="shared" si="4"/>
        <v>0</v>
      </c>
      <c r="AE10" s="19"/>
      <c r="AF10" s="56"/>
      <c r="AG10" s="56"/>
      <c r="AH10" s="30"/>
      <c r="AI10" s="19">
        <f t="shared" si="5"/>
        <v>0</v>
      </c>
      <c r="AJ10" s="19">
        <v>3</v>
      </c>
      <c r="AK10" s="19" t="str">
        <f t="shared" si="25"/>
        <v>0</v>
      </c>
      <c r="AL10" s="19" t="str">
        <f t="shared" si="26"/>
        <v>F</v>
      </c>
      <c r="AM10" s="19">
        <f t="shared" si="6"/>
        <v>0</v>
      </c>
      <c r="AN10" s="19"/>
      <c r="AO10" s="56"/>
      <c r="AP10" s="56"/>
      <c r="AQ10" s="30"/>
      <c r="AR10" s="19">
        <f t="shared" si="7"/>
        <v>0</v>
      </c>
      <c r="AS10" s="19">
        <v>3</v>
      </c>
      <c r="AT10" s="19" t="str">
        <f t="shared" si="27"/>
        <v>0</v>
      </c>
      <c r="AU10" s="19" t="str">
        <f t="shared" si="28"/>
        <v>F</v>
      </c>
      <c r="AV10" s="19">
        <f t="shared" si="8"/>
        <v>0</v>
      </c>
      <c r="AW10" s="19"/>
      <c r="AX10" s="9"/>
      <c r="AY10" s="9"/>
      <c r="AZ10" s="30"/>
      <c r="BA10" s="19">
        <f t="shared" si="9"/>
        <v>0</v>
      </c>
      <c r="BB10" s="19">
        <v>1</v>
      </c>
      <c r="BC10" s="19" t="str">
        <f t="shared" si="29"/>
        <v>0</v>
      </c>
      <c r="BD10" s="19" t="str">
        <f t="shared" si="30"/>
        <v>F</v>
      </c>
      <c r="BE10" s="19">
        <f t="shared" si="10"/>
        <v>0</v>
      </c>
      <c r="BF10" s="53" t="s">
        <v>97</v>
      </c>
      <c r="BG10" s="9"/>
      <c r="BH10" s="9"/>
      <c r="BI10" s="30"/>
      <c r="BJ10" s="19">
        <f t="shared" si="11"/>
        <v>0</v>
      </c>
      <c r="BK10" s="19">
        <v>1</v>
      </c>
      <c r="BL10" s="19" t="str">
        <f t="shared" si="31"/>
        <v>0</v>
      </c>
      <c r="BM10" s="19" t="str">
        <f t="shared" si="32"/>
        <v>F</v>
      </c>
      <c r="BN10" s="19">
        <f t="shared" si="12"/>
        <v>0</v>
      </c>
      <c r="BO10" s="19"/>
      <c r="BP10" s="9"/>
      <c r="BQ10" s="9"/>
      <c r="BR10" s="30"/>
      <c r="BS10" s="19">
        <f t="shared" si="13"/>
        <v>0</v>
      </c>
      <c r="BT10" s="19">
        <v>1</v>
      </c>
      <c r="BU10" s="19" t="str">
        <f t="shared" si="33"/>
        <v>0</v>
      </c>
      <c r="BV10" s="19" t="str">
        <f t="shared" si="34"/>
        <v>F</v>
      </c>
      <c r="BW10" s="19">
        <f t="shared" si="14"/>
        <v>0</v>
      </c>
      <c r="BX10" s="19"/>
      <c r="BY10" s="19"/>
      <c r="BZ10" s="19">
        <f t="shared" si="15"/>
        <v>0</v>
      </c>
      <c r="CA10" s="20">
        <f t="shared" si="35"/>
        <v>0</v>
      </c>
      <c r="CB10" s="35" t="str">
        <f t="shared" si="36"/>
        <v>F</v>
      </c>
      <c r="CC10" s="31">
        <f t="shared" si="16"/>
        <v>0</v>
      </c>
      <c r="CD10" s="31"/>
      <c r="CE10" s="35">
        <f t="shared" si="17"/>
        <v>0</v>
      </c>
      <c r="CF10" s="35">
        <f t="shared" si="37"/>
        <v>0</v>
      </c>
      <c r="CG10" s="31"/>
      <c r="CH10" s="31"/>
      <c r="CI10" s="31" t="str">
        <f t="shared" si="38"/>
        <v>F</v>
      </c>
    </row>
    <row r="11" spans="1:88" s="71" customFormat="1" ht="15.75" x14ac:dyDescent="0.25">
      <c r="A11" s="122">
        <f t="shared" si="39"/>
        <v>4</v>
      </c>
      <c r="B11" s="121" t="s">
        <v>249</v>
      </c>
      <c r="C11" s="121" t="s">
        <v>250</v>
      </c>
      <c r="D11" s="123" t="s">
        <v>232</v>
      </c>
      <c r="E11" s="64"/>
      <c r="F11" s="64"/>
      <c r="G11" s="125"/>
      <c r="H11" s="126">
        <f t="shared" si="0"/>
        <v>0</v>
      </c>
      <c r="I11" s="126">
        <v>4</v>
      </c>
      <c r="J11" s="126" t="str">
        <f t="shared" ref="J11:J63" si="40">IF(F11&lt;=17,"0",IF(H11&lt;=39,"0",IF(H11&lt;=49,"4",IF(H11&lt;=54,"5",IF(H11&lt;=59,"6",IF(H11&lt;=69,"7",IF(H11&lt;=79,"8",IF(H11&lt;=89,"9","10"))))))))</f>
        <v>0</v>
      </c>
      <c r="K11" s="126" t="str">
        <f t="shared" ref="K11:K63" si="41">IF(F11&lt;=17,"F",IF(H11&lt;=39,"F",IF(H11&lt;=49,"P",IF(H11&lt;=54,"C",IF(H11&lt;=59,"B",IF(H11&lt;=69,"B+",IF(H11&lt;=79,"A",IF(H11&lt;=89,"A+","O"))))))))</f>
        <v>F</v>
      </c>
      <c r="L11" s="126">
        <f t="shared" si="20"/>
        <v>0</v>
      </c>
      <c r="M11" s="126"/>
      <c r="N11" s="124"/>
      <c r="O11" s="124"/>
      <c r="P11" s="125"/>
      <c r="Q11" s="126">
        <f t="shared" si="1"/>
        <v>0</v>
      </c>
      <c r="R11" s="126">
        <v>4</v>
      </c>
      <c r="S11" s="126" t="str">
        <f t="shared" si="21"/>
        <v>0</v>
      </c>
      <c r="T11" s="126" t="str">
        <f t="shared" si="22"/>
        <v>F</v>
      </c>
      <c r="U11" s="126">
        <f t="shared" si="2"/>
        <v>0</v>
      </c>
      <c r="V11" s="126"/>
      <c r="W11" s="124"/>
      <c r="X11" s="124"/>
      <c r="Y11" s="126"/>
      <c r="Z11" s="126">
        <f t="shared" si="3"/>
        <v>0</v>
      </c>
      <c r="AA11" s="126">
        <v>3</v>
      </c>
      <c r="AB11" s="126" t="str">
        <f t="shared" si="23"/>
        <v>0</v>
      </c>
      <c r="AC11" s="126" t="str">
        <f t="shared" si="24"/>
        <v>F</v>
      </c>
      <c r="AD11" s="126">
        <f t="shared" si="4"/>
        <v>0</v>
      </c>
      <c r="AE11" s="126"/>
      <c r="AF11" s="127"/>
      <c r="AG11" s="127"/>
      <c r="AH11" s="125"/>
      <c r="AI11" s="126">
        <f t="shared" si="5"/>
        <v>0</v>
      </c>
      <c r="AJ11" s="126">
        <v>3</v>
      </c>
      <c r="AK11" s="126" t="str">
        <f t="shared" si="25"/>
        <v>0</v>
      </c>
      <c r="AL11" s="126" t="str">
        <f t="shared" si="26"/>
        <v>F</v>
      </c>
      <c r="AM11" s="126">
        <f t="shared" si="6"/>
        <v>0</v>
      </c>
      <c r="AN11" s="126"/>
      <c r="AO11" s="127"/>
      <c r="AP11" s="127"/>
      <c r="AQ11" s="125"/>
      <c r="AR11" s="126">
        <f t="shared" si="7"/>
        <v>0</v>
      </c>
      <c r="AS11" s="126">
        <v>3</v>
      </c>
      <c r="AT11" s="126" t="str">
        <f t="shared" si="27"/>
        <v>0</v>
      </c>
      <c r="AU11" s="126" t="str">
        <f t="shared" si="28"/>
        <v>F</v>
      </c>
      <c r="AV11" s="126">
        <f t="shared" si="8"/>
        <v>0</v>
      </c>
      <c r="AW11" s="126"/>
      <c r="AX11" s="124"/>
      <c r="AY11" s="124"/>
      <c r="AZ11" s="125"/>
      <c r="BA11" s="126">
        <f t="shared" si="9"/>
        <v>0</v>
      </c>
      <c r="BB11" s="126">
        <v>1</v>
      </c>
      <c r="BC11" s="126" t="str">
        <f t="shared" si="29"/>
        <v>0</v>
      </c>
      <c r="BD11" s="126" t="str">
        <f t="shared" si="30"/>
        <v>F</v>
      </c>
      <c r="BE11" s="126">
        <f t="shared" si="10"/>
        <v>0</v>
      </c>
      <c r="BF11" s="128" t="s">
        <v>92</v>
      </c>
      <c r="BG11" s="124"/>
      <c r="BH11" s="124"/>
      <c r="BI11" s="125"/>
      <c r="BJ11" s="126">
        <f t="shared" si="11"/>
        <v>0</v>
      </c>
      <c r="BK11" s="126">
        <v>1</v>
      </c>
      <c r="BL11" s="126" t="str">
        <f t="shared" si="31"/>
        <v>0</v>
      </c>
      <c r="BM11" s="126" t="str">
        <f t="shared" si="32"/>
        <v>F</v>
      </c>
      <c r="BN11" s="126">
        <f t="shared" si="12"/>
        <v>0</v>
      </c>
      <c r="BO11" s="126"/>
      <c r="BP11" s="124"/>
      <c r="BQ11" s="124"/>
      <c r="BR11" s="125"/>
      <c r="BS11" s="126">
        <f t="shared" si="13"/>
        <v>0</v>
      </c>
      <c r="BT11" s="126">
        <v>1</v>
      </c>
      <c r="BU11" s="126" t="str">
        <f t="shared" si="33"/>
        <v>0</v>
      </c>
      <c r="BV11" s="126" t="str">
        <f t="shared" si="34"/>
        <v>F</v>
      </c>
      <c r="BW11" s="126">
        <f t="shared" si="14"/>
        <v>0</v>
      </c>
      <c r="BX11" s="126"/>
      <c r="BY11" s="126"/>
      <c r="BZ11" s="126">
        <f t="shared" si="15"/>
        <v>0</v>
      </c>
      <c r="CA11" s="129">
        <f t="shared" si="35"/>
        <v>0</v>
      </c>
      <c r="CB11" s="130" t="str">
        <f t="shared" si="36"/>
        <v>F</v>
      </c>
      <c r="CC11" s="131">
        <f t="shared" si="16"/>
        <v>0</v>
      </c>
      <c r="CD11" s="131"/>
      <c r="CE11" s="130">
        <f t="shared" si="17"/>
        <v>0</v>
      </c>
      <c r="CF11" s="130">
        <f t="shared" si="37"/>
        <v>0</v>
      </c>
      <c r="CG11" s="131"/>
      <c r="CH11" s="131"/>
      <c r="CI11" s="131" t="s">
        <v>11</v>
      </c>
      <c r="CJ11" s="132"/>
    </row>
    <row r="12" spans="1:88" ht="15.75" x14ac:dyDescent="0.25">
      <c r="A12" s="44">
        <f t="shared" si="39"/>
        <v>5</v>
      </c>
      <c r="B12" s="120" t="s">
        <v>251</v>
      </c>
      <c r="C12" s="120" t="s">
        <v>252</v>
      </c>
      <c r="D12" s="58" t="s">
        <v>232</v>
      </c>
      <c r="E12" s="9"/>
      <c r="F12" s="9"/>
      <c r="G12" s="30"/>
      <c r="H12" s="19">
        <f t="shared" si="0"/>
        <v>0</v>
      </c>
      <c r="I12" s="19">
        <v>4</v>
      </c>
      <c r="J12" s="19" t="str">
        <f t="shared" si="40"/>
        <v>0</v>
      </c>
      <c r="K12" s="19" t="str">
        <f t="shared" si="41"/>
        <v>F</v>
      </c>
      <c r="L12" s="19">
        <f t="shared" si="20"/>
        <v>0</v>
      </c>
      <c r="M12" s="19"/>
      <c r="N12" s="9"/>
      <c r="O12" s="9"/>
      <c r="P12" s="30"/>
      <c r="Q12" s="19">
        <f t="shared" si="1"/>
        <v>0</v>
      </c>
      <c r="R12" s="19">
        <v>4</v>
      </c>
      <c r="S12" s="19" t="str">
        <f t="shared" si="21"/>
        <v>0</v>
      </c>
      <c r="T12" s="19" t="str">
        <f t="shared" si="22"/>
        <v>F</v>
      </c>
      <c r="U12" s="19">
        <f t="shared" si="2"/>
        <v>0</v>
      </c>
      <c r="V12" s="19"/>
      <c r="W12" s="9"/>
      <c r="X12" s="9"/>
      <c r="Y12" s="19"/>
      <c r="Z12" s="19">
        <f t="shared" si="3"/>
        <v>0</v>
      </c>
      <c r="AA12" s="19">
        <v>3</v>
      </c>
      <c r="AB12" s="19" t="str">
        <f t="shared" si="23"/>
        <v>0</v>
      </c>
      <c r="AC12" s="19" t="str">
        <f t="shared" si="24"/>
        <v>F</v>
      </c>
      <c r="AD12" s="19">
        <f t="shared" si="4"/>
        <v>0</v>
      </c>
      <c r="AE12" s="19"/>
      <c r="AF12" s="56"/>
      <c r="AG12" s="56"/>
      <c r="AH12" s="30"/>
      <c r="AI12" s="19">
        <f t="shared" si="5"/>
        <v>0</v>
      </c>
      <c r="AJ12" s="19">
        <v>3</v>
      </c>
      <c r="AK12" s="19" t="str">
        <f t="shared" si="25"/>
        <v>0</v>
      </c>
      <c r="AL12" s="19" t="str">
        <f t="shared" si="26"/>
        <v>F</v>
      </c>
      <c r="AM12" s="19">
        <f t="shared" si="6"/>
        <v>0</v>
      </c>
      <c r="AN12" s="19"/>
      <c r="AO12" s="56"/>
      <c r="AP12" s="56"/>
      <c r="AQ12" s="30"/>
      <c r="AR12" s="19">
        <f t="shared" si="7"/>
        <v>0</v>
      </c>
      <c r="AS12" s="19">
        <v>3</v>
      </c>
      <c r="AT12" s="19" t="str">
        <f t="shared" si="27"/>
        <v>0</v>
      </c>
      <c r="AU12" s="19" t="str">
        <f t="shared" si="28"/>
        <v>F</v>
      </c>
      <c r="AV12" s="19">
        <f t="shared" si="8"/>
        <v>0</v>
      </c>
      <c r="AW12" s="19"/>
      <c r="AX12" s="9"/>
      <c r="AY12" s="9"/>
      <c r="AZ12" s="30"/>
      <c r="BA12" s="19">
        <f t="shared" si="9"/>
        <v>0</v>
      </c>
      <c r="BB12" s="19">
        <v>1</v>
      </c>
      <c r="BC12" s="19" t="str">
        <f t="shared" si="29"/>
        <v>0</v>
      </c>
      <c r="BD12" s="19" t="str">
        <f t="shared" si="30"/>
        <v>F</v>
      </c>
      <c r="BE12" s="19">
        <f t="shared" si="10"/>
        <v>0</v>
      </c>
      <c r="BF12" s="53" t="s">
        <v>92</v>
      </c>
      <c r="BG12" s="9"/>
      <c r="BH12" s="9"/>
      <c r="BI12" s="30"/>
      <c r="BJ12" s="19">
        <f t="shared" si="11"/>
        <v>0</v>
      </c>
      <c r="BK12" s="19">
        <v>1</v>
      </c>
      <c r="BL12" s="19" t="str">
        <f t="shared" si="31"/>
        <v>0</v>
      </c>
      <c r="BM12" s="19" t="str">
        <f t="shared" si="32"/>
        <v>F</v>
      </c>
      <c r="BN12" s="19">
        <f t="shared" si="12"/>
        <v>0</v>
      </c>
      <c r="BO12" s="19"/>
      <c r="BP12" s="9"/>
      <c r="BQ12" s="9"/>
      <c r="BR12" s="30"/>
      <c r="BS12" s="19">
        <f t="shared" si="13"/>
        <v>0</v>
      </c>
      <c r="BT12" s="19">
        <v>1</v>
      </c>
      <c r="BU12" s="19" t="str">
        <f t="shared" si="33"/>
        <v>0</v>
      </c>
      <c r="BV12" s="19" t="str">
        <f t="shared" si="34"/>
        <v>F</v>
      </c>
      <c r="BW12" s="19">
        <f t="shared" si="14"/>
        <v>0</v>
      </c>
      <c r="BX12" s="19"/>
      <c r="BY12" s="19"/>
      <c r="BZ12" s="19">
        <f t="shared" si="15"/>
        <v>0</v>
      </c>
      <c r="CA12" s="20">
        <f t="shared" si="35"/>
        <v>0</v>
      </c>
      <c r="CB12" s="35" t="str">
        <f t="shared" si="36"/>
        <v>F</v>
      </c>
      <c r="CC12" s="31">
        <f t="shared" si="16"/>
        <v>0</v>
      </c>
      <c r="CD12" s="31"/>
      <c r="CE12" s="35">
        <f t="shared" si="17"/>
        <v>0</v>
      </c>
      <c r="CF12" s="35">
        <f t="shared" si="37"/>
        <v>0</v>
      </c>
      <c r="CG12" s="31"/>
      <c r="CH12" s="31"/>
      <c r="CI12" s="31" t="str">
        <f t="shared" si="38"/>
        <v>F</v>
      </c>
    </row>
    <row r="13" spans="1:88" ht="15.75" x14ac:dyDescent="0.25">
      <c r="A13" s="44">
        <f t="shared" si="39"/>
        <v>6</v>
      </c>
      <c r="B13" s="120" t="s">
        <v>253</v>
      </c>
      <c r="C13" s="120" t="s">
        <v>254</v>
      </c>
      <c r="D13" s="58" t="s">
        <v>232</v>
      </c>
      <c r="E13" s="9"/>
      <c r="F13" s="9"/>
      <c r="G13" s="30"/>
      <c r="H13" s="19">
        <f t="shared" si="0"/>
        <v>0</v>
      </c>
      <c r="I13" s="19">
        <v>4</v>
      </c>
      <c r="J13" s="19" t="str">
        <f t="shared" si="40"/>
        <v>0</v>
      </c>
      <c r="K13" s="19" t="str">
        <f t="shared" si="41"/>
        <v>F</v>
      </c>
      <c r="L13" s="19">
        <f t="shared" si="20"/>
        <v>0</v>
      </c>
      <c r="M13" s="19"/>
      <c r="N13" s="9"/>
      <c r="O13" s="9"/>
      <c r="P13" s="30"/>
      <c r="Q13" s="19">
        <f t="shared" si="1"/>
        <v>0</v>
      </c>
      <c r="R13" s="19">
        <v>4</v>
      </c>
      <c r="S13" s="19" t="str">
        <f t="shared" si="21"/>
        <v>0</v>
      </c>
      <c r="T13" s="19" t="str">
        <f t="shared" si="22"/>
        <v>F</v>
      </c>
      <c r="U13" s="19">
        <f t="shared" si="2"/>
        <v>0</v>
      </c>
      <c r="V13" s="19"/>
      <c r="W13" s="9"/>
      <c r="X13" s="9"/>
      <c r="Y13" s="19"/>
      <c r="Z13" s="19">
        <f t="shared" si="3"/>
        <v>0</v>
      </c>
      <c r="AA13" s="19">
        <v>3</v>
      </c>
      <c r="AB13" s="19" t="str">
        <f t="shared" si="23"/>
        <v>0</v>
      </c>
      <c r="AC13" s="19" t="str">
        <f t="shared" si="24"/>
        <v>F</v>
      </c>
      <c r="AD13" s="19">
        <f t="shared" si="4"/>
        <v>0</v>
      </c>
      <c r="AE13" s="19"/>
      <c r="AF13" s="56"/>
      <c r="AG13" s="56"/>
      <c r="AH13" s="30"/>
      <c r="AI13" s="19">
        <f t="shared" si="5"/>
        <v>0</v>
      </c>
      <c r="AJ13" s="19">
        <v>3</v>
      </c>
      <c r="AK13" s="19" t="str">
        <f t="shared" si="25"/>
        <v>0</v>
      </c>
      <c r="AL13" s="19" t="str">
        <f t="shared" si="26"/>
        <v>F</v>
      </c>
      <c r="AM13" s="19">
        <f t="shared" si="6"/>
        <v>0</v>
      </c>
      <c r="AN13" s="19"/>
      <c r="AO13" s="56"/>
      <c r="AP13" s="56"/>
      <c r="AQ13" s="30"/>
      <c r="AR13" s="19">
        <f t="shared" si="7"/>
        <v>0</v>
      </c>
      <c r="AS13" s="19">
        <v>3</v>
      </c>
      <c r="AT13" s="19" t="str">
        <f t="shared" si="27"/>
        <v>0</v>
      </c>
      <c r="AU13" s="19" t="str">
        <f t="shared" si="28"/>
        <v>F</v>
      </c>
      <c r="AV13" s="19">
        <f t="shared" si="8"/>
        <v>0</v>
      </c>
      <c r="AW13" s="19"/>
      <c r="AX13" s="9"/>
      <c r="AY13" s="9"/>
      <c r="AZ13" s="30"/>
      <c r="BA13" s="19">
        <f t="shared" si="9"/>
        <v>0</v>
      </c>
      <c r="BB13" s="19">
        <v>1</v>
      </c>
      <c r="BC13" s="19" t="str">
        <f t="shared" si="29"/>
        <v>0</v>
      </c>
      <c r="BD13" s="19" t="str">
        <f t="shared" si="30"/>
        <v>F</v>
      </c>
      <c r="BE13" s="19">
        <f t="shared" si="10"/>
        <v>0</v>
      </c>
      <c r="BF13" s="53" t="s">
        <v>92</v>
      </c>
      <c r="BG13" s="9"/>
      <c r="BH13" s="9"/>
      <c r="BI13" s="30"/>
      <c r="BJ13" s="19">
        <f t="shared" si="11"/>
        <v>0</v>
      </c>
      <c r="BK13" s="19">
        <v>1</v>
      </c>
      <c r="BL13" s="19" t="str">
        <f t="shared" si="31"/>
        <v>0</v>
      </c>
      <c r="BM13" s="19" t="str">
        <f t="shared" si="32"/>
        <v>F</v>
      </c>
      <c r="BN13" s="19">
        <f t="shared" si="12"/>
        <v>0</v>
      </c>
      <c r="BO13" s="19"/>
      <c r="BP13" s="9"/>
      <c r="BQ13" s="9"/>
      <c r="BR13" s="30"/>
      <c r="BS13" s="19">
        <f t="shared" si="13"/>
        <v>0</v>
      </c>
      <c r="BT13" s="19">
        <v>1</v>
      </c>
      <c r="BU13" s="19" t="str">
        <f t="shared" si="33"/>
        <v>0</v>
      </c>
      <c r="BV13" s="19" t="str">
        <f t="shared" si="34"/>
        <v>F</v>
      </c>
      <c r="BW13" s="19">
        <f t="shared" si="14"/>
        <v>0</v>
      </c>
      <c r="BX13" s="19"/>
      <c r="BY13" s="19"/>
      <c r="BZ13" s="19">
        <f t="shared" si="15"/>
        <v>0</v>
      </c>
      <c r="CA13" s="20">
        <f t="shared" si="35"/>
        <v>0</v>
      </c>
      <c r="CB13" s="35" t="str">
        <f t="shared" si="36"/>
        <v>F</v>
      </c>
      <c r="CC13" s="31">
        <f t="shared" si="16"/>
        <v>0</v>
      </c>
      <c r="CD13" s="31"/>
      <c r="CE13" s="35">
        <f t="shared" si="17"/>
        <v>0</v>
      </c>
      <c r="CF13" s="35">
        <f t="shared" si="37"/>
        <v>0</v>
      </c>
      <c r="CG13" s="31"/>
      <c r="CH13" s="31"/>
      <c r="CI13" s="31" t="str">
        <f t="shared" si="38"/>
        <v>F</v>
      </c>
    </row>
    <row r="14" spans="1:88" ht="15.75" x14ac:dyDescent="0.25">
      <c r="A14" s="44">
        <f t="shared" si="39"/>
        <v>7</v>
      </c>
      <c r="B14" s="120" t="s">
        <v>255</v>
      </c>
      <c r="C14" s="120" t="s">
        <v>256</v>
      </c>
      <c r="D14" s="58" t="s">
        <v>232</v>
      </c>
      <c r="E14" s="9"/>
      <c r="F14" s="9"/>
      <c r="G14" s="30"/>
      <c r="H14" s="19">
        <f t="shared" si="0"/>
        <v>0</v>
      </c>
      <c r="I14" s="19">
        <v>4</v>
      </c>
      <c r="J14" s="19" t="str">
        <f t="shared" si="40"/>
        <v>0</v>
      </c>
      <c r="K14" s="19" t="str">
        <f t="shared" si="41"/>
        <v>F</v>
      </c>
      <c r="L14" s="19">
        <f t="shared" si="20"/>
        <v>0</v>
      </c>
      <c r="M14" s="19"/>
      <c r="N14" s="9"/>
      <c r="O14" s="9"/>
      <c r="P14" s="30"/>
      <c r="Q14" s="19">
        <f t="shared" ref="Q14:Q33" si="42">SUM(N14:O14)</f>
        <v>0</v>
      </c>
      <c r="R14" s="19">
        <v>4</v>
      </c>
      <c r="S14" s="19" t="str">
        <f t="shared" si="21"/>
        <v>0</v>
      </c>
      <c r="T14" s="19" t="str">
        <f t="shared" si="22"/>
        <v>F</v>
      </c>
      <c r="U14" s="19">
        <f t="shared" si="2"/>
        <v>0</v>
      </c>
      <c r="V14" s="19"/>
      <c r="W14" s="9"/>
      <c r="X14" s="9"/>
      <c r="Y14" s="19"/>
      <c r="Z14" s="19">
        <f t="shared" si="3"/>
        <v>0</v>
      </c>
      <c r="AA14" s="19">
        <v>3</v>
      </c>
      <c r="AB14" s="19" t="str">
        <f t="shared" si="23"/>
        <v>0</v>
      </c>
      <c r="AC14" s="19" t="str">
        <f t="shared" si="24"/>
        <v>F</v>
      </c>
      <c r="AD14" s="19">
        <f t="shared" si="4"/>
        <v>0</v>
      </c>
      <c r="AE14" s="19"/>
      <c r="AF14" s="56"/>
      <c r="AG14" s="56"/>
      <c r="AH14" s="30"/>
      <c r="AI14" s="19">
        <f t="shared" ref="AI14:AI33" si="43">SUM(AF14:AG14)</f>
        <v>0</v>
      </c>
      <c r="AJ14" s="19">
        <v>3</v>
      </c>
      <c r="AK14" s="19" t="str">
        <f t="shared" si="25"/>
        <v>0</v>
      </c>
      <c r="AL14" s="19" t="str">
        <f t="shared" si="26"/>
        <v>F</v>
      </c>
      <c r="AM14" s="19">
        <f t="shared" si="6"/>
        <v>0</v>
      </c>
      <c r="AN14" s="19"/>
      <c r="AO14" s="56"/>
      <c r="AP14" s="56"/>
      <c r="AQ14" s="30"/>
      <c r="AR14" s="19">
        <f t="shared" si="7"/>
        <v>0</v>
      </c>
      <c r="AS14" s="19">
        <v>3</v>
      </c>
      <c r="AT14" s="19" t="str">
        <f t="shared" si="27"/>
        <v>0</v>
      </c>
      <c r="AU14" s="19" t="str">
        <f t="shared" si="28"/>
        <v>F</v>
      </c>
      <c r="AV14" s="19">
        <f t="shared" si="8"/>
        <v>0</v>
      </c>
      <c r="AW14" s="19"/>
      <c r="AX14" s="9"/>
      <c r="AY14" s="9"/>
      <c r="AZ14" s="30"/>
      <c r="BA14" s="19">
        <f t="shared" si="9"/>
        <v>0</v>
      </c>
      <c r="BB14" s="19">
        <v>1</v>
      </c>
      <c r="BC14" s="19" t="str">
        <f t="shared" si="29"/>
        <v>0</v>
      </c>
      <c r="BD14" s="19" t="str">
        <f t="shared" si="30"/>
        <v>F</v>
      </c>
      <c r="BE14" s="19">
        <f t="shared" si="10"/>
        <v>0</v>
      </c>
      <c r="BF14" s="53" t="s">
        <v>92</v>
      </c>
      <c r="BG14" s="9"/>
      <c r="BH14" s="9"/>
      <c r="BI14" s="30"/>
      <c r="BJ14" s="19">
        <f t="shared" si="11"/>
        <v>0</v>
      </c>
      <c r="BK14" s="19">
        <v>1</v>
      </c>
      <c r="BL14" s="19" t="str">
        <f t="shared" si="31"/>
        <v>0</v>
      </c>
      <c r="BM14" s="19" t="str">
        <f t="shared" si="32"/>
        <v>F</v>
      </c>
      <c r="BN14" s="19">
        <f t="shared" si="12"/>
        <v>0</v>
      </c>
      <c r="BO14" s="19"/>
      <c r="BP14" s="9"/>
      <c r="BQ14" s="9"/>
      <c r="BR14" s="30"/>
      <c r="BS14" s="19">
        <f t="shared" si="13"/>
        <v>0</v>
      </c>
      <c r="BT14" s="19">
        <v>1</v>
      </c>
      <c r="BU14" s="19" t="str">
        <f t="shared" si="33"/>
        <v>0</v>
      </c>
      <c r="BV14" s="19" t="str">
        <f t="shared" si="34"/>
        <v>F</v>
      </c>
      <c r="BW14" s="19">
        <f t="shared" si="14"/>
        <v>0</v>
      </c>
      <c r="BX14" s="19"/>
      <c r="BY14" s="19"/>
      <c r="BZ14" s="19">
        <f t="shared" si="15"/>
        <v>0</v>
      </c>
      <c r="CA14" s="20">
        <f t="shared" si="35"/>
        <v>0</v>
      </c>
      <c r="CB14" s="35" t="str">
        <f t="shared" si="36"/>
        <v>F</v>
      </c>
      <c r="CC14" s="31">
        <f t="shared" si="16"/>
        <v>0</v>
      </c>
      <c r="CD14" s="31"/>
      <c r="CE14" s="35">
        <f t="shared" si="17"/>
        <v>0</v>
      </c>
      <c r="CF14" s="35">
        <f t="shared" si="37"/>
        <v>0</v>
      </c>
      <c r="CG14" s="31"/>
      <c r="CH14" s="31"/>
      <c r="CI14" s="31" t="str">
        <f t="shared" si="38"/>
        <v>F</v>
      </c>
    </row>
    <row r="15" spans="1:88" s="71" customFormat="1" ht="15.75" x14ac:dyDescent="0.25">
      <c r="A15" s="122">
        <f t="shared" si="39"/>
        <v>8</v>
      </c>
      <c r="B15" s="120" t="s">
        <v>257</v>
      </c>
      <c r="C15" s="120" t="s">
        <v>258</v>
      </c>
      <c r="D15" s="123" t="s">
        <v>232</v>
      </c>
      <c r="E15" s="9"/>
      <c r="F15" s="9"/>
      <c r="G15" s="125"/>
      <c r="H15" s="126">
        <f t="shared" si="0"/>
        <v>0</v>
      </c>
      <c r="I15" s="126">
        <v>4</v>
      </c>
      <c r="J15" s="126" t="str">
        <f t="shared" si="40"/>
        <v>0</v>
      </c>
      <c r="K15" s="126" t="str">
        <f t="shared" si="41"/>
        <v>F</v>
      </c>
      <c r="L15" s="126">
        <f t="shared" si="20"/>
        <v>0</v>
      </c>
      <c r="M15" s="126"/>
      <c r="N15" s="124"/>
      <c r="O15" s="124"/>
      <c r="P15" s="125"/>
      <c r="Q15" s="126">
        <f t="shared" si="42"/>
        <v>0</v>
      </c>
      <c r="R15" s="126">
        <v>4</v>
      </c>
      <c r="S15" s="126" t="str">
        <f t="shared" si="21"/>
        <v>0</v>
      </c>
      <c r="T15" s="126" t="str">
        <f t="shared" si="22"/>
        <v>F</v>
      </c>
      <c r="U15" s="126">
        <f t="shared" si="2"/>
        <v>0</v>
      </c>
      <c r="V15" s="126"/>
      <c r="W15" s="124"/>
      <c r="X15" s="124"/>
      <c r="Y15" s="126"/>
      <c r="Z15" s="126">
        <f t="shared" si="3"/>
        <v>0</v>
      </c>
      <c r="AA15" s="126">
        <v>3</v>
      </c>
      <c r="AB15" s="126" t="str">
        <f t="shared" si="23"/>
        <v>0</v>
      </c>
      <c r="AC15" s="126" t="str">
        <f t="shared" si="24"/>
        <v>F</v>
      </c>
      <c r="AD15" s="126">
        <f t="shared" si="4"/>
        <v>0</v>
      </c>
      <c r="AE15" s="126"/>
      <c r="AF15" s="127"/>
      <c r="AG15" s="127"/>
      <c r="AH15" s="125"/>
      <c r="AI15" s="126">
        <f t="shared" si="43"/>
        <v>0</v>
      </c>
      <c r="AJ15" s="126">
        <v>3</v>
      </c>
      <c r="AK15" s="126" t="str">
        <f t="shared" si="25"/>
        <v>0</v>
      </c>
      <c r="AL15" s="126" t="str">
        <f t="shared" si="26"/>
        <v>F</v>
      </c>
      <c r="AM15" s="126">
        <f t="shared" si="6"/>
        <v>0</v>
      </c>
      <c r="AN15" s="126"/>
      <c r="AO15" s="127"/>
      <c r="AP15" s="127"/>
      <c r="AQ15" s="125"/>
      <c r="AR15" s="126">
        <f t="shared" si="7"/>
        <v>0</v>
      </c>
      <c r="AS15" s="126">
        <v>3</v>
      </c>
      <c r="AT15" s="126" t="str">
        <f t="shared" si="27"/>
        <v>0</v>
      </c>
      <c r="AU15" s="126" t="str">
        <f t="shared" si="28"/>
        <v>F</v>
      </c>
      <c r="AV15" s="126">
        <f t="shared" si="8"/>
        <v>0</v>
      </c>
      <c r="AW15" s="126"/>
      <c r="AX15" s="124"/>
      <c r="AY15" s="124"/>
      <c r="AZ15" s="125"/>
      <c r="BA15" s="126">
        <f t="shared" si="9"/>
        <v>0</v>
      </c>
      <c r="BB15" s="126">
        <v>1</v>
      </c>
      <c r="BC15" s="126" t="str">
        <f t="shared" si="29"/>
        <v>0</v>
      </c>
      <c r="BD15" s="126" t="str">
        <f t="shared" si="30"/>
        <v>F</v>
      </c>
      <c r="BE15" s="126">
        <f t="shared" si="10"/>
        <v>0</v>
      </c>
      <c r="BF15" s="128" t="s">
        <v>92</v>
      </c>
      <c r="BG15" s="124"/>
      <c r="BH15" s="124"/>
      <c r="BI15" s="125"/>
      <c r="BJ15" s="126">
        <f t="shared" si="11"/>
        <v>0</v>
      </c>
      <c r="BK15" s="126">
        <v>1</v>
      </c>
      <c r="BL15" s="126" t="str">
        <f t="shared" si="31"/>
        <v>0</v>
      </c>
      <c r="BM15" s="126" t="str">
        <f t="shared" si="32"/>
        <v>F</v>
      </c>
      <c r="BN15" s="126">
        <f t="shared" si="12"/>
        <v>0</v>
      </c>
      <c r="BO15" s="126"/>
      <c r="BP15" s="124"/>
      <c r="BQ15" s="124"/>
      <c r="BR15" s="125"/>
      <c r="BS15" s="126">
        <f t="shared" si="13"/>
        <v>0</v>
      </c>
      <c r="BT15" s="126">
        <v>1</v>
      </c>
      <c r="BU15" s="126" t="str">
        <f t="shared" si="33"/>
        <v>0</v>
      </c>
      <c r="BV15" s="126" t="str">
        <f t="shared" si="34"/>
        <v>F</v>
      </c>
      <c r="BW15" s="126">
        <f t="shared" si="14"/>
        <v>0</v>
      </c>
      <c r="BX15" s="126"/>
      <c r="BY15" s="126"/>
      <c r="BZ15" s="126">
        <f t="shared" si="15"/>
        <v>0</v>
      </c>
      <c r="CA15" s="129">
        <f t="shared" si="35"/>
        <v>0</v>
      </c>
      <c r="CB15" s="130" t="str">
        <f t="shared" si="36"/>
        <v>F</v>
      </c>
      <c r="CC15" s="131">
        <f t="shared" si="16"/>
        <v>0</v>
      </c>
      <c r="CD15" s="131"/>
      <c r="CE15" s="130">
        <f t="shared" si="17"/>
        <v>0</v>
      </c>
      <c r="CF15" s="130">
        <f t="shared" si="37"/>
        <v>0</v>
      </c>
      <c r="CG15" s="131"/>
      <c r="CH15" s="131"/>
      <c r="CI15" s="131" t="str">
        <f t="shared" si="38"/>
        <v>F</v>
      </c>
    </row>
    <row r="16" spans="1:88" ht="15.75" x14ac:dyDescent="0.25">
      <c r="A16" s="44">
        <f t="shared" si="39"/>
        <v>9</v>
      </c>
      <c r="B16" s="120" t="s">
        <v>259</v>
      </c>
      <c r="C16" s="120" t="s">
        <v>260</v>
      </c>
      <c r="D16" s="58" t="s">
        <v>232</v>
      </c>
      <c r="E16" s="9"/>
      <c r="F16" s="9"/>
      <c r="G16" s="30"/>
      <c r="H16" s="19">
        <f t="shared" si="0"/>
        <v>0</v>
      </c>
      <c r="I16" s="19">
        <v>4</v>
      </c>
      <c r="J16" s="19" t="str">
        <f t="shared" si="40"/>
        <v>0</v>
      </c>
      <c r="K16" s="19" t="str">
        <f t="shared" si="41"/>
        <v>F</v>
      </c>
      <c r="L16" s="19">
        <f t="shared" si="20"/>
        <v>0</v>
      </c>
      <c r="M16" s="19"/>
      <c r="N16" s="9"/>
      <c r="O16" s="9"/>
      <c r="P16" s="30"/>
      <c r="Q16" s="19">
        <f t="shared" si="42"/>
        <v>0</v>
      </c>
      <c r="R16" s="19">
        <v>4</v>
      </c>
      <c r="S16" s="19" t="str">
        <f t="shared" si="21"/>
        <v>0</v>
      </c>
      <c r="T16" s="19" t="str">
        <f t="shared" si="22"/>
        <v>F</v>
      </c>
      <c r="U16" s="19">
        <f t="shared" si="2"/>
        <v>0</v>
      </c>
      <c r="V16" s="19"/>
      <c r="W16" s="9"/>
      <c r="X16" s="9"/>
      <c r="Y16" s="19"/>
      <c r="Z16" s="19">
        <f t="shared" si="3"/>
        <v>0</v>
      </c>
      <c r="AA16" s="19">
        <v>3</v>
      </c>
      <c r="AB16" s="19" t="str">
        <f t="shared" si="23"/>
        <v>0</v>
      </c>
      <c r="AC16" s="19" t="str">
        <f t="shared" si="24"/>
        <v>F</v>
      </c>
      <c r="AD16" s="19">
        <f t="shared" si="4"/>
        <v>0</v>
      </c>
      <c r="AE16" s="19"/>
      <c r="AF16" s="56"/>
      <c r="AG16" s="56"/>
      <c r="AH16" s="30"/>
      <c r="AI16" s="19">
        <f t="shared" si="43"/>
        <v>0</v>
      </c>
      <c r="AJ16" s="19">
        <v>3</v>
      </c>
      <c r="AK16" s="19" t="str">
        <f t="shared" si="25"/>
        <v>0</v>
      </c>
      <c r="AL16" s="19" t="str">
        <f t="shared" si="26"/>
        <v>F</v>
      </c>
      <c r="AM16" s="19">
        <f t="shared" si="6"/>
        <v>0</v>
      </c>
      <c r="AN16" s="19"/>
      <c r="AO16" s="56"/>
      <c r="AP16" s="56"/>
      <c r="AQ16" s="30"/>
      <c r="AR16" s="19">
        <f t="shared" si="7"/>
        <v>0</v>
      </c>
      <c r="AS16" s="19">
        <v>3</v>
      </c>
      <c r="AT16" s="19" t="str">
        <f t="shared" si="27"/>
        <v>0</v>
      </c>
      <c r="AU16" s="19" t="str">
        <f t="shared" si="28"/>
        <v>F</v>
      </c>
      <c r="AV16" s="19">
        <f t="shared" si="8"/>
        <v>0</v>
      </c>
      <c r="AW16" s="19"/>
      <c r="AX16" s="9"/>
      <c r="AY16" s="9"/>
      <c r="AZ16" s="30"/>
      <c r="BA16" s="19">
        <f t="shared" si="9"/>
        <v>0</v>
      </c>
      <c r="BB16" s="19">
        <v>1</v>
      </c>
      <c r="BC16" s="19" t="str">
        <f t="shared" si="29"/>
        <v>0</v>
      </c>
      <c r="BD16" s="19" t="str">
        <f t="shared" si="30"/>
        <v>F</v>
      </c>
      <c r="BE16" s="19">
        <f t="shared" si="10"/>
        <v>0</v>
      </c>
      <c r="BF16" s="53" t="s">
        <v>92</v>
      </c>
      <c r="BG16" s="9"/>
      <c r="BH16" s="9"/>
      <c r="BI16" s="30"/>
      <c r="BJ16" s="19">
        <f t="shared" si="11"/>
        <v>0</v>
      </c>
      <c r="BK16" s="19">
        <v>1</v>
      </c>
      <c r="BL16" s="19" t="str">
        <f t="shared" si="31"/>
        <v>0</v>
      </c>
      <c r="BM16" s="19" t="str">
        <f t="shared" si="32"/>
        <v>F</v>
      </c>
      <c r="BN16" s="19">
        <f t="shared" si="12"/>
        <v>0</v>
      </c>
      <c r="BO16" s="19"/>
      <c r="BP16" s="9"/>
      <c r="BQ16" s="9"/>
      <c r="BR16" s="30"/>
      <c r="BS16" s="19">
        <f t="shared" si="13"/>
        <v>0</v>
      </c>
      <c r="BT16" s="19">
        <v>1</v>
      </c>
      <c r="BU16" s="19" t="str">
        <f t="shared" si="33"/>
        <v>0</v>
      </c>
      <c r="BV16" s="19" t="str">
        <f t="shared" si="34"/>
        <v>F</v>
      </c>
      <c r="BW16" s="19">
        <f t="shared" si="14"/>
        <v>0</v>
      </c>
      <c r="BX16" s="19"/>
      <c r="BY16" s="19"/>
      <c r="BZ16" s="19">
        <f t="shared" si="15"/>
        <v>0</v>
      </c>
      <c r="CA16" s="20">
        <f t="shared" si="35"/>
        <v>0</v>
      </c>
      <c r="CB16" s="35" t="str">
        <f t="shared" si="36"/>
        <v>F</v>
      </c>
      <c r="CC16" s="31">
        <f t="shared" si="16"/>
        <v>0</v>
      </c>
      <c r="CD16" s="31"/>
      <c r="CE16" s="35">
        <f t="shared" si="17"/>
        <v>0</v>
      </c>
      <c r="CF16" s="35">
        <f t="shared" si="37"/>
        <v>0</v>
      </c>
      <c r="CG16" s="31"/>
      <c r="CH16" s="31"/>
      <c r="CI16" s="31" t="str">
        <f t="shared" si="38"/>
        <v>F</v>
      </c>
    </row>
    <row r="17" spans="1:87" ht="15.75" x14ac:dyDescent="0.25">
      <c r="A17" s="44">
        <f t="shared" si="39"/>
        <v>10</v>
      </c>
      <c r="B17" s="120" t="s">
        <v>261</v>
      </c>
      <c r="C17" s="120" t="s">
        <v>262</v>
      </c>
      <c r="D17" s="58" t="s">
        <v>232</v>
      </c>
      <c r="E17" s="9"/>
      <c r="F17" s="9"/>
      <c r="G17" s="30"/>
      <c r="H17" s="19">
        <f t="shared" si="0"/>
        <v>0</v>
      </c>
      <c r="I17" s="19">
        <v>4</v>
      </c>
      <c r="J17" s="19" t="str">
        <f t="shared" si="40"/>
        <v>0</v>
      </c>
      <c r="K17" s="19" t="str">
        <f t="shared" si="41"/>
        <v>F</v>
      </c>
      <c r="L17" s="19">
        <f t="shared" si="20"/>
        <v>0</v>
      </c>
      <c r="M17" s="19"/>
      <c r="N17" s="9"/>
      <c r="O17" s="9"/>
      <c r="P17" s="30"/>
      <c r="Q17" s="19">
        <f t="shared" si="42"/>
        <v>0</v>
      </c>
      <c r="R17" s="19">
        <v>4</v>
      </c>
      <c r="S17" s="19" t="str">
        <f t="shared" si="21"/>
        <v>0</v>
      </c>
      <c r="T17" s="19" t="str">
        <f t="shared" si="22"/>
        <v>F</v>
      </c>
      <c r="U17" s="19">
        <f t="shared" si="2"/>
        <v>0</v>
      </c>
      <c r="V17" s="19"/>
      <c r="W17" s="9"/>
      <c r="X17" s="9"/>
      <c r="Y17" s="19"/>
      <c r="Z17" s="19">
        <f t="shared" si="3"/>
        <v>0</v>
      </c>
      <c r="AA17" s="19">
        <v>3</v>
      </c>
      <c r="AB17" s="19" t="str">
        <f t="shared" si="23"/>
        <v>0</v>
      </c>
      <c r="AC17" s="19" t="str">
        <f t="shared" si="24"/>
        <v>F</v>
      </c>
      <c r="AD17" s="19">
        <f t="shared" si="4"/>
        <v>0</v>
      </c>
      <c r="AE17" s="19"/>
      <c r="AF17" s="56"/>
      <c r="AG17" s="56"/>
      <c r="AH17" s="30"/>
      <c r="AI17" s="19">
        <f t="shared" si="43"/>
        <v>0</v>
      </c>
      <c r="AJ17" s="19">
        <v>3</v>
      </c>
      <c r="AK17" s="19" t="str">
        <f t="shared" si="25"/>
        <v>0</v>
      </c>
      <c r="AL17" s="19" t="str">
        <f t="shared" si="26"/>
        <v>F</v>
      </c>
      <c r="AM17" s="19">
        <f t="shared" si="6"/>
        <v>0</v>
      </c>
      <c r="AN17" s="19"/>
      <c r="AO17" s="56"/>
      <c r="AP17" s="56"/>
      <c r="AQ17" s="30"/>
      <c r="AR17" s="19">
        <f t="shared" si="7"/>
        <v>0</v>
      </c>
      <c r="AS17" s="19">
        <v>3</v>
      </c>
      <c r="AT17" s="19" t="str">
        <f t="shared" si="27"/>
        <v>0</v>
      </c>
      <c r="AU17" s="19" t="str">
        <f t="shared" si="28"/>
        <v>F</v>
      </c>
      <c r="AV17" s="19">
        <f t="shared" si="8"/>
        <v>0</v>
      </c>
      <c r="AW17" s="19"/>
      <c r="AX17" s="9"/>
      <c r="AY17" s="9"/>
      <c r="AZ17" s="30"/>
      <c r="BA17" s="19">
        <f t="shared" si="9"/>
        <v>0</v>
      </c>
      <c r="BB17" s="19">
        <v>1</v>
      </c>
      <c r="BC17" s="19" t="str">
        <f t="shared" si="29"/>
        <v>0</v>
      </c>
      <c r="BD17" s="19" t="str">
        <f t="shared" si="30"/>
        <v>F</v>
      </c>
      <c r="BE17" s="19">
        <f t="shared" si="10"/>
        <v>0</v>
      </c>
      <c r="BF17" s="53" t="s">
        <v>92</v>
      </c>
      <c r="BG17" s="9"/>
      <c r="BH17" s="9"/>
      <c r="BI17" s="30"/>
      <c r="BJ17" s="19">
        <f t="shared" si="11"/>
        <v>0</v>
      </c>
      <c r="BK17" s="19">
        <v>1</v>
      </c>
      <c r="BL17" s="19" t="str">
        <f t="shared" si="31"/>
        <v>0</v>
      </c>
      <c r="BM17" s="19" t="str">
        <f t="shared" si="32"/>
        <v>F</v>
      </c>
      <c r="BN17" s="19">
        <f t="shared" si="12"/>
        <v>0</v>
      </c>
      <c r="BO17" s="19"/>
      <c r="BP17" s="9"/>
      <c r="BQ17" s="9"/>
      <c r="BR17" s="30"/>
      <c r="BS17" s="19">
        <f t="shared" si="13"/>
        <v>0</v>
      </c>
      <c r="BT17" s="19">
        <v>1</v>
      </c>
      <c r="BU17" s="19" t="str">
        <f t="shared" si="33"/>
        <v>0</v>
      </c>
      <c r="BV17" s="19" t="str">
        <f t="shared" si="34"/>
        <v>F</v>
      </c>
      <c r="BW17" s="19">
        <f t="shared" si="14"/>
        <v>0</v>
      </c>
      <c r="BX17" s="19"/>
      <c r="BY17" s="19"/>
      <c r="BZ17" s="19">
        <f t="shared" si="15"/>
        <v>0</v>
      </c>
      <c r="CA17" s="20">
        <f t="shared" si="35"/>
        <v>0</v>
      </c>
      <c r="CB17" s="35" t="str">
        <f t="shared" si="36"/>
        <v>F</v>
      </c>
      <c r="CC17" s="31">
        <f t="shared" si="16"/>
        <v>0</v>
      </c>
      <c r="CD17" s="31"/>
      <c r="CE17" s="35">
        <f t="shared" si="17"/>
        <v>0</v>
      </c>
      <c r="CF17" s="35">
        <f t="shared" si="37"/>
        <v>0</v>
      </c>
      <c r="CG17" s="31"/>
      <c r="CH17" s="31"/>
      <c r="CI17" s="31" t="str">
        <f t="shared" si="38"/>
        <v>F</v>
      </c>
    </row>
    <row r="18" spans="1:87" ht="15.75" x14ac:dyDescent="0.25">
      <c r="A18" s="44">
        <f t="shared" si="39"/>
        <v>11</v>
      </c>
      <c r="B18" s="121" t="s">
        <v>263</v>
      </c>
      <c r="C18" s="121" t="s">
        <v>264</v>
      </c>
      <c r="D18" s="58" t="s">
        <v>232</v>
      </c>
      <c r="E18" s="9"/>
      <c r="F18" s="9"/>
      <c r="G18" s="30"/>
      <c r="H18" s="19">
        <f t="shared" si="0"/>
        <v>0</v>
      </c>
      <c r="I18" s="19">
        <v>4</v>
      </c>
      <c r="J18" s="19" t="str">
        <f t="shared" si="40"/>
        <v>0</v>
      </c>
      <c r="K18" s="19" t="str">
        <f t="shared" si="41"/>
        <v>F</v>
      </c>
      <c r="L18" s="19">
        <f t="shared" si="20"/>
        <v>0</v>
      </c>
      <c r="M18" s="19"/>
      <c r="N18" s="9"/>
      <c r="O18" s="9"/>
      <c r="P18" s="30"/>
      <c r="Q18" s="19">
        <f t="shared" si="42"/>
        <v>0</v>
      </c>
      <c r="R18" s="19">
        <v>4</v>
      </c>
      <c r="S18" s="19" t="str">
        <f t="shared" si="21"/>
        <v>0</v>
      </c>
      <c r="T18" s="19" t="str">
        <f t="shared" si="22"/>
        <v>F</v>
      </c>
      <c r="U18" s="19">
        <f t="shared" si="2"/>
        <v>0</v>
      </c>
      <c r="V18" s="19"/>
      <c r="W18" s="9"/>
      <c r="X18" s="9"/>
      <c r="Y18" s="19"/>
      <c r="Z18" s="19">
        <f t="shared" si="3"/>
        <v>0</v>
      </c>
      <c r="AA18" s="19">
        <v>3</v>
      </c>
      <c r="AB18" s="19" t="str">
        <f t="shared" si="23"/>
        <v>0</v>
      </c>
      <c r="AC18" s="19" t="str">
        <f t="shared" si="24"/>
        <v>F</v>
      </c>
      <c r="AD18" s="19">
        <f t="shared" si="4"/>
        <v>0</v>
      </c>
      <c r="AE18" s="19"/>
      <c r="AF18" s="56"/>
      <c r="AG18" s="56"/>
      <c r="AH18" s="30"/>
      <c r="AI18" s="19">
        <f t="shared" si="43"/>
        <v>0</v>
      </c>
      <c r="AJ18" s="19">
        <v>3</v>
      </c>
      <c r="AK18" s="19" t="str">
        <f t="shared" si="25"/>
        <v>0</v>
      </c>
      <c r="AL18" s="19" t="str">
        <f t="shared" si="26"/>
        <v>F</v>
      </c>
      <c r="AM18" s="19">
        <f t="shared" si="6"/>
        <v>0</v>
      </c>
      <c r="AN18" s="19"/>
      <c r="AO18" s="56"/>
      <c r="AP18" s="56"/>
      <c r="AQ18" s="30"/>
      <c r="AR18" s="19">
        <f t="shared" si="7"/>
        <v>0</v>
      </c>
      <c r="AS18" s="19">
        <v>3</v>
      </c>
      <c r="AT18" s="19" t="str">
        <f t="shared" si="27"/>
        <v>0</v>
      </c>
      <c r="AU18" s="19" t="str">
        <f t="shared" si="28"/>
        <v>F</v>
      </c>
      <c r="AV18" s="19">
        <f t="shared" si="8"/>
        <v>0</v>
      </c>
      <c r="AW18" s="19"/>
      <c r="AX18" s="9"/>
      <c r="AY18" s="9"/>
      <c r="AZ18" s="30"/>
      <c r="BA18" s="19">
        <f t="shared" si="9"/>
        <v>0</v>
      </c>
      <c r="BB18" s="19">
        <v>1</v>
      </c>
      <c r="BC18" s="19" t="str">
        <f t="shared" si="29"/>
        <v>0</v>
      </c>
      <c r="BD18" s="19" t="str">
        <f t="shared" si="30"/>
        <v>F</v>
      </c>
      <c r="BE18" s="19">
        <f t="shared" si="10"/>
        <v>0</v>
      </c>
      <c r="BF18" s="53" t="s">
        <v>97</v>
      </c>
      <c r="BG18" s="9"/>
      <c r="BH18" s="9"/>
      <c r="BI18" s="30"/>
      <c r="BJ18" s="19">
        <f t="shared" si="11"/>
        <v>0</v>
      </c>
      <c r="BK18" s="19">
        <v>1</v>
      </c>
      <c r="BL18" s="19" t="str">
        <f t="shared" si="31"/>
        <v>0</v>
      </c>
      <c r="BM18" s="19" t="str">
        <f t="shared" si="32"/>
        <v>F</v>
      </c>
      <c r="BN18" s="19">
        <f t="shared" si="12"/>
        <v>0</v>
      </c>
      <c r="BO18" s="19"/>
      <c r="BP18" s="9"/>
      <c r="BQ18" s="9"/>
      <c r="BR18" s="30"/>
      <c r="BS18" s="19">
        <f t="shared" si="13"/>
        <v>0</v>
      </c>
      <c r="BT18" s="19">
        <v>1</v>
      </c>
      <c r="BU18" s="19" t="str">
        <f t="shared" si="33"/>
        <v>0</v>
      </c>
      <c r="BV18" s="19" t="str">
        <f t="shared" si="34"/>
        <v>F</v>
      </c>
      <c r="BW18" s="19">
        <f t="shared" si="14"/>
        <v>0</v>
      </c>
      <c r="BX18" s="19"/>
      <c r="BY18" s="19"/>
      <c r="BZ18" s="19">
        <f t="shared" si="15"/>
        <v>0</v>
      </c>
      <c r="CA18" s="20">
        <f t="shared" si="35"/>
        <v>0</v>
      </c>
      <c r="CB18" s="35" t="str">
        <f t="shared" si="36"/>
        <v>F</v>
      </c>
      <c r="CC18" s="31">
        <f t="shared" si="16"/>
        <v>0</v>
      </c>
      <c r="CD18" s="31"/>
      <c r="CE18" s="35">
        <f t="shared" si="17"/>
        <v>0</v>
      </c>
      <c r="CF18" s="35">
        <f t="shared" si="37"/>
        <v>0</v>
      </c>
      <c r="CG18" s="31"/>
      <c r="CH18" s="31"/>
      <c r="CI18" s="31" t="str">
        <f t="shared" si="38"/>
        <v>F</v>
      </c>
    </row>
    <row r="19" spans="1:87" ht="15.75" x14ac:dyDescent="0.25">
      <c r="A19" s="44">
        <f t="shared" si="39"/>
        <v>12</v>
      </c>
      <c r="B19" s="120" t="s">
        <v>265</v>
      </c>
      <c r="C19" s="120" t="s">
        <v>266</v>
      </c>
      <c r="D19" s="58" t="s">
        <v>232</v>
      </c>
      <c r="E19" s="43"/>
      <c r="F19" s="43"/>
      <c r="G19" s="30"/>
      <c r="H19" s="19">
        <f t="shared" si="0"/>
        <v>0</v>
      </c>
      <c r="I19" s="19">
        <v>4</v>
      </c>
      <c r="J19" s="19" t="str">
        <f t="shared" si="40"/>
        <v>0</v>
      </c>
      <c r="K19" s="19" t="str">
        <f t="shared" si="41"/>
        <v>F</v>
      </c>
      <c r="L19" s="19">
        <f t="shared" si="20"/>
        <v>0</v>
      </c>
      <c r="M19" s="19"/>
      <c r="N19" s="9"/>
      <c r="O19" s="9"/>
      <c r="P19" s="30"/>
      <c r="Q19" s="19">
        <f t="shared" si="42"/>
        <v>0</v>
      </c>
      <c r="R19" s="19">
        <v>4</v>
      </c>
      <c r="S19" s="19" t="str">
        <f t="shared" si="21"/>
        <v>0</v>
      </c>
      <c r="T19" s="19" t="str">
        <f t="shared" si="22"/>
        <v>F</v>
      </c>
      <c r="U19" s="19">
        <f t="shared" si="2"/>
        <v>0</v>
      </c>
      <c r="V19" s="19"/>
      <c r="W19" s="9"/>
      <c r="X19" s="9"/>
      <c r="Y19" s="19"/>
      <c r="Z19" s="19">
        <f t="shared" si="3"/>
        <v>0</v>
      </c>
      <c r="AA19" s="19">
        <v>3</v>
      </c>
      <c r="AB19" s="19" t="str">
        <f t="shared" si="23"/>
        <v>0</v>
      </c>
      <c r="AC19" s="19" t="str">
        <f t="shared" si="24"/>
        <v>F</v>
      </c>
      <c r="AD19" s="19">
        <f t="shared" si="4"/>
        <v>0</v>
      </c>
      <c r="AE19" s="19"/>
      <c r="AF19" s="56"/>
      <c r="AG19" s="56"/>
      <c r="AH19" s="30"/>
      <c r="AI19" s="19">
        <f t="shared" si="43"/>
        <v>0</v>
      </c>
      <c r="AJ19" s="19">
        <v>3</v>
      </c>
      <c r="AK19" s="19" t="str">
        <f t="shared" si="25"/>
        <v>0</v>
      </c>
      <c r="AL19" s="19" t="str">
        <f t="shared" si="26"/>
        <v>F</v>
      </c>
      <c r="AM19" s="19">
        <f t="shared" si="6"/>
        <v>0</v>
      </c>
      <c r="AN19" s="19"/>
      <c r="AO19" s="56"/>
      <c r="AP19" s="56"/>
      <c r="AQ19" s="30"/>
      <c r="AR19" s="19">
        <f t="shared" si="7"/>
        <v>0</v>
      </c>
      <c r="AS19" s="19">
        <v>3</v>
      </c>
      <c r="AT19" s="19" t="str">
        <f t="shared" si="27"/>
        <v>0</v>
      </c>
      <c r="AU19" s="19" t="str">
        <f t="shared" si="28"/>
        <v>F</v>
      </c>
      <c r="AV19" s="19">
        <f t="shared" si="8"/>
        <v>0</v>
      </c>
      <c r="AW19" s="19"/>
      <c r="AX19" s="9"/>
      <c r="AY19" s="9"/>
      <c r="AZ19" s="30"/>
      <c r="BA19" s="19">
        <f t="shared" si="9"/>
        <v>0</v>
      </c>
      <c r="BB19" s="19">
        <v>1</v>
      </c>
      <c r="BC19" s="19" t="str">
        <f t="shared" si="29"/>
        <v>0</v>
      </c>
      <c r="BD19" s="19" t="str">
        <f t="shared" si="30"/>
        <v>F</v>
      </c>
      <c r="BE19" s="19">
        <f t="shared" si="10"/>
        <v>0</v>
      </c>
      <c r="BF19" s="53" t="s">
        <v>92</v>
      </c>
      <c r="BG19" s="9"/>
      <c r="BH19" s="9"/>
      <c r="BI19" s="30"/>
      <c r="BJ19" s="19">
        <f t="shared" si="11"/>
        <v>0</v>
      </c>
      <c r="BK19" s="19">
        <v>1</v>
      </c>
      <c r="BL19" s="19" t="str">
        <f t="shared" si="31"/>
        <v>0</v>
      </c>
      <c r="BM19" s="19" t="str">
        <f t="shared" si="32"/>
        <v>F</v>
      </c>
      <c r="BN19" s="19">
        <f t="shared" si="12"/>
        <v>0</v>
      </c>
      <c r="BO19" s="19"/>
      <c r="BP19" s="9"/>
      <c r="BQ19" s="9"/>
      <c r="BR19" s="30"/>
      <c r="BS19" s="19">
        <f t="shared" si="13"/>
        <v>0</v>
      </c>
      <c r="BT19" s="19">
        <v>1</v>
      </c>
      <c r="BU19" s="19" t="str">
        <f t="shared" si="33"/>
        <v>0</v>
      </c>
      <c r="BV19" s="19" t="str">
        <f t="shared" si="34"/>
        <v>F</v>
      </c>
      <c r="BW19" s="19">
        <f t="shared" si="14"/>
        <v>0</v>
      </c>
      <c r="BX19" s="19"/>
      <c r="BY19" s="19"/>
      <c r="BZ19" s="19">
        <f t="shared" si="15"/>
        <v>0</v>
      </c>
      <c r="CA19" s="20">
        <f t="shared" si="35"/>
        <v>0</v>
      </c>
      <c r="CB19" s="35" t="str">
        <f t="shared" si="36"/>
        <v>F</v>
      </c>
      <c r="CC19" s="31">
        <f t="shared" si="16"/>
        <v>0</v>
      </c>
      <c r="CD19" s="31"/>
      <c r="CE19" s="35">
        <f t="shared" si="17"/>
        <v>0</v>
      </c>
      <c r="CF19" s="35">
        <f t="shared" si="37"/>
        <v>0</v>
      </c>
      <c r="CG19" s="31"/>
      <c r="CH19" s="31"/>
      <c r="CI19" s="31" t="str">
        <f t="shared" si="38"/>
        <v>F</v>
      </c>
    </row>
    <row r="20" spans="1:87" ht="15.75" x14ac:dyDescent="0.25">
      <c r="A20" s="44">
        <f t="shared" si="39"/>
        <v>13</v>
      </c>
      <c r="B20" s="120" t="s">
        <v>267</v>
      </c>
      <c r="C20" s="120" t="s">
        <v>268</v>
      </c>
      <c r="D20" s="58" t="s">
        <v>232</v>
      </c>
      <c r="E20" s="9"/>
      <c r="F20" s="9"/>
      <c r="G20" s="30"/>
      <c r="H20" s="19">
        <f t="shared" si="0"/>
        <v>0</v>
      </c>
      <c r="I20" s="19">
        <v>4</v>
      </c>
      <c r="J20" s="19" t="str">
        <f t="shared" si="40"/>
        <v>0</v>
      </c>
      <c r="K20" s="19" t="str">
        <f t="shared" si="41"/>
        <v>F</v>
      </c>
      <c r="L20" s="19">
        <f t="shared" si="20"/>
        <v>0</v>
      </c>
      <c r="M20" s="19"/>
      <c r="N20" s="43"/>
      <c r="O20" s="43"/>
      <c r="P20" s="30"/>
      <c r="Q20" s="19">
        <f t="shared" si="42"/>
        <v>0</v>
      </c>
      <c r="R20" s="19">
        <v>4</v>
      </c>
      <c r="S20" s="19" t="str">
        <f t="shared" si="21"/>
        <v>0</v>
      </c>
      <c r="T20" s="19" t="str">
        <f t="shared" si="22"/>
        <v>F</v>
      </c>
      <c r="U20" s="19">
        <f t="shared" si="2"/>
        <v>0</v>
      </c>
      <c r="V20" s="19"/>
      <c r="W20" s="43"/>
      <c r="X20" s="43"/>
      <c r="Y20" s="19"/>
      <c r="Z20" s="19">
        <f t="shared" si="3"/>
        <v>0</v>
      </c>
      <c r="AA20" s="19">
        <v>3</v>
      </c>
      <c r="AB20" s="19" t="str">
        <f t="shared" si="23"/>
        <v>0</v>
      </c>
      <c r="AC20" s="19" t="str">
        <f t="shared" si="24"/>
        <v>F</v>
      </c>
      <c r="AD20" s="19">
        <f t="shared" si="4"/>
        <v>0</v>
      </c>
      <c r="AE20" s="19"/>
      <c r="AF20" s="56"/>
      <c r="AG20" s="56"/>
      <c r="AH20" s="30"/>
      <c r="AI20" s="19">
        <f t="shared" si="43"/>
        <v>0</v>
      </c>
      <c r="AJ20" s="19">
        <v>3</v>
      </c>
      <c r="AK20" s="19" t="str">
        <f t="shared" si="25"/>
        <v>0</v>
      </c>
      <c r="AL20" s="19" t="str">
        <f t="shared" si="26"/>
        <v>F</v>
      </c>
      <c r="AM20" s="19">
        <f t="shared" si="6"/>
        <v>0</v>
      </c>
      <c r="AN20" s="19"/>
      <c r="AO20" s="56"/>
      <c r="AP20" s="56"/>
      <c r="AQ20" s="30"/>
      <c r="AR20" s="19">
        <f t="shared" si="7"/>
        <v>0</v>
      </c>
      <c r="AS20" s="19">
        <v>3</v>
      </c>
      <c r="AT20" s="19" t="str">
        <f t="shared" si="27"/>
        <v>0</v>
      </c>
      <c r="AU20" s="19" t="str">
        <f t="shared" si="28"/>
        <v>F</v>
      </c>
      <c r="AV20" s="19">
        <f t="shared" si="8"/>
        <v>0</v>
      </c>
      <c r="AW20" s="19"/>
      <c r="AX20" s="43"/>
      <c r="AY20" s="43"/>
      <c r="AZ20" s="30"/>
      <c r="BA20" s="19">
        <f t="shared" si="9"/>
        <v>0</v>
      </c>
      <c r="BB20" s="19">
        <v>1</v>
      </c>
      <c r="BC20" s="19" t="str">
        <f t="shared" si="29"/>
        <v>0</v>
      </c>
      <c r="BD20" s="19" t="str">
        <f t="shared" si="30"/>
        <v>F</v>
      </c>
      <c r="BE20" s="19">
        <f t="shared" si="10"/>
        <v>0</v>
      </c>
      <c r="BF20" s="53" t="s">
        <v>97</v>
      </c>
      <c r="BG20" s="43"/>
      <c r="BH20" s="43"/>
      <c r="BI20" s="30"/>
      <c r="BJ20" s="19">
        <f t="shared" si="11"/>
        <v>0</v>
      </c>
      <c r="BK20" s="19">
        <v>1</v>
      </c>
      <c r="BL20" s="19" t="str">
        <f t="shared" si="31"/>
        <v>0</v>
      </c>
      <c r="BM20" s="19" t="str">
        <f t="shared" si="32"/>
        <v>F</v>
      </c>
      <c r="BN20" s="19">
        <f t="shared" si="12"/>
        <v>0</v>
      </c>
      <c r="BO20" s="19"/>
      <c r="BP20" s="43"/>
      <c r="BQ20" s="43"/>
      <c r="BR20" s="30"/>
      <c r="BS20" s="19">
        <f t="shared" si="13"/>
        <v>0</v>
      </c>
      <c r="BT20" s="19">
        <v>1</v>
      </c>
      <c r="BU20" s="19" t="str">
        <f t="shared" si="33"/>
        <v>0</v>
      </c>
      <c r="BV20" s="19" t="str">
        <f t="shared" si="34"/>
        <v>F</v>
      </c>
      <c r="BW20" s="19">
        <f t="shared" si="14"/>
        <v>0</v>
      </c>
      <c r="BX20" s="19"/>
      <c r="BY20" s="19"/>
      <c r="BZ20" s="19">
        <f t="shared" si="15"/>
        <v>0</v>
      </c>
      <c r="CA20" s="20">
        <f t="shared" si="35"/>
        <v>0</v>
      </c>
      <c r="CB20" s="35" t="str">
        <f t="shared" si="36"/>
        <v>F</v>
      </c>
      <c r="CC20" s="31">
        <f t="shared" si="16"/>
        <v>0</v>
      </c>
      <c r="CD20" s="31"/>
      <c r="CE20" s="35">
        <f t="shared" si="17"/>
        <v>0</v>
      </c>
      <c r="CF20" s="35">
        <f t="shared" si="37"/>
        <v>0</v>
      </c>
      <c r="CG20" s="31"/>
      <c r="CH20" s="31"/>
      <c r="CI20" s="31" t="str">
        <f t="shared" si="38"/>
        <v>F</v>
      </c>
    </row>
    <row r="21" spans="1:87" ht="15.75" x14ac:dyDescent="0.25">
      <c r="A21" s="44">
        <f t="shared" si="39"/>
        <v>14</v>
      </c>
      <c r="B21" s="120" t="s">
        <v>269</v>
      </c>
      <c r="C21" s="120" t="s">
        <v>270</v>
      </c>
      <c r="D21" s="58" t="s">
        <v>232</v>
      </c>
      <c r="E21" s="9"/>
      <c r="F21" s="9"/>
      <c r="G21" s="30"/>
      <c r="H21" s="19">
        <f t="shared" si="0"/>
        <v>0</v>
      </c>
      <c r="I21" s="19">
        <v>4</v>
      </c>
      <c r="J21" s="19" t="str">
        <f t="shared" si="40"/>
        <v>0</v>
      </c>
      <c r="K21" s="19" t="str">
        <f t="shared" si="41"/>
        <v>F</v>
      </c>
      <c r="L21" s="19">
        <f t="shared" si="20"/>
        <v>0</v>
      </c>
      <c r="M21" s="19"/>
      <c r="N21" s="9"/>
      <c r="O21" s="9"/>
      <c r="P21" s="30"/>
      <c r="Q21" s="19">
        <f t="shared" si="42"/>
        <v>0</v>
      </c>
      <c r="R21" s="19">
        <v>4</v>
      </c>
      <c r="S21" s="19" t="str">
        <f t="shared" si="21"/>
        <v>0</v>
      </c>
      <c r="T21" s="19" t="str">
        <f t="shared" si="22"/>
        <v>F</v>
      </c>
      <c r="U21" s="19">
        <f t="shared" si="2"/>
        <v>0</v>
      </c>
      <c r="V21" s="19"/>
      <c r="W21" s="9"/>
      <c r="X21" s="9"/>
      <c r="Y21" s="19"/>
      <c r="Z21" s="19">
        <f t="shared" si="3"/>
        <v>0</v>
      </c>
      <c r="AA21" s="19">
        <v>3</v>
      </c>
      <c r="AB21" s="19" t="str">
        <f t="shared" si="23"/>
        <v>0</v>
      </c>
      <c r="AC21" s="19" t="str">
        <f t="shared" si="24"/>
        <v>F</v>
      </c>
      <c r="AD21" s="19">
        <f t="shared" si="4"/>
        <v>0</v>
      </c>
      <c r="AE21" s="19"/>
      <c r="AF21" s="56"/>
      <c r="AG21" s="56"/>
      <c r="AH21" s="30"/>
      <c r="AI21" s="19">
        <f t="shared" si="43"/>
        <v>0</v>
      </c>
      <c r="AJ21" s="19">
        <v>3</v>
      </c>
      <c r="AK21" s="19" t="str">
        <f t="shared" si="25"/>
        <v>0</v>
      </c>
      <c r="AL21" s="19" t="str">
        <f t="shared" si="26"/>
        <v>F</v>
      </c>
      <c r="AM21" s="19">
        <f t="shared" si="6"/>
        <v>0</v>
      </c>
      <c r="AN21" s="19"/>
      <c r="AO21" s="56"/>
      <c r="AP21" s="56"/>
      <c r="AQ21" s="30"/>
      <c r="AR21" s="19">
        <f t="shared" si="7"/>
        <v>0</v>
      </c>
      <c r="AS21" s="19">
        <v>3</v>
      </c>
      <c r="AT21" s="19" t="str">
        <f t="shared" si="27"/>
        <v>0</v>
      </c>
      <c r="AU21" s="19" t="str">
        <f t="shared" si="28"/>
        <v>F</v>
      </c>
      <c r="AV21" s="19">
        <f t="shared" si="8"/>
        <v>0</v>
      </c>
      <c r="AW21" s="19"/>
      <c r="AX21" s="9"/>
      <c r="AY21" s="9"/>
      <c r="AZ21" s="30"/>
      <c r="BA21" s="19">
        <f t="shared" si="9"/>
        <v>0</v>
      </c>
      <c r="BB21" s="19">
        <v>1</v>
      </c>
      <c r="BC21" s="19" t="str">
        <f t="shared" si="29"/>
        <v>0</v>
      </c>
      <c r="BD21" s="19" t="str">
        <f t="shared" si="30"/>
        <v>F</v>
      </c>
      <c r="BE21" s="19">
        <f t="shared" si="10"/>
        <v>0</v>
      </c>
      <c r="BF21" s="53" t="s">
        <v>97</v>
      </c>
      <c r="BG21" s="9"/>
      <c r="BH21" s="9"/>
      <c r="BI21" s="30"/>
      <c r="BJ21" s="19">
        <f t="shared" si="11"/>
        <v>0</v>
      </c>
      <c r="BK21" s="19">
        <v>1</v>
      </c>
      <c r="BL21" s="19" t="str">
        <f t="shared" si="31"/>
        <v>0</v>
      </c>
      <c r="BM21" s="19" t="str">
        <f t="shared" si="32"/>
        <v>F</v>
      </c>
      <c r="BN21" s="19">
        <f t="shared" si="12"/>
        <v>0</v>
      </c>
      <c r="BO21" s="19"/>
      <c r="BP21" s="9"/>
      <c r="BQ21" s="9"/>
      <c r="BR21" s="30"/>
      <c r="BS21" s="19">
        <f t="shared" si="13"/>
        <v>0</v>
      </c>
      <c r="BT21" s="19">
        <v>1</v>
      </c>
      <c r="BU21" s="19" t="str">
        <f t="shared" si="33"/>
        <v>0</v>
      </c>
      <c r="BV21" s="19" t="str">
        <f t="shared" si="34"/>
        <v>F</v>
      </c>
      <c r="BW21" s="19">
        <f t="shared" si="14"/>
        <v>0</v>
      </c>
      <c r="BX21" s="19"/>
      <c r="BY21" s="19"/>
      <c r="BZ21" s="19">
        <f t="shared" si="15"/>
        <v>0</v>
      </c>
      <c r="CA21" s="20">
        <f t="shared" si="35"/>
        <v>0</v>
      </c>
      <c r="CB21" s="35" t="str">
        <f t="shared" si="36"/>
        <v>F</v>
      </c>
      <c r="CC21" s="31">
        <f t="shared" si="16"/>
        <v>0</v>
      </c>
      <c r="CD21" s="31"/>
      <c r="CE21" s="35">
        <f t="shared" si="17"/>
        <v>0</v>
      </c>
      <c r="CF21" s="35">
        <f t="shared" si="37"/>
        <v>0</v>
      </c>
      <c r="CG21" s="31"/>
      <c r="CH21" s="31"/>
      <c r="CI21" s="31" t="str">
        <f t="shared" si="38"/>
        <v>F</v>
      </c>
    </row>
    <row r="22" spans="1:87" ht="15.75" x14ac:dyDescent="0.25">
      <c r="A22" s="44">
        <f t="shared" si="39"/>
        <v>15</v>
      </c>
      <c r="B22" s="121" t="s">
        <v>271</v>
      </c>
      <c r="C22" s="121" t="s">
        <v>272</v>
      </c>
      <c r="D22" s="58" t="s">
        <v>232</v>
      </c>
      <c r="E22" s="9"/>
      <c r="F22" s="9"/>
      <c r="G22" s="30"/>
      <c r="H22" s="19">
        <f t="shared" si="0"/>
        <v>0</v>
      </c>
      <c r="I22" s="19">
        <v>4</v>
      </c>
      <c r="J22" s="19" t="str">
        <f t="shared" si="40"/>
        <v>0</v>
      </c>
      <c r="K22" s="19" t="str">
        <f t="shared" si="41"/>
        <v>F</v>
      </c>
      <c r="L22" s="19">
        <f t="shared" si="20"/>
        <v>0</v>
      </c>
      <c r="M22" s="19"/>
      <c r="N22" s="9"/>
      <c r="O22" s="9"/>
      <c r="P22" s="30"/>
      <c r="Q22" s="19">
        <f t="shared" si="42"/>
        <v>0</v>
      </c>
      <c r="R22" s="19">
        <v>4</v>
      </c>
      <c r="S22" s="19" t="str">
        <f t="shared" si="21"/>
        <v>0</v>
      </c>
      <c r="T22" s="19" t="str">
        <f t="shared" si="22"/>
        <v>F</v>
      </c>
      <c r="U22" s="19">
        <f t="shared" si="2"/>
        <v>0</v>
      </c>
      <c r="V22" s="19"/>
      <c r="W22" s="9"/>
      <c r="X22" s="9"/>
      <c r="Y22" s="19"/>
      <c r="Z22" s="19">
        <f t="shared" si="3"/>
        <v>0</v>
      </c>
      <c r="AA22" s="19">
        <v>3</v>
      </c>
      <c r="AB22" s="19" t="str">
        <f t="shared" si="23"/>
        <v>0</v>
      </c>
      <c r="AC22" s="19" t="str">
        <f t="shared" si="24"/>
        <v>F</v>
      </c>
      <c r="AD22" s="19">
        <f t="shared" si="4"/>
        <v>0</v>
      </c>
      <c r="AE22" s="19"/>
      <c r="AF22" s="56"/>
      <c r="AG22" s="56"/>
      <c r="AH22" s="30"/>
      <c r="AI22" s="19">
        <f t="shared" si="43"/>
        <v>0</v>
      </c>
      <c r="AJ22" s="19">
        <v>3</v>
      </c>
      <c r="AK22" s="19" t="str">
        <f t="shared" si="25"/>
        <v>0</v>
      </c>
      <c r="AL22" s="19" t="str">
        <f t="shared" si="26"/>
        <v>F</v>
      </c>
      <c r="AM22" s="19">
        <f t="shared" si="6"/>
        <v>0</v>
      </c>
      <c r="AN22" s="19"/>
      <c r="AO22" s="56"/>
      <c r="AP22" s="56"/>
      <c r="AQ22" s="30"/>
      <c r="AR22" s="19">
        <f t="shared" si="7"/>
        <v>0</v>
      </c>
      <c r="AS22" s="19">
        <v>3</v>
      </c>
      <c r="AT22" s="19" t="str">
        <f t="shared" si="27"/>
        <v>0</v>
      </c>
      <c r="AU22" s="19" t="str">
        <f t="shared" si="28"/>
        <v>F</v>
      </c>
      <c r="AV22" s="19">
        <f t="shared" si="8"/>
        <v>0</v>
      </c>
      <c r="AW22" s="19"/>
      <c r="AX22" s="9"/>
      <c r="AY22" s="9"/>
      <c r="AZ22" s="30"/>
      <c r="BA22" s="19">
        <f t="shared" si="9"/>
        <v>0</v>
      </c>
      <c r="BB22" s="19">
        <v>1</v>
      </c>
      <c r="BC22" s="19" t="str">
        <f t="shared" si="29"/>
        <v>0</v>
      </c>
      <c r="BD22" s="19" t="str">
        <f t="shared" si="30"/>
        <v>F</v>
      </c>
      <c r="BE22" s="19">
        <f t="shared" si="10"/>
        <v>0</v>
      </c>
      <c r="BF22" s="53" t="s">
        <v>92</v>
      </c>
      <c r="BG22" s="9"/>
      <c r="BH22" s="9"/>
      <c r="BI22" s="30"/>
      <c r="BJ22" s="19">
        <f t="shared" si="11"/>
        <v>0</v>
      </c>
      <c r="BK22" s="19">
        <v>1</v>
      </c>
      <c r="BL22" s="19" t="str">
        <f t="shared" si="31"/>
        <v>0</v>
      </c>
      <c r="BM22" s="19" t="str">
        <f t="shared" si="32"/>
        <v>F</v>
      </c>
      <c r="BN22" s="19">
        <f t="shared" si="12"/>
        <v>0</v>
      </c>
      <c r="BO22" s="19"/>
      <c r="BP22" s="9"/>
      <c r="BQ22" s="9"/>
      <c r="BR22" s="30"/>
      <c r="BS22" s="19">
        <f t="shared" si="13"/>
        <v>0</v>
      </c>
      <c r="BT22" s="19">
        <v>1</v>
      </c>
      <c r="BU22" s="19" t="str">
        <f t="shared" si="33"/>
        <v>0</v>
      </c>
      <c r="BV22" s="19" t="str">
        <f t="shared" si="34"/>
        <v>F</v>
      </c>
      <c r="BW22" s="19">
        <f t="shared" si="14"/>
        <v>0</v>
      </c>
      <c r="BX22" s="19"/>
      <c r="BY22" s="19"/>
      <c r="BZ22" s="19">
        <f t="shared" si="15"/>
        <v>0</v>
      </c>
      <c r="CA22" s="20">
        <f t="shared" si="35"/>
        <v>0</v>
      </c>
      <c r="CB22" s="35" t="str">
        <f t="shared" si="36"/>
        <v>F</v>
      </c>
      <c r="CC22" s="31">
        <f t="shared" si="16"/>
        <v>0</v>
      </c>
      <c r="CD22" s="31"/>
      <c r="CE22" s="35">
        <f t="shared" si="17"/>
        <v>0</v>
      </c>
      <c r="CF22" s="35">
        <f t="shared" si="37"/>
        <v>0</v>
      </c>
      <c r="CG22" s="31"/>
      <c r="CH22" s="31"/>
      <c r="CI22" s="31" t="str">
        <f t="shared" si="38"/>
        <v>F</v>
      </c>
    </row>
    <row r="23" spans="1:87" ht="15.75" x14ac:dyDescent="0.25">
      <c r="A23" s="44">
        <f t="shared" si="39"/>
        <v>16</v>
      </c>
      <c r="B23" s="120" t="s">
        <v>273</v>
      </c>
      <c r="C23" s="120" t="s">
        <v>274</v>
      </c>
      <c r="D23" s="58" t="s">
        <v>232</v>
      </c>
      <c r="E23" s="9"/>
      <c r="F23" s="9"/>
      <c r="G23" s="30"/>
      <c r="H23" s="19">
        <f t="shared" si="0"/>
        <v>0</v>
      </c>
      <c r="I23" s="19">
        <v>4</v>
      </c>
      <c r="J23" s="19" t="str">
        <f t="shared" si="40"/>
        <v>0</v>
      </c>
      <c r="K23" s="19" t="str">
        <f t="shared" si="41"/>
        <v>F</v>
      </c>
      <c r="L23" s="19">
        <f t="shared" si="20"/>
        <v>0</v>
      </c>
      <c r="M23" s="19"/>
      <c r="N23" s="9"/>
      <c r="O23" s="9"/>
      <c r="P23" s="30"/>
      <c r="Q23" s="19">
        <f t="shared" si="42"/>
        <v>0</v>
      </c>
      <c r="R23" s="19">
        <v>4</v>
      </c>
      <c r="S23" s="19" t="str">
        <f t="shared" si="21"/>
        <v>0</v>
      </c>
      <c r="T23" s="19" t="str">
        <f t="shared" si="22"/>
        <v>F</v>
      </c>
      <c r="U23" s="19">
        <f t="shared" si="2"/>
        <v>0</v>
      </c>
      <c r="V23" s="19"/>
      <c r="W23" s="9"/>
      <c r="X23" s="9"/>
      <c r="Y23" s="19"/>
      <c r="Z23" s="19">
        <f t="shared" si="3"/>
        <v>0</v>
      </c>
      <c r="AA23" s="19">
        <v>3</v>
      </c>
      <c r="AB23" s="19" t="str">
        <f t="shared" si="23"/>
        <v>0</v>
      </c>
      <c r="AC23" s="19" t="str">
        <f t="shared" si="24"/>
        <v>F</v>
      </c>
      <c r="AD23" s="19">
        <f t="shared" si="4"/>
        <v>0</v>
      </c>
      <c r="AE23" s="19"/>
      <c r="AF23" s="56"/>
      <c r="AG23" s="56"/>
      <c r="AH23" s="30"/>
      <c r="AI23" s="19">
        <f t="shared" si="43"/>
        <v>0</v>
      </c>
      <c r="AJ23" s="19">
        <v>3</v>
      </c>
      <c r="AK23" s="19" t="str">
        <f t="shared" si="25"/>
        <v>0</v>
      </c>
      <c r="AL23" s="19" t="str">
        <f t="shared" si="26"/>
        <v>F</v>
      </c>
      <c r="AM23" s="19">
        <f t="shared" si="6"/>
        <v>0</v>
      </c>
      <c r="AN23" s="19"/>
      <c r="AO23" s="56"/>
      <c r="AP23" s="56"/>
      <c r="AQ23" s="30"/>
      <c r="AR23" s="19">
        <f t="shared" si="7"/>
        <v>0</v>
      </c>
      <c r="AS23" s="19">
        <v>3</v>
      </c>
      <c r="AT23" s="19" t="str">
        <f t="shared" si="27"/>
        <v>0</v>
      </c>
      <c r="AU23" s="19" t="str">
        <f t="shared" si="28"/>
        <v>F</v>
      </c>
      <c r="AV23" s="19">
        <f t="shared" si="8"/>
        <v>0</v>
      </c>
      <c r="AW23" s="19"/>
      <c r="AX23" s="9"/>
      <c r="AY23" s="9"/>
      <c r="AZ23" s="30"/>
      <c r="BA23" s="19">
        <f t="shared" si="9"/>
        <v>0</v>
      </c>
      <c r="BB23" s="19">
        <v>1</v>
      </c>
      <c r="BC23" s="19" t="str">
        <f t="shared" si="29"/>
        <v>0</v>
      </c>
      <c r="BD23" s="19" t="str">
        <f t="shared" si="30"/>
        <v>F</v>
      </c>
      <c r="BE23" s="19">
        <f t="shared" si="10"/>
        <v>0</v>
      </c>
      <c r="BF23" s="53" t="s">
        <v>97</v>
      </c>
      <c r="BG23" s="9"/>
      <c r="BH23" s="9"/>
      <c r="BI23" s="30"/>
      <c r="BJ23" s="19">
        <f t="shared" si="11"/>
        <v>0</v>
      </c>
      <c r="BK23" s="19">
        <v>1</v>
      </c>
      <c r="BL23" s="19" t="str">
        <f t="shared" si="31"/>
        <v>0</v>
      </c>
      <c r="BM23" s="19" t="str">
        <f t="shared" si="32"/>
        <v>F</v>
      </c>
      <c r="BN23" s="19">
        <f t="shared" si="12"/>
        <v>0</v>
      </c>
      <c r="BO23" s="19"/>
      <c r="BP23" s="9"/>
      <c r="BQ23" s="9"/>
      <c r="BR23" s="30"/>
      <c r="BS23" s="19">
        <f t="shared" si="13"/>
        <v>0</v>
      </c>
      <c r="BT23" s="19">
        <v>1</v>
      </c>
      <c r="BU23" s="19" t="str">
        <f t="shared" si="33"/>
        <v>0</v>
      </c>
      <c r="BV23" s="19" t="str">
        <f t="shared" si="34"/>
        <v>F</v>
      </c>
      <c r="BW23" s="19">
        <f t="shared" si="14"/>
        <v>0</v>
      </c>
      <c r="BX23" s="19"/>
      <c r="BY23" s="19"/>
      <c r="BZ23" s="19">
        <f t="shared" si="15"/>
        <v>0</v>
      </c>
      <c r="CA23" s="20">
        <f t="shared" si="35"/>
        <v>0</v>
      </c>
      <c r="CB23" s="35" t="str">
        <f t="shared" si="36"/>
        <v>F</v>
      </c>
      <c r="CC23" s="31">
        <f t="shared" si="16"/>
        <v>0</v>
      </c>
      <c r="CD23" s="31"/>
      <c r="CE23" s="35">
        <f t="shared" si="17"/>
        <v>0</v>
      </c>
      <c r="CF23" s="35">
        <f t="shared" si="37"/>
        <v>0</v>
      </c>
      <c r="CG23" s="31"/>
      <c r="CH23" s="31"/>
      <c r="CI23" s="31" t="str">
        <f t="shared" si="38"/>
        <v>F</v>
      </c>
    </row>
    <row r="24" spans="1:87" ht="15.75" x14ac:dyDescent="0.25">
      <c r="A24" s="44">
        <f t="shared" si="39"/>
        <v>17</v>
      </c>
      <c r="B24" s="120" t="s">
        <v>275</v>
      </c>
      <c r="C24" s="120" t="s">
        <v>276</v>
      </c>
      <c r="D24" s="58" t="s">
        <v>232</v>
      </c>
      <c r="E24" s="9"/>
      <c r="F24" s="9"/>
      <c r="G24" s="30"/>
      <c r="H24" s="19">
        <f t="shared" si="0"/>
        <v>0</v>
      </c>
      <c r="I24" s="19">
        <v>4</v>
      </c>
      <c r="J24" s="19" t="str">
        <f t="shared" si="40"/>
        <v>0</v>
      </c>
      <c r="K24" s="19" t="str">
        <f t="shared" si="41"/>
        <v>F</v>
      </c>
      <c r="L24" s="19">
        <f t="shared" si="20"/>
        <v>0</v>
      </c>
      <c r="M24" s="19"/>
      <c r="N24" s="9"/>
      <c r="O24" s="9"/>
      <c r="P24" s="30"/>
      <c r="Q24" s="19">
        <f t="shared" si="42"/>
        <v>0</v>
      </c>
      <c r="R24" s="19">
        <v>4</v>
      </c>
      <c r="S24" s="19" t="str">
        <f t="shared" si="21"/>
        <v>0</v>
      </c>
      <c r="T24" s="19" t="str">
        <f t="shared" si="22"/>
        <v>F</v>
      </c>
      <c r="U24" s="19">
        <f t="shared" si="2"/>
        <v>0</v>
      </c>
      <c r="V24" s="19"/>
      <c r="W24" s="9"/>
      <c r="X24" s="9"/>
      <c r="Y24" s="19"/>
      <c r="Z24" s="19">
        <f t="shared" si="3"/>
        <v>0</v>
      </c>
      <c r="AA24" s="19">
        <v>3</v>
      </c>
      <c r="AB24" s="19" t="str">
        <f t="shared" si="23"/>
        <v>0</v>
      </c>
      <c r="AC24" s="19" t="str">
        <f t="shared" si="24"/>
        <v>F</v>
      </c>
      <c r="AD24" s="19">
        <f t="shared" si="4"/>
        <v>0</v>
      </c>
      <c r="AE24" s="19"/>
      <c r="AF24" s="56"/>
      <c r="AG24" s="56"/>
      <c r="AH24" s="30"/>
      <c r="AI24" s="19">
        <f t="shared" si="43"/>
        <v>0</v>
      </c>
      <c r="AJ24" s="19">
        <v>3</v>
      </c>
      <c r="AK24" s="19" t="str">
        <f t="shared" si="25"/>
        <v>0</v>
      </c>
      <c r="AL24" s="19" t="str">
        <f t="shared" si="26"/>
        <v>F</v>
      </c>
      <c r="AM24" s="19">
        <f t="shared" si="6"/>
        <v>0</v>
      </c>
      <c r="AN24" s="19"/>
      <c r="AO24" s="56"/>
      <c r="AP24" s="56"/>
      <c r="AQ24" s="30"/>
      <c r="AR24" s="19">
        <f t="shared" si="7"/>
        <v>0</v>
      </c>
      <c r="AS24" s="19">
        <v>3</v>
      </c>
      <c r="AT24" s="19" t="str">
        <f t="shared" si="27"/>
        <v>0</v>
      </c>
      <c r="AU24" s="19" t="str">
        <f t="shared" si="28"/>
        <v>F</v>
      </c>
      <c r="AV24" s="19">
        <f t="shared" si="8"/>
        <v>0</v>
      </c>
      <c r="AW24" s="19"/>
      <c r="AX24" s="9"/>
      <c r="AY24" s="9"/>
      <c r="AZ24" s="30"/>
      <c r="BA24" s="19">
        <f t="shared" si="9"/>
        <v>0</v>
      </c>
      <c r="BB24" s="19">
        <v>1</v>
      </c>
      <c r="BC24" s="19" t="str">
        <f t="shared" si="29"/>
        <v>0</v>
      </c>
      <c r="BD24" s="19" t="str">
        <f t="shared" si="30"/>
        <v>F</v>
      </c>
      <c r="BE24" s="19">
        <f t="shared" si="10"/>
        <v>0</v>
      </c>
      <c r="BF24" s="53" t="s">
        <v>92</v>
      </c>
      <c r="BG24" s="9"/>
      <c r="BH24" s="9"/>
      <c r="BI24" s="30"/>
      <c r="BJ24" s="19">
        <f t="shared" si="11"/>
        <v>0</v>
      </c>
      <c r="BK24" s="19">
        <v>1</v>
      </c>
      <c r="BL24" s="19" t="str">
        <f t="shared" si="31"/>
        <v>0</v>
      </c>
      <c r="BM24" s="19" t="str">
        <f t="shared" si="32"/>
        <v>F</v>
      </c>
      <c r="BN24" s="19">
        <f t="shared" si="12"/>
        <v>0</v>
      </c>
      <c r="BO24" s="19"/>
      <c r="BP24" s="9"/>
      <c r="BQ24" s="9"/>
      <c r="BR24" s="30"/>
      <c r="BS24" s="19">
        <f t="shared" si="13"/>
        <v>0</v>
      </c>
      <c r="BT24" s="19">
        <v>1</v>
      </c>
      <c r="BU24" s="19" t="str">
        <f t="shared" si="33"/>
        <v>0</v>
      </c>
      <c r="BV24" s="19" t="str">
        <f t="shared" si="34"/>
        <v>F</v>
      </c>
      <c r="BW24" s="19">
        <f t="shared" si="14"/>
        <v>0</v>
      </c>
      <c r="BX24" s="19"/>
      <c r="BY24" s="19"/>
      <c r="BZ24" s="19">
        <f t="shared" si="15"/>
        <v>0</v>
      </c>
      <c r="CA24" s="20">
        <f t="shared" si="35"/>
        <v>0</v>
      </c>
      <c r="CB24" s="35" t="str">
        <f t="shared" si="36"/>
        <v>F</v>
      </c>
      <c r="CC24" s="31">
        <f t="shared" si="16"/>
        <v>0</v>
      </c>
      <c r="CD24" s="31"/>
      <c r="CE24" s="35">
        <f t="shared" si="17"/>
        <v>0</v>
      </c>
      <c r="CF24" s="35">
        <f t="shared" si="37"/>
        <v>0</v>
      </c>
      <c r="CG24" s="31"/>
      <c r="CH24" s="31"/>
      <c r="CI24" s="31" t="str">
        <f t="shared" si="38"/>
        <v>F</v>
      </c>
    </row>
    <row r="25" spans="1:87" ht="15.75" x14ac:dyDescent="0.25">
      <c r="A25" s="44">
        <f t="shared" si="39"/>
        <v>18</v>
      </c>
      <c r="B25" s="120" t="s">
        <v>277</v>
      </c>
      <c r="C25" s="120" t="s">
        <v>278</v>
      </c>
      <c r="D25" s="58" t="s">
        <v>232</v>
      </c>
      <c r="E25" s="43"/>
      <c r="F25" s="43"/>
      <c r="G25" s="30"/>
      <c r="H25" s="19">
        <f t="shared" si="0"/>
        <v>0</v>
      </c>
      <c r="I25" s="19">
        <v>4</v>
      </c>
      <c r="J25" s="19" t="str">
        <f t="shared" si="40"/>
        <v>0</v>
      </c>
      <c r="K25" s="19" t="str">
        <f t="shared" si="41"/>
        <v>F</v>
      </c>
      <c r="L25" s="19">
        <f t="shared" si="20"/>
        <v>0</v>
      </c>
      <c r="M25" s="19"/>
      <c r="N25" s="9"/>
      <c r="O25" s="9"/>
      <c r="P25" s="30"/>
      <c r="Q25" s="19">
        <f t="shared" si="42"/>
        <v>0</v>
      </c>
      <c r="R25" s="19">
        <v>4</v>
      </c>
      <c r="S25" s="19" t="str">
        <f t="shared" si="21"/>
        <v>0</v>
      </c>
      <c r="T25" s="19" t="str">
        <f t="shared" si="22"/>
        <v>F</v>
      </c>
      <c r="U25" s="19">
        <f t="shared" si="2"/>
        <v>0</v>
      </c>
      <c r="V25" s="19"/>
      <c r="W25" s="9"/>
      <c r="X25" s="9"/>
      <c r="Y25" s="19"/>
      <c r="Z25" s="19">
        <f t="shared" si="3"/>
        <v>0</v>
      </c>
      <c r="AA25" s="19">
        <v>3</v>
      </c>
      <c r="AB25" s="19" t="str">
        <f t="shared" si="23"/>
        <v>0</v>
      </c>
      <c r="AC25" s="19" t="str">
        <f t="shared" si="24"/>
        <v>F</v>
      </c>
      <c r="AD25" s="19">
        <f t="shared" si="4"/>
        <v>0</v>
      </c>
      <c r="AE25" s="19"/>
      <c r="AF25" s="56"/>
      <c r="AG25" s="56"/>
      <c r="AH25" s="30"/>
      <c r="AI25" s="19">
        <f t="shared" si="43"/>
        <v>0</v>
      </c>
      <c r="AJ25" s="19">
        <v>3</v>
      </c>
      <c r="AK25" s="19" t="str">
        <f t="shared" si="25"/>
        <v>0</v>
      </c>
      <c r="AL25" s="19" t="str">
        <f t="shared" si="26"/>
        <v>F</v>
      </c>
      <c r="AM25" s="19">
        <f t="shared" si="6"/>
        <v>0</v>
      </c>
      <c r="AN25" s="19"/>
      <c r="AO25" s="56"/>
      <c r="AP25" s="56"/>
      <c r="AQ25" s="30"/>
      <c r="AR25" s="19">
        <f t="shared" si="7"/>
        <v>0</v>
      </c>
      <c r="AS25" s="19">
        <v>3</v>
      </c>
      <c r="AT25" s="19" t="str">
        <f t="shared" si="27"/>
        <v>0</v>
      </c>
      <c r="AU25" s="19" t="str">
        <f t="shared" si="28"/>
        <v>F</v>
      </c>
      <c r="AV25" s="19">
        <f t="shared" si="8"/>
        <v>0</v>
      </c>
      <c r="AW25" s="19"/>
      <c r="AX25" s="9"/>
      <c r="AY25" s="9"/>
      <c r="AZ25" s="30"/>
      <c r="BA25" s="19">
        <f t="shared" si="9"/>
        <v>0</v>
      </c>
      <c r="BB25" s="19">
        <v>1</v>
      </c>
      <c r="BC25" s="19" t="str">
        <f t="shared" si="29"/>
        <v>0</v>
      </c>
      <c r="BD25" s="19" t="str">
        <f t="shared" si="30"/>
        <v>F</v>
      </c>
      <c r="BE25" s="19">
        <f t="shared" si="10"/>
        <v>0</v>
      </c>
      <c r="BF25" s="53" t="s">
        <v>92</v>
      </c>
      <c r="BG25" s="9"/>
      <c r="BH25" s="9"/>
      <c r="BI25" s="30"/>
      <c r="BJ25" s="19">
        <f t="shared" si="11"/>
        <v>0</v>
      </c>
      <c r="BK25" s="19">
        <v>1</v>
      </c>
      <c r="BL25" s="19" t="str">
        <f t="shared" si="31"/>
        <v>0</v>
      </c>
      <c r="BM25" s="19" t="str">
        <f t="shared" si="32"/>
        <v>F</v>
      </c>
      <c r="BN25" s="19">
        <f t="shared" si="12"/>
        <v>0</v>
      </c>
      <c r="BO25" s="19"/>
      <c r="BP25" s="9"/>
      <c r="BQ25" s="9"/>
      <c r="BR25" s="30"/>
      <c r="BS25" s="19">
        <f t="shared" si="13"/>
        <v>0</v>
      </c>
      <c r="BT25" s="19">
        <v>1</v>
      </c>
      <c r="BU25" s="19" t="str">
        <f t="shared" si="33"/>
        <v>0</v>
      </c>
      <c r="BV25" s="19" t="str">
        <f t="shared" si="34"/>
        <v>F</v>
      </c>
      <c r="BW25" s="19">
        <f t="shared" si="14"/>
        <v>0</v>
      </c>
      <c r="BX25" s="19"/>
      <c r="BY25" s="19"/>
      <c r="BZ25" s="19">
        <f t="shared" si="15"/>
        <v>0</v>
      </c>
      <c r="CA25" s="20">
        <f t="shared" si="35"/>
        <v>0</v>
      </c>
      <c r="CB25" s="35" t="str">
        <f t="shared" si="36"/>
        <v>F</v>
      </c>
      <c r="CC25" s="31">
        <f t="shared" si="16"/>
        <v>0</v>
      </c>
      <c r="CD25" s="31"/>
      <c r="CE25" s="35">
        <f t="shared" si="17"/>
        <v>0</v>
      </c>
      <c r="CF25" s="35">
        <f t="shared" si="37"/>
        <v>0</v>
      </c>
      <c r="CG25" s="31"/>
      <c r="CH25" s="31"/>
      <c r="CI25" s="31" t="str">
        <f t="shared" si="38"/>
        <v>F</v>
      </c>
    </row>
    <row r="26" spans="1:87" ht="15.75" x14ac:dyDescent="0.25">
      <c r="A26" s="44">
        <f t="shared" si="39"/>
        <v>19</v>
      </c>
      <c r="B26" s="120" t="s">
        <v>279</v>
      </c>
      <c r="C26" s="120" t="s">
        <v>280</v>
      </c>
      <c r="D26" s="58" t="s">
        <v>232</v>
      </c>
      <c r="E26" s="64"/>
      <c r="F26" s="64"/>
      <c r="G26" s="30"/>
      <c r="H26" s="19">
        <f t="shared" si="0"/>
        <v>0</v>
      </c>
      <c r="I26" s="19">
        <v>4</v>
      </c>
      <c r="J26" s="19" t="str">
        <f t="shared" si="40"/>
        <v>0</v>
      </c>
      <c r="K26" s="19" t="str">
        <f t="shared" si="41"/>
        <v>F</v>
      </c>
      <c r="L26" s="19">
        <f t="shared" si="20"/>
        <v>0</v>
      </c>
      <c r="M26" s="19"/>
      <c r="N26" s="43"/>
      <c r="O26" s="43"/>
      <c r="P26" s="30"/>
      <c r="Q26" s="19">
        <f t="shared" si="42"/>
        <v>0</v>
      </c>
      <c r="R26" s="19">
        <v>4</v>
      </c>
      <c r="S26" s="19" t="str">
        <f t="shared" si="21"/>
        <v>0</v>
      </c>
      <c r="T26" s="19" t="str">
        <f t="shared" si="22"/>
        <v>F</v>
      </c>
      <c r="U26" s="19">
        <f t="shared" si="2"/>
        <v>0</v>
      </c>
      <c r="V26" s="19"/>
      <c r="W26" s="43"/>
      <c r="X26" s="43"/>
      <c r="Y26" s="19"/>
      <c r="Z26" s="19">
        <f t="shared" si="3"/>
        <v>0</v>
      </c>
      <c r="AA26" s="19">
        <v>3</v>
      </c>
      <c r="AB26" s="19" t="str">
        <f t="shared" si="23"/>
        <v>0</v>
      </c>
      <c r="AC26" s="19" t="str">
        <f t="shared" si="24"/>
        <v>F</v>
      </c>
      <c r="AD26" s="19">
        <f t="shared" si="4"/>
        <v>0</v>
      </c>
      <c r="AE26" s="19"/>
      <c r="AF26" s="56"/>
      <c r="AG26" s="56"/>
      <c r="AH26" s="30"/>
      <c r="AI26" s="19">
        <f t="shared" si="43"/>
        <v>0</v>
      </c>
      <c r="AJ26" s="19">
        <v>3</v>
      </c>
      <c r="AK26" s="19" t="str">
        <f t="shared" si="25"/>
        <v>0</v>
      </c>
      <c r="AL26" s="19" t="str">
        <f t="shared" si="26"/>
        <v>F</v>
      </c>
      <c r="AM26" s="19">
        <f t="shared" si="6"/>
        <v>0</v>
      </c>
      <c r="AN26" s="19"/>
      <c r="AO26" s="56"/>
      <c r="AP26" s="57"/>
      <c r="AQ26" s="30"/>
      <c r="AR26" s="19">
        <f t="shared" si="7"/>
        <v>0</v>
      </c>
      <c r="AS26" s="19">
        <v>3</v>
      </c>
      <c r="AT26" s="19" t="str">
        <f t="shared" si="27"/>
        <v>0</v>
      </c>
      <c r="AU26" s="19" t="str">
        <f t="shared" si="28"/>
        <v>F</v>
      </c>
      <c r="AV26" s="19">
        <f t="shared" si="8"/>
        <v>0</v>
      </c>
      <c r="AW26" s="19"/>
      <c r="AX26" s="43"/>
      <c r="AY26" s="43"/>
      <c r="AZ26" s="30"/>
      <c r="BA26" s="19">
        <f t="shared" si="9"/>
        <v>0</v>
      </c>
      <c r="BB26" s="19">
        <v>1</v>
      </c>
      <c r="BC26" s="19" t="str">
        <f t="shared" si="29"/>
        <v>0</v>
      </c>
      <c r="BD26" s="19" t="str">
        <f t="shared" si="30"/>
        <v>F</v>
      </c>
      <c r="BE26" s="19">
        <f t="shared" si="10"/>
        <v>0</v>
      </c>
      <c r="BF26" s="53" t="s">
        <v>97</v>
      </c>
      <c r="BG26" s="43"/>
      <c r="BH26" s="43"/>
      <c r="BI26" s="30"/>
      <c r="BJ26" s="19">
        <f t="shared" si="11"/>
        <v>0</v>
      </c>
      <c r="BK26" s="19">
        <v>1</v>
      </c>
      <c r="BL26" s="19" t="str">
        <f t="shared" si="31"/>
        <v>0</v>
      </c>
      <c r="BM26" s="19" t="str">
        <f t="shared" si="32"/>
        <v>F</v>
      </c>
      <c r="BN26" s="19">
        <f t="shared" si="12"/>
        <v>0</v>
      </c>
      <c r="BO26" s="19"/>
      <c r="BP26" s="43"/>
      <c r="BQ26" s="43"/>
      <c r="BR26" s="30"/>
      <c r="BS26" s="19">
        <f t="shared" si="13"/>
        <v>0</v>
      </c>
      <c r="BT26" s="19">
        <v>1</v>
      </c>
      <c r="BU26" s="19" t="str">
        <f t="shared" si="33"/>
        <v>0</v>
      </c>
      <c r="BV26" s="19" t="str">
        <f t="shared" si="34"/>
        <v>F</v>
      </c>
      <c r="BW26" s="19">
        <f t="shared" ref="BW26:BW63" si="44">BT26*BU26</f>
        <v>0</v>
      </c>
      <c r="BX26" s="19"/>
      <c r="BY26" s="19"/>
      <c r="BZ26" s="19">
        <f t="shared" si="15"/>
        <v>0</v>
      </c>
      <c r="CA26" s="20">
        <f t="shared" si="35"/>
        <v>0</v>
      </c>
      <c r="CB26" s="35" t="str">
        <f t="shared" si="36"/>
        <v>F</v>
      </c>
      <c r="CC26" s="31">
        <f t="shared" si="16"/>
        <v>0</v>
      </c>
      <c r="CD26" s="31"/>
      <c r="CE26" s="35">
        <f t="shared" si="17"/>
        <v>0</v>
      </c>
      <c r="CF26" s="35">
        <f t="shared" si="37"/>
        <v>0</v>
      </c>
      <c r="CG26" s="31"/>
      <c r="CH26" s="31"/>
      <c r="CI26" s="31" t="str">
        <f t="shared" si="38"/>
        <v>F</v>
      </c>
    </row>
    <row r="27" spans="1:87" ht="15.75" x14ac:dyDescent="0.25">
      <c r="A27" s="44">
        <f t="shared" si="39"/>
        <v>20</v>
      </c>
      <c r="B27" s="120" t="s">
        <v>281</v>
      </c>
      <c r="C27" s="120" t="s">
        <v>282</v>
      </c>
      <c r="D27" s="58" t="s">
        <v>232</v>
      </c>
      <c r="E27" s="9"/>
      <c r="F27" s="9"/>
      <c r="G27" s="30"/>
      <c r="H27" s="19">
        <f t="shared" si="0"/>
        <v>0</v>
      </c>
      <c r="I27" s="19">
        <v>4</v>
      </c>
      <c r="J27" s="19" t="str">
        <f t="shared" si="40"/>
        <v>0</v>
      </c>
      <c r="K27" s="19" t="str">
        <f t="shared" si="41"/>
        <v>F</v>
      </c>
      <c r="L27" s="19">
        <f t="shared" si="20"/>
        <v>0</v>
      </c>
      <c r="M27" s="19"/>
      <c r="N27" s="43"/>
      <c r="O27" s="43"/>
      <c r="P27" s="30"/>
      <c r="Q27" s="19">
        <f t="shared" si="42"/>
        <v>0</v>
      </c>
      <c r="R27" s="19">
        <v>4</v>
      </c>
      <c r="S27" s="19" t="str">
        <f t="shared" si="21"/>
        <v>0</v>
      </c>
      <c r="T27" s="19" t="str">
        <f t="shared" si="22"/>
        <v>F</v>
      </c>
      <c r="U27" s="19">
        <f t="shared" si="2"/>
        <v>0</v>
      </c>
      <c r="V27" s="19"/>
      <c r="W27" s="43"/>
      <c r="X27" s="43"/>
      <c r="Y27" s="19"/>
      <c r="Z27" s="19">
        <f t="shared" si="3"/>
        <v>0</v>
      </c>
      <c r="AA27" s="19">
        <v>3</v>
      </c>
      <c r="AB27" s="19" t="str">
        <f t="shared" si="23"/>
        <v>0</v>
      </c>
      <c r="AC27" s="19" t="str">
        <f t="shared" si="24"/>
        <v>F</v>
      </c>
      <c r="AD27" s="19">
        <f t="shared" si="4"/>
        <v>0</v>
      </c>
      <c r="AE27" s="19"/>
      <c r="AF27" s="73"/>
      <c r="AG27" s="73"/>
      <c r="AH27" s="30"/>
      <c r="AI27" s="19">
        <f t="shared" si="43"/>
        <v>0</v>
      </c>
      <c r="AJ27" s="19">
        <v>3</v>
      </c>
      <c r="AK27" s="19" t="str">
        <f t="shared" si="25"/>
        <v>0</v>
      </c>
      <c r="AL27" s="19" t="str">
        <f t="shared" si="26"/>
        <v>F</v>
      </c>
      <c r="AM27" s="19">
        <f t="shared" si="6"/>
        <v>0</v>
      </c>
      <c r="AN27" s="19"/>
      <c r="AO27" s="73"/>
      <c r="AP27" s="73"/>
      <c r="AQ27" s="30"/>
      <c r="AR27" s="19">
        <f t="shared" si="7"/>
        <v>0</v>
      </c>
      <c r="AS27" s="19">
        <v>3</v>
      </c>
      <c r="AT27" s="19" t="str">
        <f t="shared" si="27"/>
        <v>0</v>
      </c>
      <c r="AU27" s="19" t="str">
        <f t="shared" si="28"/>
        <v>F</v>
      </c>
      <c r="AV27" s="19">
        <f t="shared" si="8"/>
        <v>0</v>
      </c>
      <c r="AW27" s="19"/>
      <c r="AX27" s="43"/>
      <c r="AY27" s="43"/>
      <c r="AZ27" s="30"/>
      <c r="BA27" s="19">
        <f t="shared" si="9"/>
        <v>0</v>
      </c>
      <c r="BB27" s="19">
        <v>1</v>
      </c>
      <c r="BC27" s="19" t="str">
        <f t="shared" si="29"/>
        <v>0</v>
      </c>
      <c r="BD27" s="19" t="str">
        <f t="shared" si="30"/>
        <v>F</v>
      </c>
      <c r="BE27" s="19">
        <f t="shared" si="10"/>
        <v>0</v>
      </c>
      <c r="BF27" s="86" t="s">
        <v>92</v>
      </c>
      <c r="BG27" s="43"/>
      <c r="BH27" s="43"/>
      <c r="BI27" s="30"/>
      <c r="BJ27" s="19">
        <f t="shared" si="11"/>
        <v>0</v>
      </c>
      <c r="BK27" s="19">
        <v>1</v>
      </c>
      <c r="BL27" s="19" t="str">
        <f t="shared" si="31"/>
        <v>0</v>
      </c>
      <c r="BM27" s="19" t="str">
        <f t="shared" si="32"/>
        <v>F</v>
      </c>
      <c r="BN27" s="19">
        <f t="shared" si="12"/>
        <v>0</v>
      </c>
      <c r="BO27" s="19"/>
      <c r="BP27" s="43"/>
      <c r="BQ27" s="43"/>
      <c r="BR27" s="30"/>
      <c r="BS27" s="19">
        <f t="shared" si="13"/>
        <v>0</v>
      </c>
      <c r="BT27" s="19">
        <v>1</v>
      </c>
      <c r="BU27" s="19" t="str">
        <f t="shared" si="33"/>
        <v>0</v>
      </c>
      <c r="BV27" s="19" t="str">
        <f t="shared" si="34"/>
        <v>F</v>
      </c>
      <c r="BW27" s="19">
        <f t="shared" si="44"/>
        <v>0</v>
      </c>
      <c r="BX27" s="19"/>
      <c r="BY27" s="19"/>
      <c r="BZ27" s="19">
        <f t="shared" si="15"/>
        <v>0</v>
      </c>
      <c r="CA27" s="20">
        <f t="shared" si="35"/>
        <v>0</v>
      </c>
      <c r="CB27" s="35" t="str">
        <f t="shared" si="36"/>
        <v>F</v>
      </c>
      <c r="CC27" s="31">
        <f t="shared" si="16"/>
        <v>0</v>
      </c>
      <c r="CD27" s="31"/>
      <c r="CE27" s="35">
        <f t="shared" si="17"/>
        <v>0</v>
      </c>
      <c r="CF27" s="35">
        <f t="shared" si="37"/>
        <v>0</v>
      </c>
      <c r="CG27" s="31"/>
      <c r="CH27" s="31"/>
      <c r="CI27" s="31" t="str">
        <f t="shared" si="38"/>
        <v>F</v>
      </c>
    </row>
    <row r="28" spans="1:87" ht="15.75" x14ac:dyDescent="0.25">
      <c r="A28" s="44">
        <f t="shared" si="39"/>
        <v>21</v>
      </c>
      <c r="B28" s="121" t="s">
        <v>283</v>
      </c>
      <c r="C28" s="121" t="s">
        <v>284</v>
      </c>
      <c r="D28" s="58" t="s">
        <v>232</v>
      </c>
      <c r="E28" s="9"/>
      <c r="F28" s="9"/>
      <c r="G28" s="30"/>
      <c r="H28" s="19">
        <f t="shared" ref="H28:H63" si="45">SUM(E28:F28)</f>
        <v>0</v>
      </c>
      <c r="I28" s="19">
        <v>4</v>
      </c>
      <c r="J28" s="19" t="str">
        <f t="shared" si="40"/>
        <v>0</v>
      </c>
      <c r="K28" s="19" t="str">
        <f t="shared" si="41"/>
        <v>F</v>
      </c>
      <c r="L28" s="19">
        <f t="shared" si="20"/>
        <v>0</v>
      </c>
      <c r="M28" s="19"/>
      <c r="N28" s="9"/>
      <c r="O28" s="9"/>
      <c r="P28" s="30"/>
      <c r="Q28" s="19">
        <f t="shared" si="42"/>
        <v>0</v>
      </c>
      <c r="R28" s="19">
        <v>4</v>
      </c>
      <c r="S28" s="19" t="str">
        <f t="shared" si="21"/>
        <v>0</v>
      </c>
      <c r="T28" s="19" t="str">
        <f t="shared" si="22"/>
        <v>F</v>
      </c>
      <c r="U28" s="19">
        <f t="shared" si="2"/>
        <v>0</v>
      </c>
      <c r="V28" s="19"/>
      <c r="W28" s="9"/>
      <c r="X28" s="9"/>
      <c r="Y28" s="19"/>
      <c r="Z28" s="19">
        <f t="shared" ref="Z28:Z63" si="46">SUM(W28:X28)</f>
        <v>0</v>
      </c>
      <c r="AA28" s="19">
        <v>3</v>
      </c>
      <c r="AB28" s="19" t="str">
        <f t="shared" si="23"/>
        <v>0</v>
      </c>
      <c r="AC28" s="19" t="str">
        <f t="shared" si="24"/>
        <v>F</v>
      </c>
      <c r="AD28" s="19">
        <f t="shared" ref="AD28:AD63" si="47">AA28*AB28</f>
        <v>0</v>
      </c>
      <c r="AE28" s="19"/>
      <c r="AF28" s="56"/>
      <c r="AG28" s="56"/>
      <c r="AH28" s="30"/>
      <c r="AI28" s="19">
        <f t="shared" si="43"/>
        <v>0</v>
      </c>
      <c r="AJ28" s="19">
        <v>3</v>
      </c>
      <c r="AK28" s="19" t="str">
        <f t="shared" si="25"/>
        <v>0</v>
      </c>
      <c r="AL28" s="19" t="str">
        <f t="shared" si="26"/>
        <v>F</v>
      </c>
      <c r="AM28" s="19">
        <f t="shared" si="6"/>
        <v>0</v>
      </c>
      <c r="AN28" s="19"/>
      <c r="AO28" s="56"/>
      <c r="AP28" s="56"/>
      <c r="AQ28" s="30"/>
      <c r="AR28" s="19">
        <f t="shared" ref="AR28:AR63" si="48">(AO28+AP28)</f>
        <v>0</v>
      </c>
      <c r="AS28" s="19">
        <v>3</v>
      </c>
      <c r="AT28" s="19" t="str">
        <f t="shared" si="27"/>
        <v>0</v>
      </c>
      <c r="AU28" s="19" t="str">
        <f t="shared" si="28"/>
        <v>F</v>
      </c>
      <c r="AV28" s="19">
        <f t="shared" si="8"/>
        <v>0</v>
      </c>
      <c r="AW28" s="19"/>
      <c r="AX28" s="9"/>
      <c r="AY28" s="9"/>
      <c r="AZ28" s="30"/>
      <c r="BA28" s="19">
        <f t="shared" ref="BA28:BA63" si="49">(AX28+AY28)</f>
        <v>0</v>
      </c>
      <c r="BB28" s="19">
        <v>1</v>
      </c>
      <c r="BC28" s="19" t="str">
        <f t="shared" si="29"/>
        <v>0</v>
      </c>
      <c r="BD28" s="19" t="str">
        <f t="shared" si="30"/>
        <v>F</v>
      </c>
      <c r="BE28" s="19">
        <f t="shared" si="10"/>
        <v>0</v>
      </c>
      <c r="BF28" s="53" t="s">
        <v>92</v>
      </c>
      <c r="BG28" s="9"/>
      <c r="BH28" s="9"/>
      <c r="BI28" s="30"/>
      <c r="BJ28" s="19">
        <f t="shared" ref="BJ28:BJ63" si="50">(BG28+BH28)</f>
        <v>0</v>
      </c>
      <c r="BK28" s="19">
        <v>1</v>
      </c>
      <c r="BL28" s="19" t="str">
        <f t="shared" si="31"/>
        <v>0</v>
      </c>
      <c r="BM28" s="19" t="str">
        <f t="shared" si="32"/>
        <v>F</v>
      </c>
      <c r="BN28" s="19">
        <f t="shared" si="12"/>
        <v>0</v>
      </c>
      <c r="BO28" s="19"/>
      <c r="BP28" s="9"/>
      <c r="BQ28" s="9"/>
      <c r="BR28" s="30"/>
      <c r="BS28" s="19">
        <f t="shared" ref="BS28:BS63" si="51">(BP28+BQ28)</f>
        <v>0</v>
      </c>
      <c r="BT28" s="19">
        <v>1</v>
      </c>
      <c r="BU28" s="19" t="str">
        <f t="shared" si="33"/>
        <v>0</v>
      </c>
      <c r="BV28" s="19" t="str">
        <f t="shared" si="34"/>
        <v>F</v>
      </c>
      <c r="BW28" s="19">
        <f t="shared" si="44"/>
        <v>0</v>
      </c>
      <c r="BX28" s="19"/>
      <c r="BY28" s="19"/>
      <c r="BZ28" s="19">
        <f t="shared" si="15"/>
        <v>0</v>
      </c>
      <c r="CA28" s="20">
        <f t="shared" si="35"/>
        <v>0</v>
      </c>
      <c r="CB28" s="35" t="str">
        <f t="shared" si="36"/>
        <v>F</v>
      </c>
      <c r="CC28" s="31">
        <f t="shared" si="16"/>
        <v>0</v>
      </c>
      <c r="CD28" s="31"/>
      <c r="CE28" s="35">
        <f t="shared" si="17"/>
        <v>0</v>
      </c>
      <c r="CF28" s="35">
        <f t="shared" si="37"/>
        <v>0</v>
      </c>
      <c r="CG28" s="31"/>
      <c r="CH28" s="31"/>
      <c r="CI28" s="31" t="str">
        <f t="shared" si="38"/>
        <v>F</v>
      </c>
    </row>
    <row r="29" spans="1:87" ht="15.75" x14ac:dyDescent="0.25">
      <c r="A29" s="44">
        <f t="shared" si="39"/>
        <v>22</v>
      </c>
      <c r="B29" s="120" t="s">
        <v>285</v>
      </c>
      <c r="C29" s="120" t="s">
        <v>286</v>
      </c>
      <c r="D29" s="58" t="s">
        <v>232</v>
      </c>
      <c r="E29" s="9"/>
      <c r="F29" s="9"/>
      <c r="G29" s="30"/>
      <c r="H29" s="19">
        <f t="shared" si="45"/>
        <v>0</v>
      </c>
      <c r="I29" s="19">
        <v>4</v>
      </c>
      <c r="J29" s="19" t="str">
        <f t="shared" si="40"/>
        <v>0</v>
      </c>
      <c r="K29" s="19" t="str">
        <f t="shared" si="41"/>
        <v>F</v>
      </c>
      <c r="L29" s="19">
        <f t="shared" si="20"/>
        <v>0</v>
      </c>
      <c r="M29" s="19"/>
      <c r="N29" s="9"/>
      <c r="O29" s="9"/>
      <c r="P29" s="30"/>
      <c r="Q29" s="19">
        <f t="shared" si="42"/>
        <v>0</v>
      </c>
      <c r="R29" s="19">
        <v>4</v>
      </c>
      <c r="S29" s="19" t="str">
        <f t="shared" si="21"/>
        <v>0</v>
      </c>
      <c r="T29" s="19" t="str">
        <f t="shared" si="22"/>
        <v>F</v>
      </c>
      <c r="U29" s="19">
        <f t="shared" si="2"/>
        <v>0</v>
      </c>
      <c r="V29" s="19"/>
      <c r="W29" s="9"/>
      <c r="X29" s="9"/>
      <c r="Y29" s="19"/>
      <c r="Z29" s="19">
        <f t="shared" si="46"/>
        <v>0</v>
      </c>
      <c r="AA29" s="19">
        <v>3</v>
      </c>
      <c r="AB29" s="19" t="str">
        <f t="shared" si="23"/>
        <v>0</v>
      </c>
      <c r="AC29" s="19" t="str">
        <f t="shared" si="24"/>
        <v>F</v>
      </c>
      <c r="AD29" s="19">
        <f t="shared" si="47"/>
        <v>0</v>
      </c>
      <c r="AE29" s="19"/>
      <c r="AF29" s="56"/>
      <c r="AG29" s="56"/>
      <c r="AH29" s="30"/>
      <c r="AI29" s="19">
        <f t="shared" si="43"/>
        <v>0</v>
      </c>
      <c r="AJ29" s="19">
        <v>3</v>
      </c>
      <c r="AK29" s="19" t="str">
        <f t="shared" si="25"/>
        <v>0</v>
      </c>
      <c r="AL29" s="19" t="str">
        <f t="shared" si="26"/>
        <v>F</v>
      </c>
      <c r="AM29" s="19">
        <f t="shared" si="6"/>
        <v>0</v>
      </c>
      <c r="AN29" s="19"/>
      <c r="AO29" s="56"/>
      <c r="AP29" s="56"/>
      <c r="AQ29" s="30"/>
      <c r="AR29" s="19">
        <f t="shared" si="48"/>
        <v>0</v>
      </c>
      <c r="AS29" s="19">
        <v>3</v>
      </c>
      <c r="AT29" s="19" t="str">
        <f t="shared" si="27"/>
        <v>0</v>
      </c>
      <c r="AU29" s="19" t="str">
        <f t="shared" si="28"/>
        <v>F</v>
      </c>
      <c r="AV29" s="19">
        <f t="shared" si="8"/>
        <v>0</v>
      </c>
      <c r="AW29" s="19"/>
      <c r="AX29" s="9"/>
      <c r="AY29" s="9"/>
      <c r="AZ29" s="30"/>
      <c r="BA29" s="19">
        <f t="shared" si="49"/>
        <v>0</v>
      </c>
      <c r="BB29" s="19">
        <v>1</v>
      </c>
      <c r="BC29" s="19" t="str">
        <f t="shared" si="29"/>
        <v>0</v>
      </c>
      <c r="BD29" s="19" t="str">
        <f t="shared" si="30"/>
        <v>F</v>
      </c>
      <c r="BE29" s="19">
        <f t="shared" si="10"/>
        <v>0</v>
      </c>
      <c r="BF29" s="53" t="s">
        <v>92</v>
      </c>
      <c r="BG29" s="9"/>
      <c r="BH29" s="9"/>
      <c r="BI29" s="30"/>
      <c r="BJ29" s="19">
        <f t="shared" si="50"/>
        <v>0</v>
      </c>
      <c r="BK29" s="19">
        <v>1</v>
      </c>
      <c r="BL29" s="19" t="str">
        <f t="shared" si="31"/>
        <v>0</v>
      </c>
      <c r="BM29" s="19" t="str">
        <f t="shared" si="32"/>
        <v>F</v>
      </c>
      <c r="BN29" s="19">
        <f t="shared" si="12"/>
        <v>0</v>
      </c>
      <c r="BO29" s="19"/>
      <c r="BP29" s="9"/>
      <c r="BQ29" s="9"/>
      <c r="BR29" s="30"/>
      <c r="BS29" s="19">
        <f t="shared" si="51"/>
        <v>0</v>
      </c>
      <c r="BT29" s="19">
        <v>1</v>
      </c>
      <c r="BU29" s="19" t="str">
        <f t="shared" si="33"/>
        <v>0</v>
      </c>
      <c r="BV29" s="19" t="str">
        <f t="shared" si="34"/>
        <v>F</v>
      </c>
      <c r="BW29" s="19">
        <f t="shared" si="44"/>
        <v>0</v>
      </c>
      <c r="BX29" s="19"/>
      <c r="BY29" s="19"/>
      <c r="BZ29" s="19">
        <f t="shared" si="15"/>
        <v>0</v>
      </c>
      <c r="CA29" s="20">
        <f t="shared" si="35"/>
        <v>0</v>
      </c>
      <c r="CB29" s="35" t="str">
        <f t="shared" si="36"/>
        <v>F</v>
      </c>
      <c r="CC29" s="31">
        <f t="shared" si="16"/>
        <v>0</v>
      </c>
      <c r="CD29" s="31"/>
      <c r="CE29" s="35">
        <f t="shared" si="17"/>
        <v>0</v>
      </c>
      <c r="CF29" s="35">
        <f t="shared" si="37"/>
        <v>0</v>
      </c>
      <c r="CG29" s="31"/>
      <c r="CH29" s="31"/>
      <c r="CI29" s="31" t="str">
        <f t="shared" si="38"/>
        <v>F</v>
      </c>
    </row>
    <row r="30" spans="1:87" ht="15.75" x14ac:dyDescent="0.25">
      <c r="A30" s="44">
        <f t="shared" si="39"/>
        <v>23</v>
      </c>
      <c r="B30" s="120" t="s">
        <v>287</v>
      </c>
      <c r="C30" s="120" t="s">
        <v>288</v>
      </c>
      <c r="D30" s="58" t="s">
        <v>232</v>
      </c>
      <c r="E30" s="9"/>
      <c r="F30" s="9"/>
      <c r="G30" s="30"/>
      <c r="H30" s="19">
        <f t="shared" si="45"/>
        <v>0</v>
      </c>
      <c r="I30" s="19">
        <v>4</v>
      </c>
      <c r="J30" s="19" t="str">
        <f t="shared" si="40"/>
        <v>0</v>
      </c>
      <c r="K30" s="19" t="str">
        <f t="shared" si="41"/>
        <v>F</v>
      </c>
      <c r="L30" s="19">
        <f t="shared" si="20"/>
        <v>0</v>
      </c>
      <c r="M30" s="19"/>
      <c r="N30" s="9"/>
      <c r="O30" s="9"/>
      <c r="P30" s="30"/>
      <c r="Q30" s="19">
        <f t="shared" si="42"/>
        <v>0</v>
      </c>
      <c r="R30" s="19">
        <v>4</v>
      </c>
      <c r="S30" s="19" t="str">
        <f t="shared" si="21"/>
        <v>0</v>
      </c>
      <c r="T30" s="19" t="str">
        <f t="shared" si="22"/>
        <v>F</v>
      </c>
      <c r="U30" s="19">
        <f t="shared" si="2"/>
        <v>0</v>
      </c>
      <c r="V30" s="19"/>
      <c r="W30" s="9"/>
      <c r="X30" s="9"/>
      <c r="Y30" s="19"/>
      <c r="Z30" s="19">
        <f t="shared" si="46"/>
        <v>0</v>
      </c>
      <c r="AA30" s="19">
        <v>3</v>
      </c>
      <c r="AB30" s="19" t="str">
        <f t="shared" si="23"/>
        <v>0</v>
      </c>
      <c r="AC30" s="19" t="str">
        <f t="shared" si="24"/>
        <v>F</v>
      </c>
      <c r="AD30" s="19">
        <f t="shared" si="47"/>
        <v>0</v>
      </c>
      <c r="AE30" s="19"/>
      <c r="AF30" s="56"/>
      <c r="AG30" s="56"/>
      <c r="AH30" s="30"/>
      <c r="AI30" s="19">
        <f t="shared" si="43"/>
        <v>0</v>
      </c>
      <c r="AJ30" s="19">
        <v>3</v>
      </c>
      <c r="AK30" s="19" t="str">
        <f t="shared" si="25"/>
        <v>0</v>
      </c>
      <c r="AL30" s="19" t="str">
        <f t="shared" si="26"/>
        <v>F</v>
      </c>
      <c r="AM30" s="19">
        <f t="shared" si="6"/>
        <v>0</v>
      </c>
      <c r="AN30" s="19"/>
      <c r="AO30" s="56"/>
      <c r="AP30" s="57"/>
      <c r="AQ30" s="30"/>
      <c r="AR30" s="19">
        <f t="shared" si="48"/>
        <v>0</v>
      </c>
      <c r="AS30" s="19">
        <v>3</v>
      </c>
      <c r="AT30" s="19" t="str">
        <f t="shared" si="27"/>
        <v>0</v>
      </c>
      <c r="AU30" s="19" t="str">
        <f t="shared" si="28"/>
        <v>F</v>
      </c>
      <c r="AV30" s="19">
        <f t="shared" si="8"/>
        <v>0</v>
      </c>
      <c r="AW30" s="19"/>
      <c r="AX30" s="9"/>
      <c r="AY30" s="9"/>
      <c r="AZ30" s="30"/>
      <c r="BA30" s="19">
        <f t="shared" si="49"/>
        <v>0</v>
      </c>
      <c r="BB30" s="19">
        <v>1</v>
      </c>
      <c r="BC30" s="19" t="str">
        <f t="shared" si="29"/>
        <v>0</v>
      </c>
      <c r="BD30" s="19" t="str">
        <f t="shared" si="30"/>
        <v>F</v>
      </c>
      <c r="BE30" s="19">
        <f t="shared" si="10"/>
        <v>0</v>
      </c>
      <c r="BF30" s="53" t="s">
        <v>97</v>
      </c>
      <c r="BG30" s="9"/>
      <c r="BH30" s="9"/>
      <c r="BI30" s="30"/>
      <c r="BJ30" s="19">
        <f t="shared" si="50"/>
        <v>0</v>
      </c>
      <c r="BK30" s="19">
        <v>1</v>
      </c>
      <c r="BL30" s="19" t="str">
        <f t="shared" si="31"/>
        <v>0</v>
      </c>
      <c r="BM30" s="19" t="str">
        <f t="shared" si="32"/>
        <v>F</v>
      </c>
      <c r="BN30" s="19">
        <f t="shared" si="12"/>
        <v>0</v>
      </c>
      <c r="BO30" s="19"/>
      <c r="BP30" s="9"/>
      <c r="BQ30" s="9"/>
      <c r="BR30" s="30"/>
      <c r="BS30" s="19">
        <f t="shared" si="51"/>
        <v>0</v>
      </c>
      <c r="BT30" s="19">
        <v>1</v>
      </c>
      <c r="BU30" s="19" t="str">
        <f t="shared" si="33"/>
        <v>0</v>
      </c>
      <c r="BV30" s="19" t="str">
        <f t="shared" si="34"/>
        <v>F</v>
      </c>
      <c r="BW30" s="19">
        <f t="shared" si="44"/>
        <v>0</v>
      </c>
      <c r="BX30" s="19"/>
      <c r="BY30" s="19"/>
      <c r="BZ30" s="19">
        <f t="shared" si="15"/>
        <v>0</v>
      </c>
      <c r="CA30" s="20">
        <f t="shared" si="35"/>
        <v>0</v>
      </c>
      <c r="CB30" s="35" t="str">
        <f t="shared" si="36"/>
        <v>F</v>
      </c>
      <c r="CC30" s="31">
        <f t="shared" si="16"/>
        <v>0</v>
      </c>
      <c r="CD30" s="31"/>
      <c r="CE30" s="35">
        <f t="shared" si="17"/>
        <v>0</v>
      </c>
      <c r="CF30" s="35">
        <f t="shared" si="37"/>
        <v>0</v>
      </c>
      <c r="CG30" s="31"/>
      <c r="CH30" s="31"/>
      <c r="CI30" s="31" t="str">
        <f t="shared" si="38"/>
        <v>F</v>
      </c>
    </row>
    <row r="31" spans="1:87" ht="15.75" x14ac:dyDescent="0.25">
      <c r="A31" s="44">
        <f t="shared" si="39"/>
        <v>24</v>
      </c>
      <c r="B31" s="120" t="s">
        <v>289</v>
      </c>
      <c r="C31" s="120" t="s">
        <v>290</v>
      </c>
      <c r="D31" s="58" t="s">
        <v>232</v>
      </c>
      <c r="E31" s="9"/>
      <c r="F31" s="9"/>
      <c r="G31" s="30"/>
      <c r="H31" s="19">
        <f t="shared" si="45"/>
        <v>0</v>
      </c>
      <c r="I31" s="19">
        <v>4</v>
      </c>
      <c r="J31" s="19" t="str">
        <f t="shared" si="40"/>
        <v>0</v>
      </c>
      <c r="K31" s="19" t="str">
        <f t="shared" si="41"/>
        <v>F</v>
      </c>
      <c r="L31" s="19">
        <f t="shared" si="20"/>
        <v>0</v>
      </c>
      <c r="M31" s="19"/>
      <c r="N31" s="9"/>
      <c r="O31" s="9"/>
      <c r="P31" s="30"/>
      <c r="Q31" s="19">
        <f t="shared" si="42"/>
        <v>0</v>
      </c>
      <c r="R31" s="19">
        <v>4</v>
      </c>
      <c r="S31" s="19" t="str">
        <f t="shared" si="21"/>
        <v>0</v>
      </c>
      <c r="T31" s="19" t="str">
        <f t="shared" si="22"/>
        <v>F</v>
      </c>
      <c r="U31" s="19">
        <f t="shared" si="2"/>
        <v>0</v>
      </c>
      <c r="V31" s="19"/>
      <c r="W31" s="9"/>
      <c r="X31" s="9"/>
      <c r="Y31" s="19"/>
      <c r="Z31" s="19">
        <f t="shared" si="46"/>
        <v>0</v>
      </c>
      <c r="AA31" s="19">
        <v>3</v>
      </c>
      <c r="AB31" s="19" t="str">
        <f t="shared" si="23"/>
        <v>0</v>
      </c>
      <c r="AC31" s="19" t="str">
        <f t="shared" si="24"/>
        <v>F</v>
      </c>
      <c r="AD31" s="19">
        <f t="shared" si="47"/>
        <v>0</v>
      </c>
      <c r="AE31" s="19"/>
      <c r="AF31" s="56"/>
      <c r="AG31" s="56"/>
      <c r="AH31" s="30"/>
      <c r="AI31" s="19">
        <f t="shared" si="43"/>
        <v>0</v>
      </c>
      <c r="AJ31" s="19">
        <v>3</v>
      </c>
      <c r="AK31" s="19" t="str">
        <f t="shared" si="25"/>
        <v>0</v>
      </c>
      <c r="AL31" s="19" t="str">
        <f t="shared" si="26"/>
        <v>F</v>
      </c>
      <c r="AM31" s="19">
        <f t="shared" si="6"/>
        <v>0</v>
      </c>
      <c r="AN31" s="19"/>
      <c r="AO31" s="56"/>
      <c r="AP31" s="56"/>
      <c r="AQ31" s="30"/>
      <c r="AR31" s="19">
        <f t="shared" si="48"/>
        <v>0</v>
      </c>
      <c r="AS31" s="19">
        <v>3</v>
      </c>
      <c r="AT31" s="19" t="str">
        <f t="shared" si="27"/>
        <v>0</v>
      </c>
      <c r="AU31" s="19" t="str">
        <f t="shared" si="28"/>
        <v>F</v>
      </c>
      <c r="AV31" s="19">
        <f t="shared" si="8"/>
        <v>0</v>
      </c>
      <c r="AW31" s="19"/>
      <c r="AX31" s="9"/>
      <c r="AY31" s="9"/>
      <c r="AZ31" s="30"/>
      <c r="BA31" s="19">
        <f t="shared" si="49"/>
        <v>0</v>
      </c>
      <c r="BB31" s="19">
        <v>1</v>
      </c>
      <c r="BC31" s="19" t="str">
        <f t="shared" si="29"/>
        <v>0</v>
      </c>
      <c r="BD31" s="19" t="str">
        <f t="shared" si="30"/>
        <v>F</v>
      </c>
      <c r="BE31" s="19">
        <f t="shared" si="10"/>
        <v>0</v>
      </c>
      <c r="BF31" s="53" t="s">
        <v>92</v>
      </c>
      <c r="BG31" s="9"/>
      <c r="BH31" s="9"/>
      <c r="BI31" s="30"/>
      <c r="BJ31" s="19">
        <f t="shared" si="50"/>
        <v>0</v>
      </c>
      <c r="BK31" s="19">
        <v>1</v>
      </c>
      <c r="BL31" s="19" t="str">
        <f t="shared" si="31"/>
        <v>0</v>
      </c>
      <c r="BM31" s="19" t="str">
        <f t="shared" si="32"/>
        <v>F</v>
      </c>
      <c r="BN31" s="19">
        <f t="shared" si="12"/>
        <v>0</v>
      </c>
      <c r="BO31" s="19"/>
      <c r="BP31" s="9"/>
      <c r="BQ31" s="9"/>
      <c r="BR31" s="30"/>
      <c r="BS31" s="19">
        <f t="shared" si="51"/>
        <v>0</v>
      </c>
      <c r="BT31" s="19">
        <v>1</v>
      </c>
      <c r="BU31" s="19" t="str">
        <f t="shared" si="33"/>
        <v>0</v>
      </c>
      <c r="BV31" s="19" t="str">
        <f t="shared" si="34"/>
        <v>F</v>
      </c>
      <c r="BW31" s="19">
        <f t="shared" si="44"/>
        <v>0</v>
      </c>
      <c r="BX31" s="19"/>
      <c r="BY31" s="19"/>
      <c r="BZ31" s="19">
        <f t="shared" si="15"/>
        <v>0</v>
      </c>
      <c r="CA31" s="20">
        <f t="shared" si="35"/>
        <v>0</v>
      </c>
      <c r="CB31" s="35" t="str">
        <f t="shared" si="36"/>
        <v>F</v>
      </c>
      <c r="CC31" s="31">
        <f t="shared" si="16"/>
        <v>0</v>
      </c>
      <c r="CD31" s="31"/>
      <c r="CE31" s="35">
        <f t="shared" si="17"/>
        <v>0</v>
      </c>
      <c r="CF31" s="35">
        <f t="shared" si="37"/>
        <v>0</v>
      </c>
      <c r="CG31" s="31"/>
      <c r="CH31" s="31"/>
      <c r="CI31" s="31" t="str">
        <f t="shared" si="38"/>
        <v>F</v>
      </c>
    </row>
    <row r="32" spans="1:87" ht="15.75" x14ac:dyDescent="0.25">
      <c r="A32" s="44">
        <f t="shared" si="39"/>
        <v>25</v>
      </c>
      <c r="B32" s="120" t="s">
        <v>291</v>
      </c>
      <c r="C32" s="120" t="s">
        <v>292</v>
      </c>
      <c r="D32" s="58" t="s">
        <v>232</v>
      </c>
      <c r="E32" s="9"/>
      <c r="F32" s="9"/>
      <c r="G32" s="30"/>
      <c r="H32" s="19">
        <f t="shared" si="45"/>
        <v>0</v>
      </c>
      <c r="I32" s="19">
        <v>4</v>
      </c>
      <c r="J32" s="19" t="str">
        <f t="shared" si="40"/>
        <v>0</v>
      </c>
      <c r="K32" s="19" t="str">
        <f t="shared" si="41"/>
        <v>F</v>
      </c>
      <c r="L32" s="19">
        <f t="shared" si="20"/>
        <v>0</v>
      </c>
      <c r="M32" s="19"/>
      <c r="N32" s="9"/>
      <c r="O32" s="9"/>
      <c r="P32" s="30"/>
      <c r="Q32" s="19">
        <f t="shared" si="42"/>
        <v>0</v>
      </c>
      <c r="R32" s="19">
        <v>4</v>
      </c>
      <c r="S32" s="19" t="str">
        <f t="shared" si="21"/>
        <v>0</v>
      </c>
      <c r="T32" s="19" t="str">
        <f t="shared" si="22"/>
        <v>F</v>
      </c>
      <c r="U32" s="19">
        <f t="shared" si="2"/>
        <v>0</v>
      </c>
      <c r="V32" s="19"/>
      <c r="W32" s="9"/>
      <c r="X32" s="9"/>
      <c r="Y32" s="19"/>
      <c r="Z32" s="19">
        <f t="shared" si="46"/>
        <v>0</v>
      </c>
      <c r="AA32" s="19">
        <v>3</v>
      </c>
      <c r="AB32" s="19" t="str">
        <f t="shared" si="23"/>
        <v>0</v>
      </c>
      <c r="AC32" s="19" t="str">
        <f t="shared" si="24"/>
        <v>F</v>
      </c>
      <c r="AD32" s="19">
        <f t="shared" si="47"/>
        <v>0</v>
      </c>
      <c r="AE32" s="19"/>
      <c r="AF32" s="56"/>
      <c r="AG32" s="56"/>
      <c r="AH32" s="30"/>
      <c r="AI32" s="19">
        <f t="shared" si="43"/>
        <v>0</v>
      </c>
      <c r="AJ32" s="19">
        <v>3</v>
      </c>
      <c r="AK32" s="19" t="str">
        <f t="shared" si="25"/>
        <v>0</v>
      </c>
      <c r="AL32" s="19" t="str">
        <f t="shared" si="26"/>
        <v>F</v>
      </c>
      <c r="AM32" s="19">
        <f t="shared" si="6"/>
        <v>0</v>
      </c>
      <c r="AN32" s="19"/>
      <c r="AO32" s="56"/>
      <c r="AP32" s="56"/>
      <c r="AQ32" s="30"/>
      <c r="AR32" s="19">
        <f t="shared" si="48"/>
        <v>0</v>
      </c>
      <c r="AS32" s="19">
        <v>3</v>
      </c>
      <c r="AT32" s="19" t="str">
        <f t="shared" si="27"/>
        <v>0</v>
      </c>
      <c r="AU32" s="19" t="str">
        <f t="shared" si="28"/>
        <v>F</v>
      </c>
      <c r="AV32" s="19">
        <f t="shared" si="8"/>
        <v>0</v>
      </c>
      <c r="AW32" s="19"/>
      <c r="AX32" s="9"/>
      <c r="AY32" s="9"/>
      <c r="AZ32" s="30"/>
      <c r="BA32" s="19">
        <f t="shared" si="49"/>
        <v>0</v>
      </c>
      <c r="BB32" s="19">
        <v>1</v>
      </c>
      <c r="BC32" s="19" t="str">
        <f t="shared" si="29"/>
        <v>0</v>
      </c>
      <c r="BD32" s="19" t="str">
        <f t="shared" si="30"/>
        <v>F</v>
      </c>
      <c r="BE32" s="19">
        <f t="shared" si="10"/>
        <v>0</v>
      </c>
      <c r="BF32" s="53" t="s">
        <v>97</v>
      </c>
      <c r="BG32" s="9"/>
      <c r="BH32" s="9"/>
      <c r="BI32" s="30"/>
      <c r="BJ32" s="19">
        <f t="shared" si="50"/>
        <v>0</v>
      </c>
      <c r="BK32" s="19">
        <v>1</v>
      </c>
      <c r="BL32" s="19" t="str">
        <f t="shared" si="31"/>
        <v>0</v>
      </c>
      <c r="BM32" s="19" t="str">
        <f t="shared" si="32"/>
        <v>F</v>
      </c>
      <c r="BN32" s="19">
        <f t="shared" si="12"/>
        <v>0</v>
      </c>
      <c r="BO32" s="19"/>
      <c r="BP32" s="9"/>
      <c r="BQ32" s="9"/>
      <c r="BR32" s="30"/>
      <c r="BS32" s="19">
        <f t="shared" si="51"/>
        <v>0</v>
      </c>
      <c r="BT32" s="19">
        <v>1</v>
      </c>
      <c r="BU32" s="19" t="str">
        <f t="shared" si="33"/>
        <v>0</v>
      </c>
      <c r="BV32" s="19" t="str">
        <f t="shared" si="34"/>
        <v>F</v>
      </c>
      <c r="BW32" s="19">
        <f t="shared" si="44"/>
        <v>0</v>
      </c>
      <c r="BX32" s="19"/>
      <c r="BY32" s="19"/>
      <c r="BZ32" s="19">
        <f t="shared" si="15"/>
        <v>0</v>
      </c>
      <c r="CA32" s="20">
        <f t="shared" si="35"/>
        <v>0</v>
      </c>
      <c r="CB32" s="35" t="str">
        <f t="shared" si="36"/>
        <v>F</v>
      </c>
      <c r="CC32" s="31">
        <f t="shared" si="16"/>
        <v>0</v>
      </c>
      <c r="CD32" s="31"/>
      <c r="CE32" s="35">
        <f t="shared" si="17"/>
        <v>0</v>
      </c>
      <c r="CF32" s="35">
        <f t="shared" si="37"/>
        <v>0</v>
      </c>
      <c r="CG32" s="31"/>
      <c r="CH32" s="31"/>
      <c r="CI32" s="31" t="str">
        <f t="shared" si="38"/>
        <v>F</v>
      </c>
    </row>
    <row r="33" spans="1:87" ht="15.75" x14ac:dyDescent="0.25">
      <c r="A33" s="44">
        <f t="shared" si="39"/>
        <v>26</v>
      </c>
      <c r="B33" s="121" t="s">
        <v>293</v>
      </c>
      <c r="C33" s="121" t="s">
        <v>294</v>
      </c>
      <c r="D33" s="58" t="s">
        <v>232</v>
      </c>
      <c r="E33" s="43"/>
      <c r="F33" s="43"/>
      <c r="G33" s="30"/>
      <c r="H33" s="19">
        <f t="shared" si="45"/>
        <v>0</v>
      </c>
      <c r="I33" s="19">
        <v>4</v>
      </c>
      <c r="J33" s="19" t="str">
        <f t="shared" si="40"/>
        <v>0</v>
      </c>
      <c r="K33" s="19" t="str">
        <f t="shared" si="41"/>
        <v>F</v>
      </c>
      <c r="L33" s="19">
        <f t="shared" si="20"/>
        <v>0</v>
      </c>
      <c r="M33" s="19"/>
      <c r="N33" s="9"/>
      <c r="O33" s="9"/>
      <c r="P33" s="30"/>
      <c r="Q33" s="19">
        <f t="shared" si="42"/>
        <v>0</v>
      </c>
      <c r="R33" s="19">
        <v>4</v>
      </c>
      <c r="S33" s="19" t="str">
        <f t="shared" si="21"/>
        <v>0</v>
      </c>
      <c r="T33" s="19" t="str">
        <f t="shared" si="22"/>
        <v>F</v>
      </c>
      <c r="U33" s="19">
        <f t="shared" si="2"/>
        <v>0</v>
      </c>
      <c r="V33" s="19"/>
      <c r="W33" s="9"/>
      <c r="X33" s="9"/>
      <c r="Y33" s="19"/>
      <c r="Z33" s="19">
        <f t="shared" si="46"/>
        <v>0</v>
      </c>
      <c r="AA33" s="19">
        <v>3</v>
      </c>
      <c r="AB33" s="19" t="str">
        <f t="shared" si="23"/>
        <v>0</v>
      </c>
      <c r="AC33" s="19" t="str">
        <f t="shared" si="24"/>
        <v>F</v>
      </c>
      <c r="AD33" s="19">
        <f t="shared" si="47"/>
        <v>0</v>
      </c>
      <c r="AE33" s="19"/>
      <c r="AF33" s="56"/>
      <c r="AG33" s="56"/>
      <c r="AH33" s="30"/>
      <c r="AI33" s="19">
        <f t="shared" si="43"/>
        <v>0</v>
      </c>
      <c r="AJ33" s="19">
        <v>3</v>
      </c>
      <c r="AK33" s="19" t="str">
        <f t="shared" si="25"/>
        <v>0</v>
      </c>
      <c r="AL33" s="19" t="str">
        <f t="shared" si="26"/>
        <v>F</v>
      </c>
      <c r="AM33" s="19">
        <f t="shared" si="6"/>
        <v>0</v>
      </c>
      <c r="AN33" s="19"/>
      <c r="AO33" s="56"/>
      <c r="AP33" s="56"/>
      <c r="AQ33" s="30"/>
      <c r="AR33" s="19">
        <f t="shared" si="48"/>
        <v>0</v>
      </c>
      <c r="AS33" s="19">
        <v>3</v>
      </c>
      <c r="AT33" s="19" t="str">
        <f t="shared" si="27"/>
        <v>0</v>
      </c>
      <c r="AU33" s="19" t="str">
        <f t="shared" si="28"/>
        <v>F</v>
      </c>
      <c r="AV33" s="19">
        <f t="shared" si="8"/>
        <v>0</v>
      </c>
      <c r="AW33" s="19"/>
      <c r="AX33" s="9"/>
      <c r="AY33" s="9"/>
      <c r="AZ33" s="30"/>
      <c r="BA33" s="19">
        <f t="shared" si="49"/>
        <v>0</v>
      </c>
      <c r="BB33" s="19">
        <v>1</v>
      </c>
      <c r="BC33" s="19" t="str">
        <f t="shared" si="29"/>
        <v>0</v>
      </c>
      <c r="BD33" s="19" t="str">
        <f t="shared" si="30"/>
        <v>F</v>
      </c>
      <c r="BE33" s="19">
        <f t="shared" si="10"/>
        <v>0</v>
      </c>
      <c r="BF33" s="53" t="s">
        <v>92</v>
      </c>
      <c r="BG33" s="9"/>
      <c r="BH33" s="9"/>
      <c r="BI33" s="30"/>
      <c r="BJ33" s="19">
        <f t="shared" si="50"/>
        <v>0</v>
      </c>
      <c r="BK33" s="19">
        <v>1</v>
      </c>
      <c r="BL33" s="19" t="str">
        <f t="shared" si="31"/>
        <v>0</v>
      </c>
      <c r="BM33" s="19" t="str">
        <f t="shared" si="32"/>
        <v>F</v>
      </c>
      <c r="BN33" s="19">
        <f t="shared" si="12"/>
        <v>0</v>
      </c>
      <c r="BO33" s="19"/>
      <c r="BP33" s="9"/>
      <c r="BQ33" s="9"/>
      <c r="BR33" s="30"/>
      <c r="BS33" s="19">
        <f t="shared" si="51"/>
        <v>0</v>
      </c>
      <c r="BT33" s="19">
        <v>1</v>
      </c>
      <c r="BU33" s="19" t="str">
        <f t="shared" si="33"/>
        <v>0</v>
      </c>
      <c r="BV33" s="19" t="str">
        <f t="shared" si="34"/>
        <v>F</v>
      </c>
      <c r="BW33" s="19">
        <f t="shared" si="44"/>
        <v>0</v>
      </c>
      <c r="BX33" s="19"/>
      <c r="BY33" s="19"/>
      <c r="BZ33" s="19">
        <f t="shared" si="15"/>
        <v>0</v>
      </c>
      <c r="CA33" s="20">
        <f t="shared" si="35"/>
        <v>0</v>
      </c>
      <c r="CB33" s="35" t="str">
        <f t="shared" si="36"/>
        <v>F</v>
      </c>
      <c r="CC33" s="31">
        <f t="shared" si="16"/>
        <v>0</v>
      </c>
      <c r="CD33" s="31"/>
      <c r="CE33" s="35">
        <f t="shared" si="17"/>
        <v>0</v>
      </c>
      <c r="CF33" s="35">
        <f t="shared" si="37"/>
        <v>0</v>
      </c>
      <c r="CG33" s="31"/>
      <c r="CH33" s="31"/>
      <c r="CI33" s="31" t="str">
        <f t="shared" si="38"/>
        <v>F</v>
      </c>
    </row>
    <row r="34" spans="1:87" ht="15.75" x14ac:dyDescent="0.25">
      <c r="A34" s="44">
        <f t="shared" si="39"/>
        <v>27</v>
      </c>
      <c r="B34" s="120" t="s">
        <v>295</v>
      </c>
      <c r="C34" s="120" t="s">
        <v>296</v>
      </c>
      <c r="D34" s="58" t="s">
        <v>232</v>
      </c>
      <c r="E34" s="9"/>
      <c r="F34" s="9"/>
      <c r="G34" s="30"/>
      <c r="H34" s="19">
        <f t="shared" si="45"/>
        <v>0</v>
      </c>
      <c r="I34" s="19">
        <v>4</v>
      </c>
      <c r="J34" s="19" t="str">
        <f t="shared" si="40"/>
        <v>0</v>
      </c>
      <c r="K34" s="19" t="str">
        <f t="shared" si="41"/>
        <v>F</v>
      </c>
      <c r="L34" s="19">
        <f t="shared" si="20"/>
        <v>0</v>
      </c>
      <c r="M34" s="19"/>
      <c r="N34" s="43"/>
      <c r="O34" s="43"/>
      <c r="P34" s="30"/>
      <c r="Q34" s="19">
        <f t="shared" ref="Q34:Q63" si="52">SUM(N34:O34)</f>
        <v>0</v>
      </c>
      <c r="R34" s="19">
        <v>4</v>
      </c>
      <c r="S34" s="19" t="str">
        <f t="shared" si="21"/>
        <v>0</v>
      </c>
      <c r="T34" s="19" t="str">
        <f t="shared" si="22"/>
        <v>F</v>
      </c>
      <c r="U34" s="19">
        <f t="shared" si="2"/>
        <v>0</v>
      </c>
      <c r="V34" s="19"/>
      <c r="W34" s="43"/>
      <c r="X34" s="43"/>
      <c r="Y34" s="19"/>
      <c r="Z34" s="19">
        <f t="shared" si="46"/>
        <v>0</v>
      </c>
      <c r="AA34" s="19">
        <v>3</v>
      </c>
      <c r="AB34" s="19" t="str">
        <f t="shared" si="23"/>
        <v>0</v>
      </c>
      <c r="AC34" s="19" t="str">
        <f t="shared" si="24"/>
        <v>F</v>
      </c>
      <c r="AD34" s="19">
        <f t="shared" si="47"/>
        <v>0</v>
      </c>
      <c r="AE34" s="19"/>
      <c r="AF34" s="56"/>
      <c r="AG34" s="56"/>
      <c r="AH34" s="30"/>
      <c r="AI34" s="19">
        <f t="shared" ref="AI34:AI63" si="53">SUM(AF34:AG34)</f>
        <v>0</v>
      </c>
      <c r="AJ34" s="19">
        <v>3</v>
      </c>
      <c r="AK34" s="19" t="str">
        <f t="shared" si="25"/>
        <v>0</v>
      </c>
      <c r="AL34" s="19" t="str">
        <f t="shared" si="26"/>
        <v>F</v>
      </c>
      <c r="AM34" s="19">
        <f t="shared" si="6"/>
        <v>0</v>
      </c>
      <c r="AN34" s="19"/>
      <c r="AO34" s="56"/>
      <c r="AP34" s="56"/>
      <c r="AQ34" s="30"/>
      <c r="AR34" s="19">
        <f t="shared" si="48"/>
        <v>0</v>
      </c>
      <c r="AS34" s="19">
        <v>3</v>
      </c>
      <c r="AT34" s="19" t="str">
        <f t="shared" si="27"/>
        <v>0</v>
      </c>
      <c r="AU34" s="19" t="str">
        <f t="shared" si="28"/>
        <v>F</v>
      </c>
      <c r="AV34" s="19">
        <f t="shared" si="8"/>
        <v>0</v>
      </c>
      <c r="AW34" s="19"/>
      <c r="AX34" s="43"/>
      <c r="AY34" s="43"/>
      <c r="AZ34" s="30"/>
      <c r="BA34" s="19">
        <f t="shared" si="49"/>
        <v>0</v>
      </c>
      <c r="BB34" s="19">
        <v>1</v>
      </c>
      <c r="BC34" s="19" t="str">
        <f t="shared" si="29"/>
        <v>0</v>
      </c>
      <c r="BD34" s="19" t="str">
        <f t="shared" si="30"/>
        <v>F</v>
      </c>
      <c r="BE34" s="19">
        <f t="shared" si="10"/>
        <v>0</v>
      </c>
      <c r="BF34" s="53" t="s">
        <v>97</v>
      </c>
      <c r="BG34" s="43"/>
      <c r="BH34" s="43"/>
      <c r="BI34" s="30"/>
      <c r="BJ34" s="19">
        <f t="shared" si="50"/>
        <v>0</v>
      </c>
      <c r="BK34" s="19">
        <v>1</v>
      </c>
      <c r="BL34" s="19" t="str">
        <f t="shared" si="31"/>
        <v>0</v>
      </c>
      <c r="BM34" s="19" t="str">
        <f t="shared" si="32"/>
        <v>F</v>
      </c>
      <c r="BN34" s="19">
        <f t="shared" si="12"/>
        <v>0</v>
      </c>
      <c r="BO34" s="19"/>
      <c r="BP34" s="43"/>
      <c r="BQ34" s="43"/>
      <c r="BR34" s="30"/>
      <c r="BS34" s="19">
        <f t="shared" si="51"/>
        <v>0</v>
      </c>
      <c r="BT34" s="19">
        <v>1</v>
      </c>
      <c r="BU34" s="19" t="str">
        <f t="shared" si="33"/>
        <v>0</v>
      </c>
      <c r="BV34" s="19" t="str">
        <f t="shared" si="34"/>
        <v>F</v>
      </c>
      <c r="BW34" s="19">
        <f t="shared" si="44"/>
        <v>0</v>
      </c>
      <c r="BX34" s="19"/>
      <c r="BY34" s="19"/>
      <c r="BZ34" s="19">
        <f t="shared" si="15"/>
        <v>0</v>
      </c>
      <c r="CA34" s="20">
        <f t="shared" si="35"/>
        <v>0</v>
      </c>
      <c r="CB34" s="35" t="str">
        <f t="shared" si="36"/>
        <v>F</v>
      </c>
      <c r="CC34" s="31">
        <f t="shared" si="16"/>
        <v>0</v>
      </c>
      <c r="CD34" s="31"/>
      <c r="CE34" s="35">
        <f t="shared" si="17"/>
        <v>0</v>
      </c>
      <c r="CF34" s="35">
        <f t="shared" si="37"/>
        <v>0</v>
      </c>
      <c r="CG34" s="31"/>
      <c r="CH34" s="31"/>
      <c r="CI34" s="31" t="str">
        <f t="shared" si="38"/>
        <v>F</v>
      </c>
    </row>
    <row r="35" spans="1:87" ht="15.75" x14ac:dyDescent="0.25">
      <c r="A35" s="44">
        <f t="shared" si="39"/>
        <v>28</v>
      </c>
      <c r="B35" s="120" t="s">
        <v>297</v>
      </c>
      <c r="C35" s="120" t="s">
        <v>298</v>
      </c>
      <c r="D35" s="58" t="s">
        <v>232</v>
      </c>
      <c r="E35" s="9"/>
      <c r="F35" s="9"/>
      <c r="G35" s="30"/>
      <c r="H35" s="19">
        <f t="shared" si="45"/>
        <v>0</v>
      </c>
      <c r="I35" s="19">
        <v>4</v>
      </c>
      <c r="J35" s="19" t="str">
        <f t="shared" si="40"/>
        <v>0</v>
      </c>
      <c r="K35" s="19" t="str">
        <f t="shared" si="41"/>
        <v>F</v>
      </c>
      <c r="L35" s="19">
        <f t="shared" si="20"/>
        <v>0</v>
      </c>
      <c r="M35" s="19"/>
      <c r="N35" s="9"/>
      <c r="O35" s="9"/>
      <c r="P35" s="30"/>
      <c r="Q35" s="19">
        <f t="shared" si="52"/>
        <v>0</v>
      </c>
      <c r="R35" s="19">
        <v>4</v>
      </c>
      <c r="S35" s="19" t="str">
        <f t="shared" si="21"/>
        <v>0</v>
      </c>
      <c r="T35" s="19" t="str">
        <f t="shared" si="22"/>
        <v>F</v>
      </c>
      <c r="U35" s="19">
        <f t="shared" si="2"/>
        <v>0</v>
      </c>
      <c r="V35" s="19"/>
      <c r="W35" s="9"/>
      <c r="X35" s="9"/>
      <c r="Y35" s="19"/>
      <c r="Z35" s="19">
        <f t="shared" si="46"/>
        <v>0</v>
      </c>
      <c r="AA35" s="19">
        <v>3</v>
      </c>
      <c r="AB35" s="19" t="str">
        <f t="shared" si="23"/>
        <v>0</v>
      </c>
      <c r="AC35" s="19" t="str">
        <f t="shared" si="24"/>
        <v>F</v>
      </c>
      <c r="AD35" s="19">
        <f t="shared" si="47"/>
        <v>0</v>
      </c>
      <c r="AE35" s="19"/>
      <c r="AF35" s="56"/>
      <c r="AG35" s="56"/>
      <c r="AH35" s="30"/>
      <c r="AI35" s="19">
        <f t="shared" si="53"/>
        <v>0</v>
      </c>
      <c r="AJ35" s="19">
        <v>3</v>
      </c>
      <c r="AK35" s="19" t="str">
        <f t="shared" si="25"/>
        <v>0</v>
      </c>
      <c r="AL35" s="19" t="str">
        <f t="shared" si="26"/>
        <v>F</v>
      </c>
      <c r="AM35" s="19">
        <f t="shared" si="6"/>
        <v>0</v>
      </c>
      <c r="AN35" s="19"/>
      <c r="AO35" s="56"/>
      <c r="AP35" s="56"/>
      <c r="AQ35" s="30"/>
      <c r="AR35" s="19">
        <f t="shared" si="48"/>
        <v>0</v>
      </c>
      <c r="AS35" s="19">
        <v>3</v>
      </c>
      <c r="AT35" s="19" t="str">
        <f t="shared" si="27"/>
        <v>0</v>
      </c>
      <c r="AU35" s="19" t="str">
        <f t="shared" si="28"/>
        <v>F</v>
      </c>
      <c r="AV35" s="19">
        <f t="shared" si="8"/>
        <v>0</v>
      </c>
      <c r="AW35" s="19"/>
      <c r="AX35" s="9"/>
      <c r="AY35" s="9"/>
      <c r="AZ35" s="30"/>
      <c r="BA35" s="19">
        <f t="shared" si="49"/>
        <v>0</v>
      </c>
      <c r="BB35" s="19">
        <v>1</v>
      </c>
      <c r="BC35" s="19" t="str">
        <f t="shared" si="29"/>
        <v>0</v>
      </c>
      <c r="BD35" s="19" t="str">
        <f t="shared" si="30"/>
        <v>F</v>
      </c>
      <c r="BE35" s="19">
        <f t="shared" si="10"/>
        <v>0</v>
      </c>
      <c r="BF35" s="53" t="s">
        <v>97</v>
      </c>
      <c r="BG35" s="9"/>
      <c r="BH35" s="9"/>
      <c r="BI35" s="30"/>
      <c r="BJ35" s="19">
        <f t="shared" si="50"/>
        <v>0</v>
      </c>
      <c r="BK35" s="19">
        <v>1</v>
      </c>
      <c r="BL35" s="19" t="str">
        <f t="shared" si="31"/>
        <v>0</v>
      </c>
      <c r="BM35" s="19" t="str">
        <f t="shared" si="32"/>
        <v>F</v>
      </c>
      <c r="BN35" s="19">
        <f t="shared" si="12"/>
        <v>0</v>
      </c>
      <c r="BO35" s="19"/>
      <c r="BP35" s="9"/>
      <c r="BQ35" s="9"/>
      <c r="BR35" s="30"/>
      <c r="BS35" s="19">
        <f t="shared" si="51"/>
        <v>0</v>
      </c>
      <c r="BT35" s="19">
        <v>1</v>
      </c>
      <c r="BU35" s="19" t="str">
        <f t="shared" si="33"/>
        <v>0</v>
      </c>
      <c r="BV35" s="19" t="str">
        <f t="shared" si="34"/>
        <v>F</v>
      </c>
      <c r="BW35" s="19">
        <f t="shared" si="44"/>
        <v>0</v>
      </c>
      <c r="BX35" s="19"/>
      <c r="BY35" s="19"/>
      <c r="BZ35" s="19">
        <f t="shared" si="15"/>
        <v>0</v>
      </c>
      <c r="CA35" s="20">
        <f t="shared" si="35"/>
        <v>0</v>
      </c>
      <c r="CB35" s="35" t="str">
        <f t="shared" si="36"/>
        <v>F</v>
      </c>
      <c r="CC35" s="31">
        <f t="shared" si="16"/>
        <v>0</v>
      </c>
      <c r="CD35" s="31"/>
      <c r="CE35" s="35">
        <f t="shared" si="17"/>
        <v>0</v>
      </c>
      <c r="CF35" s="35">
        <f t="shared" si="37"/>
        <v>0</v>
      </c>
      <c r="CG35" s="31"/>
      <c r="CH35" s="31"/>
      <c r="CI35" s="31" t="str">
        <f t="shared" si="38"/>
        <v>F</v>
      </c>
    </row>
    <row r="36" spans="1:87" ht="15.75" x14ac:dyDescent="0.25">
      <c r="A36" s="44">
        <f t="shared" si="39"/>
        <v>29</v>
      </c>
      <c r="B36" s="120" t="s">
        <v>299</v>
      </c>
      <c r="C36" s="120" t="s">
        <v>300</v>
      </c>
      <c r="D36" s="58" t="s">
        <v>232</v>
      </c>
      <c r="E36" s="9"/>
      <c r="F36" s="9"/>
      <c r="G36" s="30"/>
      <c r="H36" s="19">
        <f t="shared" si="45"/>
        <v>0</v>
      </c>
      <c r="I36" s="19">
        <v>4</v>
      </c>
      <c r="J36" s="19" t="str">
        <f t="shared" si="40"/>
        <v>0</v>
      </c>
      <c r="K36" s="19" t="str">
        <f t="shared" si="41"/>
        <v>F</v>
      </c>
      <c r="L36" s="19">
        <f t="shared" si="20"/>
        <v>0</v>
      </c>
      <c r="M36" s="19"/>
      <c r="N36" s="9"/>
      <c r="O36" s="9"/>
      <c r="P36" s="30"/>
      <c r="Q36" s="19">
        <f t="shared" si="52"/>
        <v>0</v>
      </c>
      <c r="R36" s="19">
        <v>4</v>
      </c>
      <c r="S36" s="19" t="str">
        <f t="shared" si="21"/>
        <v>0</v>
      </c>
      <c r="T36" s="19" t="str">
        <f t="shared" si="22"/>
        <v>F</v>
      </c>
      <c r="U36" s="19">
        <f t="shared" si="2"/>
        <v>0</v>
      </c>
      <c r="V36" s="19"/>
      <c r="W36" s="9"/>
      <c r="X36" s="9"/>
      <c r="Y36" s="19"/>
      <c r="Z36" s="19">
        <f t="shared" si="46"/>
        <v>0</v>
      </c>
      <c r="AA36" s="19">
        <v>3</v>
      </c>
      <c r="AB36" s="19" t="str">
        <f t="shared" si="23"/>
        <v>0</v>
      </c>
      <c r="AC36" s="19" t="str">
        <f t="shared" si="24"/>
        <v>F</v>
      </c>
      <c r="AD36" s="19">
        <f t="shared" si="47"/>
        <v>0</v>
      </c>
      <c r="AE36" s="19"/>
      <c r="AF36" s="56"/>
      <c r="AG36" s="56"/>
      <c r="AH36" s="30"/>
      <c r="AI36" s="19">
        <f t="shared" si="53"/>
        <v>0</v>
      </c>
      <c r="AJ36" s="19">
        <v>3</v>
      </c>
      <c r="AK36" s="19" t="str">
        <f t="shared" si="25"/>
        <v>0</v>
      </c>
      <c r="AL36" s="19" t="str">
        <f t="shared" si="26"/>
        <v>F</v>
      </c>
      <c r="AM36" s="19">
        <f t="shared" si="6"/>
        <v>0</v>
      </c>
      <c r="AN36" s="19"/>
      <c r="AO36" s="56"/>
      <c r="AP36" s="56"/>
      <c r="AQ36" s="30"/>
      <c r="AR36" s="19">
        <f t="shared" si="48"/>
        <v>0</v>
      </c>
      <c r="AS36" s="19">
        <v>3</v>
      </c>
      <c r="AT36" s="19" t="str">
        <f t="shared" si="27"/>
        <v>0</v>
      </c>
      <c r="AU36" s="19" t="str">
        <f t="shared" si="28"/>
        <v>F</v>
      </c>
      <c r="AV36" s="19">
        <f t="shared" si="8"/>
        <v>0</v>
      </c>
      <c r="AW36" s="19"/>
      <c r="AX36" s="9"/>
      <c r="AY36" s="9"/>
      <c r="AZ36" s="30"/>
      <c r="BA36" s="19">
        <f t="shared" si="49"/>
        <v>0</v>
      </c>
      <c r="BB36" s="19">
        <v>1</v>
      </c>
      <c r="BC36" s="19" t="str">
        <f t="shared" si="29"/>
        <v>0</v>
      </c>
      <c r="BD36" s="19" t="str">
        <f t="shared" si="30"/>
        <v>F</v>
      </c>
      <c r="BE36" s="19">
        <f t="shared" si="10"/>
        <v>0</v>
      </c>
      <c r="BF36" s="53" t="s">
        <v>92</v>
      </c>
      <c r="BG36" s="9"/>
      <c r="BH36" s="9"/>
      <c r="BI36" s="30"/>
      <c r="BJ36" s="19">
        <f t="shared" si="50"/>
        <v>0</v>
      </c>
      <c r="BK36" s="19">
        <v>1</v>
      </c>
      <c r="BL36" s="19" t="str">
        <f t="shared" si="31"/>
        <v>0</v>
      </c>
      <c r="BM36" s="19" t="str">
        <f t="shared" si="32"/>
        <v>F</v>
      </c>
      <c r="BN36" s="19">
        <f t="shared" si="12"/>
        <v>0</v>
      </c>
      <c r="BO36" s="19"/>
      <c r="BP36" s="9"/>
      <c r="BQ36" s="9"/>
      <c r="BR36" s="30"/>
      <c r="BS36" s="19">
        <f t="shared" si="51"/>
        <v>0</v>
      </c>
      <c r="BT36" s="19">
        <v>1</v>
      </c>
      <c r="BU36" s="19" t="str">
        <f t="shared" si="33"/>
        <v>0</v>
      </c>
      <c r="BV36" s="19" t="str">
        <f t="shared" si="34"/>
        <v>F</v>
      </c>
      <c r="BW36" s="19">
        <f t="shared" si="44"/>
        <v>0</v>
      </c>
      <c r="BX36" s="19"/>
      <c r="BY36" s="19"/>
      <c r="BZ36" s="19">
        <f t="shared" si="15"/>
        <v>0</v>
      </c>
      <c r="CA36" s="20">
        <f t="shared" si="35"/>
        <v>0</v>
      </c>
      <c r="CB36" s="35" t="str">
        <f t="shared" si="36"/>
        <v>F</v>
      </c>
      <c r="CC36" s="31">
        <f t="shared" si="16"/>
        <v>0</v>
      </c>
      <c r="CD36" s="31"/>
      <c r="CE36" s="35">
        <f t="shared" si="17"/>
        <v>0</v>
      </c>
      <c r="CF36" s="35">
        <f t="shared" si="37"/>
        <v>0</v>
      </c>
      <c r="CG36" s="31"/>
      <c r="CH36" s="31"/>
      <c r="CI36" s="31" t="str">
        <f t="shared" si="38"/>
        <v>F</v>
      </c>
    </row>
    <row r="37" spans="1:87" ht="15.75" x14ac:dyDescent="0.25">
      <c r="A37" s="44">
        <f t="shared" si="39"/>
        <v>30</v>
      </c>
      <c r="B37" s="120" t="s">
        <v>301</v>
      </c>
      <c r="C37" s="120" t="s">
        <v>302</v>
      </c>
      <c r="D37" s="58" t="s">
        <v>232</v>
      </c>
      <c r="E37" s="64"/>
      <c r="F37" s="64"/>
      <c r="G37" s="30"/>
      <c r="H37" s="19">
        <f t="shared" si="45"/>
        <v>0</v>
      </c>
      <c r="I37" s="19">
        <v>4</v>
      </c>
      <c r="J37" s="19" t="str">
        <f t="shared" si="40"/>
        <v>0</v>
      </c>
      <c r="K37" s="19" t="str">
        <f t="shared" si="41"/>
        <v>F</v>
      </c>
      <c r="L37" s="19">
        <f t="shared" si="20"/>
        <v>0</v>
      </c>
      <c r="M37" s="19"/>
      <c r="N37" s="9"/>
      <c r="O37" s="9"/>
      <c r="P37" s="30"/>
      <c r="Q37" s="19">
        <f t="shared" si="52"/>
        <v>0</v>
      </c>
      <c r="R37" s="19">
        <v>4</v>
      </c>
      <c r="S37" s="19" t="str">
        <f t="shared" si="21"/>
        <v>0</v>
      </c>
      <c r="T37" s="19" t="str">
        <f t="shared" si="22"/>
        <v>F</v>
      </c>
      <c r="U37" s="19">
        <f t="shared" si="2"/>
        <v>0</v>
      </c>
      <c r="V37" s="19"/>
      <c r="W37" s="9"/>
      <c r="X37" s="9"/>
      <c r="Y37" s="19"/>
      <c r="Z37" s="19">
        <f t="shared" si="46"/>
        <v>0</v>
      </c>
      <c r="AA37" s="19">
        <v>3</v>
      </c>
      <c r="AB37" s="19" t="str">
        <f t="shared" si="23"/>
        <v>0</v>
      </c>
      <c r="AC37" s="19" t="str">
        <f t="shared" si="24"/>
        <v>F</v>
      </c>
      <c r="AD37" s="19">
        <f t="shared" si="47"/>
        <v>0</v>
      </c>
      <c r="AE37" s="19"/>
      <c r="AF37" s="56"/>
      <c r="AG37" s="56"/>
      <c r="AH37" s="30"/>
      <c r="AI37" s="19">
        <f t="shared" si="53"/>
        <v>0</v>
      </c>
      <c r="AJ37" s="19">
        <v>3</v>
      </c>
      <c r="AK37" s="19" t="str">
        <f t="shared" si="25"/>
        <v>0</v>
      </c>
      <c r="AL37" s="19" t="str">
        <f t="shared" si="26"/>
        <v>F</v>
      </c>
      <c r="AM37" s="19">
        <f t="shared" si="6"/>
        <v>0</v>
      </c>
      <c r="AN37" s="19"/>
      <c r="AO37" s="56"/>
      <c r="AP37" s="56"/>
      <c r="AQ37" s="30"/>
      <c r="AR37" s="19">
        <f t="shared" si="48"/>
        <v>0</v>
      </c>
      <c r="AS37" s="19">
        <v>3</v>
      </c>
      <c r="AT37" s="19" t="str">
        <f t="shared" si="27"/>
        <v>0</v>
      </c>
      <c r="AU37" s="19" t="str">
        <f t="shared" si="28"/>
        <v>F</v>
      </c>
      <c r="AV37" s="19">
        <f t="shared" si="8"/>
        <v>0</v>
      </c>
      <c r="AW37" s="19"/>
      <c r="AX37" s="9"/>
      <c r="AY37" s="9"/>
      <c r="AZ37" s="30"/>
      <c r="BA37" s="19">
        <f t="shared" si="49"/>
        <v>0</v>
      </c>
      <c r="BB37" s="19">
        <v>1</v>
      </c>
      <c r="BC37" s="19" t="str">
        <f t="shared" si="29"/>
        <v>0</v>
      </c>
      <c r="BD37" s="19" t="str">
        <f t="shared" si="30"/>
        <v>F</v>
      </c>
      <c r="BE37" s="19">
        <f t="shared" si="10"/>
        <v>0</v>
      </c>
      <c r="BF37" s="53" t="s">
        <v>92</v>
      </c>
      <c r="BG37" s="9"/>
      <c r="BH37" s="9"/>
      <c r="BI37" s="30"/>
      <c r="BJ37" s="19">
        <f t="shared" si="50"/>
        <v>0</v>
      </c>
      <c r="BK37" s="19">
        <v>1</v>
      </c>
      <c r="BL37" s="19" t="str">
        <f t="shared" si="31"/>
        <v>0</v>
      </c>
      <c r="BM37" s="19" t="str">
        <f t="shared" si="32"/>
        <v>F</v>
      </c>
      <c r="BN37" s="19">
        <f t="shared" si="12"/>
        <v>0</v>
      </c>
      <c r="BO37" s="19"/>
      <c r="BP37" s="9"/>
      <c r="BQ37" s="9"/>
      <c r="BR37" s="30"/>
      <c r="BS37" s="19">
        <f t="shared" si="51"/>
        <v>0</v>
      </c>
      <c r="BT37" s="19">
        <v>1</v>
      </c>
      <c r="BU37" s="19" t="str">
        <f t="shared" si="33"/>
        <v>0</v>
      </c>
      <c r="BV37" s="19" t="str">
        <f t="shared" si="34"/>
        <v>F</v>
      </c>
      <c r="BW37" s="19">
        <f t="shared" si="44"/>
        <v>0</v>
      </c>
      <c r="BX37" s="19"/>
      <c r="BY37" s="19"/>
      <c r="BZ37" s="19">
        <f t="shared" si="15"/>
        <v>0</v>
      </c>
      <c r="CA37" s="20">
        <f t="shared" si="35"/>
        <v>0</v>
      </c>
      <c r="CB37" s="35" t="str">
        <f t="shared" si="36"/>
        <v>F</v>
      </c>
      <c r="CC37" s="31">
        <f t="shared" si="16"/>
        <v>0</v>
      </c>
      <c r="CD37" s="31"/>
      <c r="CE37" s="35">
        <f t="shared" si="17"/>
        <v>0</v>
      </c>
      <c r="CF37" s="35">
        <f t="shared" si="37"/>
        <v>0</v>
      </c>
      <c r="CG37" s="31"/>
      <c r="CH37" s="31"/>
      <c r="CI37" s="31" t="str">
        <f t="shared" si="38"/>
        <v>F</v>
      </c>
    </row>
    <row r="38" spans="1:87" ht="15.75" x14ac:dyDescent="0.25">
      <c r="A38" s="44">
        <f t="shared" si="39"/>
        <v>31</v>
      </c>
      <c r="B38" s="120" t="s">
        <v>303</v>
      </c>
      <c r="C38" s="120" t="s">
        <v>304</v>
      </c>
      <c r="D38" s="58" t="s">
        <v>232</v>
      </c>
      <c r="E38" s="9"/>
      <c r="F38" s="9"/>
      <c r="G38" s="30"/>
      <c r="H38" s="19">
        <f t="shared" si="45"/>
        <v>0</v>
      </c>
      <c r="I38" s="19">
        <v>4</v>
      </c>
      <c r="J38" s="19" t="str">
        <f t="shared" si="40"/>
        <v>0</v>
      </c>
      <c r="K38" s="19" t="str">
        <f t="shared" si="41"/>
        <v>F</v>
      </c>
      <c r="L38" s="19">
        <f t="shared" si="20"/>
        <v>0</v>
      </c>
      <c r="M38" s="19"/>
      <c r="N38" s="43"/>
      <c r="O38" s="43"/>
      <c r="P38" s="30"/>
      <c r="Q38" s="19">
        <f t="shared" si="52"/>
        <v>0</v>
      </c>
      <c r="R38" s="19">
        <v>4</v>
      </c>
      <c r="S38" s="19" t="str">
        <f t="shared" si="21"/>
        <v>0</v>
      </c>
      <c r="T38" s="19" t="str">
        <f t="shared" si="22"/>
        <v>F</v>
      </c>
      <c r="U38" s="19">
        <f t="shared" si="2"/>
        <v>0</v>
      </c>
      <c r="V38" s="19"/>
      <c r="W38" s="43"/>
      <c r="X38" s="43"/>
      <c r="Y38" s="19"/>
      <c r="Z38" s="19">
        <f t="shared" si="46"/>
        <v>0</v>
      </c>
      <c r="AA38" s="19">
        <v>3</v>
      </c>
      <c r="AB38" s="19" t="str">
        <f t="shared" si="23"/>
        <v>0</v>
      </c>
      <c r="AC38" s="19" t="str">
        <f t="shared" si="24"/>
        <v>F</v>
      </c>
      <c r="AD38" s="19">
        <f t="shared" si="47"/>
        <v>0</v>
      </c>
      <c r="AE38" s="19"/>
      <c r="AF38" s="56"/>
      <c r="AG38" s="56"/>
      <c r="AH38" s="30"/>
      <c r="AI38" s="19">
        <f t="shared" si="53"/>
        <v>0</v>
      </c>
      <c r="AJ38" s="19">
        <v>3</v>
      </c>
      <c r="AK38" s="19" t="str">
        <f t="shared" si="25"/>
        <v>0</v>
      </c>
      <c r="AL38" s="19" t="str">
        <f t="shared" si="26"/>
        <v>F</v>
      </c>
      <c r="AM38" s="19">
        <f t="shared" si="6"/>
        <v>0</v>
      </c>
      <c r="AN38" s="19"/>
      <c r="AO38" s="56"/>
      <c r="AP38" s="56"/>
      <c r="AQ38" s="30"/>
      <c r="AR38" s="19">
        <f t="shared" si="48"/>
        <v>0</v>
      </c>
      <c r="AS38" s="19">
        <v>3</v>
      </c>
      <c r="AT38" s="19" t="str">
        <f t="shared" si="27"/>
        <v>0</v>
      </c>
      <c r="AU38" s="19" t="str">
        <f t="shared" si="28"/>
        <v>F</v>
      </c>
      <c r="AV38" s="19">
        <f t="shared" si="8"/>
        <v>0</v>
      </c>
      <c r="AW38" s="19"/>
      <c r="AX38" s="43"/>
      <c r="AY38" s="43"/>
      <c r="AZ38" s="30"/>
      <c r="BA38" s="19">
        <f t="shared" si="49"/>
        <v>0</v>
      </c>
      <c r="BB38" s="19">
        <v>1</v>
      </c>
      <c r="BC38" s="19" t="str">
        <f t="shared" si="29"/>
        <v>0</v>
      </c>
      <c r="BD38" s="19" t="str">
        <f t="shared" si="30"/>
        <v>F</v>
      </c>
      <c r="BE38" s="19">
        <f t="shared" si="10"/>
        <v>0</v>
      </c>
      <c r="BF38" s="53" t="s">
        <v>97</v>
      </c>
      <c r="BG38" s="43"/>
      <c r="BH38" s="43"/>
      <c r="BI38" s="30"/>
      <c r="BJ38" s="19">
        <f t="shared" si="50"/>
        <v>0</v>
      </c>
      <c r="BK38" s="19">
        <v>1</v>
      </c>
      <c r="BL38" s="19" t="str">
        <f t="shared" si="31"/>
        <v>0</v>
      </c>
      <c r="BM38" s="19" t="str">
        <f t="shared" si="32"/>
        <v>F</v>
      </c>
      <c r="BN38" s="19">
        <f t="shared" si="12"/>
        <v>0</v>
      </c>
      <c r="BO38" s="19"/>
      <c r="BP38" s="43"/>
      <c r="BQ38" s="43"/>
      <c r="BR38" s="30"/>
      <c r="BS38" s="19">
        <f t="shared" si="51"/>
        <v>0</v>
      </c>
      <c r="BT38" s="19">
        <v>1</v>
      </c>
      <c r="BU38" s="19" t="str">
        <f t="shared" si="33"/>
        <v>0</v>
      </c>
      <c r="BV38" s="19" t="str">
        <f t="shared" si="34"/>
        <v>F</v>
      </c>
      <c r="BW38" s="19">
        <f t="shared" si="44"/>
        <v>0</v>
      </c>
      <c r="BX38" s="19"/>
      <c r="BY38" s="19"/>
      <c r="BZ38" s="19">
        <f t="shared" si="15"/>
        <v>0</v>
      </c>
      <c r="CA38" s="20">
        <f t="shared" si="35"/>
        <v>0</v>
      </c>
      <c r="CB38" s="35" t="str">
        <f t="shared" si="36"/>
        <v>F</v>
      </c>
      <c r="CC38" s="31">
        <f t="shared" si="16"/>
        <v>0</v>
      </c>
      <c r="CD38" s="31"/>
      <c r="CE38" s="35">
        <f t="shared" si="17"/>
        <v>0</v>
      </c>
      <c r="CF38" s="35">
        <f t="shared" si="37"/>
        <v>0</v>
      </c>
      <c r="CG38" s="31"/>
      <c r="CH38" s="31"/>
      <c r="CI38" s="31" t="str">
        <f t="shared" si="38"/>
        <v>F</v>
      </c>
    </row>
    <row r="39" spans="1:87" ht="15.75" x14ac:dyDescent="0.25">
      <c r="A39" s="44">
        <f t="shared" si="39"/>
        <v>32</v>
      </c>
      <c r="B39" s="120" t="s">
        <v>305</v>
      </c>
      <c r="C39" s="120" t="s">
        <v>306</v>
      </c>
      <c r="D39" s="58" t="s">
        <v>232</v>
      </c>
      <c r="E39" s="9"/>
      <c r="F39" s="9"/>
      <c r="G39" s="30"/>
      <c r="H39" s="19">
        <f t="shared" si="45"/>
        <v>0</v>
      </c>
      <c r="I39" s="19">
        <v>4</v>
      </c>
      <c r="J39" s="19" t="str">
        <f t="shared" si="40"/>
        <v>0</v>
      </c>
      <c r="K39" s="19" t="str">
        <f t="shared" si="41"/>
        <v>F</v>
      </c>
      <c r="L39" s="19">
        <f t="shared" si="20"/>
        <v>0</v>
      </c>
      <c r="M39" s="19"/>
      <c r="N39" s="9"/>
      <c r="O39" s="9"/>
      <c r="P39" s="30"/>
      <c r="Q39" s="19">
        <f t="shared" si="52"/>
        <v>0</v>
      </c>
      <c r="R39" s="19">
        <v>4</v>
      </c>
      <c r="S39" s="19" t="str">
        <f t="shared" si="21"/>
        <v>0</v>
      </c>
      <c r="T39" s="19" t="str">
        <f t="shared" si="22"/>
        <v>F</v>
      </c>
      <c r="U39" s="19">
        <f t="shared" si="2"/>
        <v>0</v>
      </c>
      <c r="V39" s="19"/>
      <c r="W39" s="9"/>
      <c r="X39" s="9"/>
      <c r="Y39" s="19"/>
      <c r="Z39" s="19">
        <f t="shared" si="46"/>
        <v>0</v>
      </c>
      <c r="AA39" s="19">
        <v>3</v>
      </c>
      <c r="AB39" s="19" t="str">
        <f t="shared" si="23"/>
        <v>0</v>
      </c>
      <c r="AC39" s="19" t="str">
        <f t="shared" si="24"/>
        <v>F</v>
      </c>
      <c r="AD39" s="19">
        <f t="shared" si="47"/>
        <v>0</v>
      </c>
      <c r="AE39" s="19"/>
      <c r="AF39" s="56"/>
      <c r="AG39" s="56"/>
      <c r="AH39" s="30"/>
      <c r="AI39" s="19">
        <f t="shared" si="53"/>
        <v>0</v>
      </c>
      <c r="AJ39" s="19">
        <v>3</v>
      </c>
      <c r="AK39" s="19" t="str">
        <f t="shared" si="25"/>
        <v>0</v>
      </c>
      <c r="AL39" s="19" t="str">
        <f t="shared" si="26"/>
        <v>F</v>
      </c>
      <c r="AM39" s="19">
        <f t="shared" si="6"/>
        <v>0</v>
      </c>
      <c r="AN39" s="19"/>
      <c r="AO39" s="56"/>
      <c r="AP39" s="56"/>
      <c r="AQ39" s="30"/>
      <c r="AR39" s="19">
        <f t="shared" si="48"/>
        <v>0</v>
      </c>
      <c r="AS39" s="19">
        <v>3</v>
      </c>
      <c r="AT39" s="19" t="str">
        <f t="shared" si="27"/>
        <v>0</v>
      </c>
      <c r="AU39" s="19" t="str">
        <f t="shared" si="28"/>
        <v>F</v>
      </c>
      <c r="AV39" s="19">
        <f t="shared" si="8"/>
        <v>0</v>
      </c>
      <c r="AW39" s="19"/>
      <c r="AX39" s="9"/>
      <c r="AY39" s="9"/>
      <c r="AZ39" s="30"/>
      <c r="BA39" s="19">
        <f t="shared" si="49"/>
        <v>0</v>
      </c>
      <c r="BB39" s="19">
        <v>1</v>
      </c>
      <c r="BC39" s="19" t="str">
        <f t="shared" si="29"/>
        <v>0</v>
      </c>
      <c r="BD39" s="19" t="str">
        <f t="shared" si="30"/>
        <v>F</v>
      </c>
      <c r="BE39" s="19">
        <f t="shared" si="10"/>
        <v>0</v>
      </c>
      <c r="BF39" s="53" t="s">
        <v>92</v>
      </c>
      <c r="BG39" s="9"/>
      <c r="BH39" s="9"/>
      <c r="BI39" s="30"/>
      <c r="BJ39" s="19">
        <f t="shared" si="50"/>
        <v>0</v>
      </c>
      <c r="BK39" s="19">
        <v>1</v>
      </c>
      <c r="BL39" s="19" t="str">
        <f t="shared" si="31"/>
        <v>0</v>
      </c>
      <c r="BM39" s="19" t="str">
        <f t="shared" si="32"/>
        <v>F</v>
      </c>
      <c r="BN39" s="19">
        <f t="shared" si="12"/>
        <v>0</v>
      </c>
      <c r="BO39" s="19"/>
      <c r="BP39" s="9"/>
      <c r="BQ39" s="9"/>
      <c r="BR39" s="30"/>
      <c r="BS39" s="19">
        <f t="shared" si="51"/>
        <v>0</v>
      </c>
      <c r="BT39" s="19">
        <v>1</v>
      </c>
      <c r="BU39" s="19" t="str">
        <f t="shared" si="33"/>
        <v>0</v>
      </c>
      <c r="BV39" s="19" t="str">
        <f t="shared" si="34"/>
        <v>F</v>
      </c>
      <c r="BW39" s="19">
        <f t="shared" si="44"/>
        <v>0</v>
      </c>
      <c r="BX39" s="19"/>
      <c r="BY39" s="19"/>
      <c r="BZ39" s="19">
        <f t="shared" si="15"/>
        <v>0</v>
      </c>
      <c r="CA39" s="20">
        <f t="shared" si="35"/>
        <v>0</v>
      </c>
      <c r="CB39" s="35" t="str">
        <f t="shared" si="36"/>
        <v>F</v>
      </c>
      <c r="CC39" s="31">
        <f t="shared" si="16"/>
        <v>0</v>
      </c>
      <c r="CD39" s="31"/>
      <c r="CE39" s="35">
        <f t="shared" si="17"/>
        <v>0</v>
      </c>
      <c r="CF39" s="35">
        <f t="shared" si="37"/>
        <v>0</v>
      </c>
      <c r="CG39" s="31"/>
      <c r="CH39" s="31"/>
      <c r="CI39" s="31" t="str">
        <f t="shared" si="38"/>
        <v>F</v>
      </c>
    </row>
    <row r="40" spans="1:87" ht="15.75" x14ac:dyDescent="0.25">
      <c r="A40" s="44">
        <f t="shared" si="39"/>
        <v>33</v>
      </c>
      <c r="B40" s="120" t="s">
        <v>307</v>
      </c>
      <c r="C40" s="120" t="s">
        <v>308</v>
      </c>
      <c r="D40" s="58" t="s">
        <v>232</v>
      </c>
      <c r="E40" s="9"/>
      <c r="F40" s="9"/>
      <c r="G40" s="30"/>
      <c r="H40" s="19">
        <f t="shared" si="45"/>
        <v>0</v>
      </c>
      <c r="I40" s="19">
        <v>4</v>
      </c>
      <c r="J40" s="19" t="str">
        <f t="shared" si="40"/>
        <v>0</v>
      </c>
      <c r="K40" s="19" t="str">
        <f t="shared" si="41"/>
        <v>F</v>
      </c>
      <c r="L40" s="19">
        <f t="shared" si="20"/>
        <v>0</v>
      </c>
      <c r="M40" s="19"/>
      <c r="N40" s="9"/>
      <c r="O40" s="9"/>
      <c r="P40" s="30"/>
      <c r="Q40" s="19">
        <f t="shared" si="52"/>
        <v>0</v>
      </c>
      <c r="R40" s="19">
        <v>4</v>
      </c>
      <c r="S40" s="19" t="str">
        <f t="shared" si="21"/>
        <v>0</v>
      </c>
      <c r="T40" s="19" t="str">
        <f t="shared" si="22"/>
        <v>F</v>
      </c>
      <c r="U40" s="19">
        <f t="shared" si="2"/>
        <v>0</v>
      </c>
      <c r="V40" s="19"/>
      <c r="W40" s="9"/>
      <c r="X40" s="9"/>
      <c r="Y40" s="19"/>
      <c r="Z40" s="19">
        <f t="shared" si="46"/>
        <v>0</v>
      </c>
      <c r="AA40" s="19">
        <v>3</v>
      </c>
      <c r="AB40" s="19" t="str">
        <f t="shared" si="23"/>
        <v>0</v>
      </c>
      <c r="AC40" s="19" t="str">
        <f t="shared" si="24"/>
        <v>F</v>
      </c>
      <c r="AD40" s="19">
        <f t="shared" si="47"/>
        <v>0</v>
      </c>
      <c r="AE40" s="19"/>
      <c r="AF40" s="56"/>
      <c r="AG40" s="56"/>
      <c r="AH40" s="30"/>
      <c r="AI40" s="19">
        <f t="shared" si="53"/>
        <v>0</v>
      </c>
      <c r="AJ40" s="19">
        <v>3</v>
      </c>
      <c r="AK40" s="19" t="str">
        <f t="shared" si="25"/>
        <v>0</v>
      </c>
      <c r="AL40" s="19" t="str">
        <f t="shared" si="26"/>
        <v>F</v>
      </c>
      <c r="AM40" s="19">
        <f t="shared" si="6"/>
        <v>0</v>
      </c>
      <c r="AN40" s="19"/>
      <c r="AO40" s="56"/>
      <c r="AP40" s="56"/>
      <c r="AQ40" s="30"/>
      <c r="AR40" s="19">
        <f t="shared" si="48"/>
        <v>0</v>
      </c>
      <c r="AS40" s="19">
        <v>3</v>
      </c>
      <c r="AT40" s="19" t="str">
        <f t="shared" si="27"/>
        <v>0</v>
      </c>
      <c r="AU40" s="19" t="str">
        <f t="shared" si="28"/>
        <v>F</v>
      </c>
      <c r="AV40" s="19">
        <f t="shared" si="8"/>
        <v>0</v>
      </c>
      <c r="AW40" s="19"/>
      <c r="AX40" s="9"/>
      <c r="AY40" s="9"/>
      <c r="AZ40" s="30"/>
      <c r="BA40" s="19">
        <f t="shared" si="49"/>
        <v>0</v>
      </c>
      <c r="BB40" s="19">
        <v>1</v>
      </c>
      <c r="BC40" s="19" t="str">
        <f t="shared" si="29"/>
        <v>0</v>
      </c>
      <c r="BD40" s="19" t="str">
        <f t="shared" si="30"/>
        <v>F</v>
      </c>
      <c r="BE40" s="19">
        <f t="shared" si="10"/>
        <v>0</v>
      </c>
      <c r="BF40" s="53" t="s">
        <v>97</v>
      </c>
      <c r="BG40" s="9"/>
      <c r="BH40" s="9"/>
      <c r="BI40" s="30"/>
      <c r="BJ40" s="19">
        <f t="shared" si="50"/>
        <v>0</v>
      </c>
      <c r="BK40" s="19">
        <v>1</v>
      </c>
      <c r="BL40" s="19" t="str">
        <f t="shared" si="31"/>
        <v>0</v>
      </c>
      <c r="BM40" s="19" t="str">
        <f t="shared" si="32"/>
        <v>F</v>
      </c>
      <c r="BN40" s="19">
        <f t="shared" si="12"/>
        <v>0</v>
      </c>
      <c r="BO40" s="19"/>
      <c r="BP40" s="9"/>
      <c r="BQ40" s="9"/>
      <c r="BR40" s="30"/>
      <c r="BS40" s="19">
        <f t="shared" si="51"/>
        <v>0</v>
      </c>
      <c r="BT40" s="19">
        <v>1</v>
      </c>
      <c r="BU40" s="19" t="str">
        <f t="shared" si="33"/>
        <v>0</v>
      </c>
      <c r="BV40" s="19" t="str">
        <f t="shared" si="34"/>
        <v>F</v>
      </c>
      <c r="BW40" s="19">
        <f t="shared" si="44"/>
        <v>0</v>
      </c>
      <c r="BX40" s="19"/>
      <c r="BY40" s="19"/>
      <c r="BZ40" s="19">
        <f t="shared" ref="BZ40:BZ63" si="54">L40+U40+AD40+AM40+AV40+BE40+BN40+BW40</f>
        <v>0</v>
      </c>
      <c r="CA40" s="20">
        <f t="shared" si="35"/>
        <v>0</v>
      </c>
      <c r="CB40" s="35" t="str">
        <f t="shared" si="36"/>
        <v>F</v>
      </c>
      <c r="CC40" s="31">
        <f t="shared" si="16"/>
        <v>0</v>
      </c>
      <c r="CD40" s="31"/>
      <c r="CE40" s="35">
        <f t="shared" ref="CE40:CE63" si="55">SUM(BS40,BJ40,BA40,AR40,AI40,Z40,Q40,H40)</f>
        <v>0</v>
      </c>
      <c r="CF40" s="35">
        <f t="shared" si="37"/>
        <v>0</v>
      </c>
      <c r="CG40" s="31"/>
      <c r="CH40" s="31"/>
      <c r="CI40" s="31" t="str">
        <f t="shared" si="38"/>
        <v>F</v>
      </c>
    </row>
    <row r="41" spans="1:87" ht="15.75" x14ac:dyDescent="0.25">
      <c r="A41" s="44">
        <f t="shared" si="39"/>
        <v>34</v>
      </c>
      <c r="B41" s="120" t="s">
        <v>309</v>
      </c>
      <c r="C41" s="120" t="s">
        <v>310</v>
      </c>
      <c r="D41" s="58" t="s">
        <v>232</v>
      </c>
      <c r="E41" s="9"/>
      <c r="F41" s="9"/>
      <c r="G41" s="30"/>
      <c r="H41" s="19">
        <f t="shared" si="45"/>
        <v>0</v>
      </c>
      <c r="I41" s="19">
        <v>4</v>
      </c>
      <c r="J41" s="19" t="str">
        <f t="shared" si="40"/>
        <v>0</v>
      </c>
      <c r="K41" s="19" t="str">
        <f t="shared" si="41"/>
        <v>F</v>
      </c>
      <c r="L41" s="19">
        <f t="shared" si="20"/>
        <v>0</v>
      </c>
      <c r="M41" s="19"/>
      <c r="N41" s="9"/>
      <c r="O41" s="9"/>
      <c r="P41" s="30"/>
      <c r="Q41" s="19">
        <f t="shared" si="52"/>
        <v>0</v>
      </c>
      <c r="R41" s="19">
        <v>4</v>
      </c>
      <c r="S41" s="19" t="str">
        <f t="shared" si="21"/>
        <v>0</v>
      </c>
      <c r="T41" s="19" t="str">
        <f t="shared" si="22"/>
        <v>F</v>
      </c>
      <c r="U41" s="19">
        <f t="shared" si="2"/>
        <v>0</v>
      </c>
      <c r="V41" s="19"/>
      <c r="W41" s="9"/>
      <c r="X41" s="9"/>
      <c r="Y41" s="19"/>
      <c r="Z41" s="19">
        <f t="shared" si="46"/>
        <v>0</v>
      </c>
      <c r="AA41" s="19">
        <v>3</v>
      </c>
      <c r="AB41" s="19" t="str">
        <f t="shared" si="23"/>
        <v>0</v>
      </c>
      <c r="AC41" s="19" t="str">
        <f t="shared" si="24"/>
        <v>F</v>
      </c>
      <c r="AD41" s="19">
        <f t="shared" si="47"/>
        <v>0</v>
      </c>
      <c r="AE41" s="19"/>
      <c r="AF41" s="56"/>
      <c r="AG41" s="56"/>
      <c r="AH41" s="30"/>
      <c r="AI41" s="19">
        <f t="shared" si="53"/>
        <v>0</v>
      </c>
      <c r="AJ41" s="19">
        <v>3</v>
      </c>
      <c r="AK41" s="19" t="str">
        <f t="shared" si="25"/>
        <v>0</v>
      </c>
      <c r="AL41" s="19" t="str">
        <f t="shared" si="26"/>
        <v>F</v>
      </c>
      <c r="AM41" s="19">
        <f t="shared" si="6"/>
        <v>0</v>
      </c>
      <c r="AN41" s="19"/>
      <c r="AO41" s="56"/>
      <c r="AP41" s="56"/>
      <c r="AQ41" s="30"/>
      <c r="AR41" s="19">
        <f t="shared" si="48"/>
        <v>0</v>
      </c>
      <c r="AS41" s="19">
        <v>3</v>
      </c>
      <c r="AT41" s="19" t="str">
        <f t="shared" si="27"/>
        <v>0</v>
      </c>
      <c r="AU41" s="19" t="str">
        <f t="shared" si="28"/>
        <v>F</v>
      </c>
      <c r="AV41" s="19">
        <f t="shared" si="8"/>
        <v>0</v>
      </c>
      <c r="AW41" s="19"/>
      <c r="AX41" s="9"/>
      <c r="AY41" s="9"/>
      <c r="AZ41" s="30"/>
      <c r="BA41" s="19">
        <f t="shared" si="49"/>
        <v>0</v>
      </c>
      <c r="BB41" s="19">
        <v>1</v>
      </c>
      <c r="BC41" s="19" t="str">
        <f t="shared" si="29"/>
        <v>0</v>
      </c>
      <c r="BD41" s="19" t="str">
        <f t="shared" si="30"/>
        <v>F</v>
      </c>
      <c r="BE41" s="19">
        <f t="shared" si="10"/>
        <v>0</v>
      </c>
      <c r="BF41" s="53" t="s">
        <v>92</v>
      </c>
      <c r="BG41" s="9"/>
      <c r="BH41" s="9"/>
      <c r="BI41" s="30"/>
      <c r="BJ41" s="19">
        <f t="shared" si="50"/>
        <v>0</v>
      </c>
      <c r="BK41" s="19">
        <v>1</v>
      </c>
      <c r="BL41" s="19" t="str">
        <f t="shared" si="31"/>
        <v>0</v>
      </c>
      <c r="BM41" s="19" t="str">
        <f t="shared" si="32"/>
        <v>F</v>
      </c>
      <c r="BN41" s="19">
        <f t="shared" si="12"/>
        <v>0</v>
      </c>
      <c r="BO41" s="19"/>
      <c r="BP41" s="9"/>
      <c r="BQ41" s="9"/>
      <c r="BR41" s="30"/>
      <c r="BS41" s="19">
        <f t="shared" si="51"/>
        <v>0</v>
      </c>
      <c r="BT41" s="19">
        <v>1</v>
      </c>
      <c r="BU41" s="19" t="str">
        <f t="shared" si="33"/>
        <v>0</v>
      </c>
      <c r="BV41" s="19" t="str">
        <f t="shared" si="34"/>
        <v>F</v>
      </c>
      <c r="BW41" s="19">
        <f t="shared" si="44"/>
        <v>0</v>
      </c>
      <c r="BX41" s="19"/>
      <c r="BY41" s="19"/>
      <c r="BZ41" s="19">
        <f t="shared" si="54"/>
        <v>0</v>
      </c>
      <c r="CA41" s="20">
        <f t="shared" si="35"/>
        <v>0</v>
      </c>
      <c r="CB41" s="35" t="str">
        <f t="shared" si="36"/>
        <v>F</v>
      </c>
      <c r="CC41" s="31">
        <f t="shared" si="16"/>
        <v>0</v>
      </c>
      <c r="CD41" s="31"/>
      <c r="CE41" s="35">
        <f t="shared" si="55"/>
        <v>0</v>
      </c>
      <c r="CF41" s="35">
        <f t="shared" si="37"/>
        <v>0</v>
      </c>
      <c r="CG41" s="31"/>
      <c r="CH41" s="31"/>
      <c r="CI41" s="31" t="str">
        <f t="shared" si="38"/>
        <v>F</v>
      </c>
    </row>
    <row r="42" spans="1:87" ht="15.75" x14ac:dyDescent="0.25">
      <c r="A42" s="44">
        <f t="shared" si="39"/>
        <v>35</v>
      </c>
      <c r="B42" s="120" t="s">
        <v>311</v>
      </c>
      <c r="C42" s="120" t="s">
        <v>312</v>
      </c>
      <c r="D42" s="58" t="s">
        <v>232</v>
      </c>
      <c r="E42" s="9"/>
      <c r="F42" s="9"/>
      <c r="G42" s="30"/>
      <c r="H42" s="19">
        <f t="shared" si="45"/>
        <v>0</v>
      </c>
      <c r="I42" s="19">
        <v>4</v>
      </c>
      <c r="J42" s="19" t="str">
        <f t="shared" si="40"/>
        <v>0</v>
      </c>
      <c r="K42" s="19" t="str">
        <f t="shared" si="41"/>
        <v>F</v>
      </c>
      <c r="L42" s="19">
        <f t="shared" si="20"/>
        <v>0</v>
      </c>
      <c r="M42" s="19"/>
      <c r="N42" s="9"/>
      <c r="O42" s="9"/>
      <c r="P42" s="30"/>
      <c r="Q42" s="19">
        <f t="shared" si="52"/>
        <v>0</v>
      </c>
      <c r="R42" s="19">
        <v>4</v>
      </c>
      <c r="S42" s="19" t="str">
        <f t="shared" si="21"/>
        <v>0</v>
      </c>
      <c r="T42" s="19" t="str">
        <f t="shared" si="22"/>
        <v>F</v>
      </c>
      <c r="U42" s="19">
        <f t="shared" si="2"/>
        <v>0</v>
      </c>
      <c r="V42" s="19"/>
      <c r="W42" s="9"/>
      <c r="X42" s="9"/>
      <c r="Y42" s="19"/>
      <c r="Z42" s="19">
        <f t="shared" si="46"/>
        <v>0</v>
      </c>
      <c r="AA42" s="19">
        <v>3</v>
      </c>
      <c r="AB42" s="19" t="str">
        <f t="shared" si="23"/>
        <v>0</v>
      </c>
      <c r="AC42" s="19" t="str">
        <f t="shared" si="24"/>
        <v>F</v>
      </c>
      <c r="AD42" s="19">
        <f t="shared" si="47"/>
        <v>0</v>
      </c>
      <c r="AE42" s="19"/>
      <c r="AF42" s="56"/>
      <c r="AG42" s="56"/>
      <c r="AH42" s="30"/>
      <c r="AI42" s="19">
        <f t="shared" si="53"/>
        <v>0</v>
      </c>
      <c r="AJ42" s="19">
        <v>3</v>
      </c>
      <c r="AK42" s="19" t="str">
        <f t="shared" si="25"/>
        <v>0</v>
      </c>
      <c r="AL42" s="19" t="str">
        <f t="shared" si="26"/>
        <v>F</v>
      </c>
      <c r="AM42" s="19">
        <f t="shared" si="6"/>
        <v>0</v>
      </c>
      <c r="AN42" s="19"/>
      <c r="AO42" s="56"/>
      <c r="AP42" s="56"/>
      <c r="AQ42" s="30"/>
      <c r="AR42" s="19">
        <f t="shared" si="48"/>
        <v>0</v>
      </c>
      <c r="AS42" s="19">
        <v>3</v>
      </c>
      <c r="AT42" s="19" t="str">
        <f t="shared" si="27"/>
        <v>0</v>
      </c>
      <c r="AU42" s="19" t="str">
        <f t="shared" si="28"/>
        <v>F</v>
      </c>
      <c r="AV42" s="19">
        <f t="shared" si="8"/>
        <v>0</v>
      </c>
      <c r="AW42" s="19"/>
      <c r="AX42" s="9"/>
      <c r="AY42" s="9"/>
      <c r="AZ42" s="30"/>
      <c r="BA42" s="19">
        <f t="shared" si="49"/>
        <v>0</v>
      </c>
      <c r="BB42" s="19">
        <v>1</v>
      </c>
      <c r="BC42" s="19" t="str">
        <f t="shared" si="29"/>
        <v>0</v>
      </c>
      <c r="BD42" s="19" t="str">
        <f t="shared" si="30"/>
        <v>F</v>
      </c>
      <c r="BE42" s="19">
        <f t="shared" si="10"/>
        <v>0</v>
      </c>
      <c r="BF42" s="53" t="s">
        <v>92</v>
      </c>
      <c r="BG42" s="9"/>
      <c r="BH42" s="9"/>
      <c r="BI42" s="30"/>
      <c r="BJ42" s="19">
        <f t="shared" si="50"/>
        <v>0</v>
      </c>
      <c r="BK42" s="19">
        <v>1</v>
      </c>
      <c r="BL42" s="19" t="str">
        <f t="shared" si="31"/>
        <v>0</v>
      </c>
      <c r="BM42" s="19" t="str">
        <f t="shared" si="32"/>
        <v>F</v>
      </c>
      <c r="BN42" s="19">
        <f t="shared" si="12"/>
        <v>0</v>
      </c>
      <c r="BO42" s="19"/>
      <c r="BP42" s="9"/>
      <c r="BQ42" s="9"/>
      <c r="BR42" s="30"/>
      <c r="BS42" s="19">
        <f t="shared" si="51"/>
        <v>0</v>
      </c>
      <c r="BT42" s="19">
        <v>1</v>
      </c>
      <c r="BU42" s="19" t="str">
        <f t="shared" si="33"/>
        <v>0</v>
      </c>
      <c r="BV42" s="19" t="str">
        <f t="shared" si="34"/>
        <v>F</v>
      </c>
      <c r="BW42" s="19">
        <f t="shared" si="44"/>
        <v>0</v>
      </c>
      <c r="BX42" s="19"/>
      <c r="BY42" s="19"/>
      <c r="BZ42" s="19">
        <f t="shared" si="54"/>
        <v>0</v>
      </c>
      <c r="CA42" s="20">
        <f t="shared" si="35"/>
        <v>0</v>
      </c>
      <c r="CB42" s="35" t="str">
        <f t="shared" si="36"/>
        <v>F</v>
      </c>
      <c r="CC42" s="31">
        <f t="shared" si="16"/>
        <v>0</v>
      </c>
      <c r="CD42" s="31"/>
      <c r="CE42" s="35">
        <f t="shared" si="55"/>
        <v>0</v>
      </c>
      <c r="CF42" s="35">
        <f t="shared" si="37"/>
        <v>0</v>
      </c>
      <c r="CG42" s="31"/>
      <c r="CH42" s="31"/>
      <c r="CI42" s="31" t="str">
        <f t="shared" si="38"/>
        <v>F</v>
      </c>
    </row>
    <row r="43" spans="1:87" ht="15.75" x14ac:dyDescent="0.25">
      <c r="A43" s="44">
        <f t="shared" si="39"/>
        <v>36</v>
      </c>
      <c r="B43" s="120" t="s">
        <v>313</v>
      </c>
      <c r="C43" s="120" t="s">
        <v>314</v>
      </c>
      <c r="D43" s="58" t="s">
        <v>232</v>
      </c>
      <c r="E43" s="9"/>
      <c r="F43" s="9"/>
      <c r="G43" s="30"/>
      <c r="H43" s="19">
        <f t="shared" si="45"/>
        <v>0</v>
      </c>
      <c r="I43" s="19">
        <v>4</v>
      </c>
      <c r="J43" s="19" t="str">
        <f t="shared" si="40"/>
        <v>0</v>
      </c>
      <c r="K43" s="19" t="str">
        <f t="shared" si="41"/>
        <v>F</v>
      </c>
      <c r="L43" s="19">
        <f t="shared" si="20"/>
        <v>0</v>
      </c>
      <c r="M43" s="19"/>
      <c r="N43" s="9"/>
      <c r="O43" s="9"/>
      <c r="P43" s="30"/>
      <c r="Q43" s="19">
        <f t="shared" si="52"/>
        <v>0</v>
      </c>
      <c r="R43" s="19">
        <v>4</v>
      </c>
      <c r="S43" s="19" t="str">
        <f t="shared" si="21"/>
        <v>0</v>
      </c>
      <c r="T43" s="19" t="str">
        <f t="shared" si="22"/>
        <v>F</v>
      </c>
      <c r="U43" s="19">
        <f t="shared" si="2"/>
        <v>0</v>
      </c>
      <c r="V43" s="19"/>
      <c r="W43" s="9"/>
      <c r="X43" s="9"/>
      <c r="Y43" s="19"/>
      <c r="Z43" s="19">
        <f t="shared" si="46"/>
        <v>0</v>
      </c>
      <c r="AA43" s="19">
        <v>3</v>
      </c>
      <c r="AB43" s="19" t="str">
        <f t="shared" si="23"/>
        <v>0</v>
      </c>
      <c r="AC43" s="19" t="str">
        <f t="shared" si="24"/>
        <v>F</v>
      </c>
      <c r="AD43" s="19">
        <f t="shared" si="47"/>
        <v>0</v>
      </c>
      <c r="AE43" s="19"/>
      <c r="AF43" s="56"/>
      <c r="AG43" s="56"/>
      <c r="AH43" s="30"/>
      <c r="AI43" s="19">
        <f t="shared" si="53"/>
        <v>0</v>
      </c>
      <c r="AJ43" s="19">
        <v>3</v>
      </c>
      <c r="AK43" s="19" t="str">
        <f t="shared" si="25"/>
        <v>0</v>
      </c>
      <c r="AL43" s="19" t="str">
        <f t="shared" si="26"/>
        <v>F</v>
      </c>
      <c r="AM43" s="19">
        <f t="shared" si="6"/>
        <v>0</v>
      </c>
      <c r="AN43" s="19"/>
      <c r="AO43" s="56"/>
      <c r="AP43" s="56"/>
      <c r="AQ43" s="30"/>
      <c r="AR43" s="19">
        <f t="shared" si="48"/>
        <v>0</v>
      </c>
      <c r="AS43" s="19">
        <v>3</v>
      </c>
      <c r="AT43" s="19" t="str">
        <f t="shared" si="27"/>
        <v>0</v>
      </c>
      <c r="AU43" s="19" t="str">
        <f t="shared" si="28"/>
        <v>F</v>
      </c>
      <c r="AV43" s="19">
        <f t="shared" si="8"/>
        <v>0</v>
      </c>
      <c r="AW43" s="19"/>
      <c r="AX43" s="9"/>
      <c r="AY43" s="9"/>
      <c r="AZ43" s="30"/>
      <c r="BA43" s="19">
        <f t="shared" si="49"/>
        <v>0</v>
      </c>
      <c r="BB43" s="19">
        <v>1</v>
      </c>
      <c r="BC43" s="19" t="str">
        <f t="shared" si="29"/>
        <v>0</v>
      </c>
      <c r="BD43" s="19" t="str">
        <f t="shared" si="30"/>
        <v>F</v>
      </c>
      <c r="BE43" s="19">
        <f t="shared" si="10"/>
        <v>0</v>
      </c>
      <c r="BF43" s="53" t="s">
        <v>97</v>
      </c>
      <c r="BG43" s="9"/>
      <c r="BH43" s="9"/>
      <c r="BI43" s="30"/>
      <c r="BJ43" s="19">
        <f t="shared" si="50"/>
        <v>0</v>
      </c>
      <c r="BK43" s="19">
        <v>1</v>
      </c>
      <c r="BL43" s="19" t="str">
        <f t="shared" si="31"/>
        <v>0</v>
      </c>
      <c r="BM43" s="19" t="str">
        <f t="shared" si="32"/>
        <v>F</v>
      </c>
      <c r="BN43" s="19">
        <f t="shared" si="12"/>
        <v>0</v>
      </c>
      <c r="BO43" s="19"/>
      <c r="BP43" s="9"/>
      <c r="BQ43" s="9"/>
      <c r="BR43" s="30"/>
      <c r="BS43" s="19">
        <f t="shared" si="51"/>
        <v>0</v>
      </c>
      <c r="BT43" s="19">
        <v>1</v>
      </c>
      <c r="BU43" s="19" t="str">
        <f t="shared" si="33"/>
        <v>0</v>
      </c>
      <c r="BV43" s="19" t="str">
        <f t="shared" si="34"/>
        <v>F</v>
      </c>
      <c r="BW43" s="19">
        <f t="shared" si="44"/>
        <v>0</v>
      </c>
      <c r="BX43" s="19"/>
      <c r="BY43" s="19"/>
      <c r="BZ43" s="19">
        <f t="shared" si="54"/>
        <v>0</v>
      </c>
      <c r="CA43" s="20">
        <f t="shared" si="35"/>
        <v>0</v>
      </c>
      <c r="CB43" s="35" t="str">
        <f t="shared" si="36"/>
        <v>F</v>
      </c>
      <c r="CC43" s="31">
        <f t="shared" si="16"/>
        <v>0</v>
      </c>
      <c r="CD43" s="31"/>
      <c r="CE43" s="35">
        <f t="shared" si="55"/>
        <v>0</v>
      </c>
      <c r="CF43" s="35">
        <f t="shared" si="37"/>
        <v>0</v>
      </c>
      <c r="CG43" s="31"/>
      <c r="CH43" s="31"/>
      <c r="CI43" s="31" t="str">
        <f t="shared" si="38"/>
        <v>F</v>
      </c>
    </row>
    <row r="44" spans="1:87" ht="15.75" x14ac:dyDescent="0.25">
      <c r="A44" s="44">
        <f t="shared" si="39"/>
        <v>37</v>
      </c>
      <c r="B44" s="120" t="s">
        <v>315</v>
      </c>
      <c r="C44" s="120" t="s">
        <v>316</v>
      </c>
      <c r="D44" s="58" t="s">
        <v>232</v>
      </c>
      <c r="E44" s="9"/>
      <c r="F44" s="9"/>
      <c r="G44" s="30"/>
      <c r="H44" s="19">
        <f t="shared" si="45"/>
        <v>0</v>
      </c>
      <c r="I44" s="19">
        <v>4</v>
      </c>
      <c r="J44" s="19" t="str">
        <f t="shared" si="40"/>
        <v>0</v>
      </c>
      <c r="K44" s="19" t="str">
        <f t="shared" si="41"/>
        <v>F</v>
      </c>
      <c r="L44" s="19">
        <f t="shared" si="20"/>
        <v>0</v>
      </c>
      <c r="M44" s="19"/>
      <c r="N44" s="9"/>
      <c r="O44" s="9"/>
      <c r="P44" s="30"/>
      <c r="Q44" s="19">
        <f t="shared" si="52"/>
        <v>0</v>
      </c>
      <c r="R44" s="19">
        <v>4</v>
      </c>
      <c r="S44" s="19" t="str">
        <f t="shared" si="21"/>
        <v>0</v>
      </c>
      <c r="T44" s="19" t="str">
        <f t="shared" si="22"/>
        <v>F</v>
      </c>
      <c r="U44" s="19">
        <f t="shared" si="2"/>
        <v>0</v>
      </c>
      <c r="V44" s="19"/>
      <c r="W44" s="9"/>
      <c r="X44" s="9"/>
      <c r="Y44" s="19"/>
      <c r="Z44" s="19">
        <f t="shared" si="46"/>
        <v>0</v>
      </c>
      <c r="AA44" s="19">
        <v>3</v>
      </c>
      <c r="AB44" s="19" t="str">
        <f t="shared" si="23"/>
        <v>0</v>
      </c>
      <c r="AC44" s="19" t="str">
        <f t="shared" si="24"/>
        <v>F</v>
      </c>
      <c r="AD44" s="19">
        <f t="shared" si="47"/>
        <v>0</v>
      </c>
      <c r="AE44" s="19"/>
      <c r="AF44" s="56"/>
      <c r="AG44" s="56"/>
      <c r="AH44" s="30"/>
      <c r="AI44" s="19">
        <f t="shared" si="53"/>
        <v>0</v>
      </c>
      <c r="AJ44" s="19">
        <v>3</v>
      </c>
      <c r="AK44" s="19" t="str">
        <f t="shared" si="25"/>
        <v>0</v>
      </c>
      <c r="AL44" s="19" t="str">
        <f t="shared" si="26"/>
        <v>F</v>
      </c>
      <c r="AM44" s="19">
        <f t="shared" si="6"/>
        <v>0</v>
      </c>
      <c r="AN44" s="19"/>
      <c r="AO44" s="56"/>
      <c r="AP44" s="56"/>
      <c r="AQ44" s="30"/>
      <c r="AR44" s="19">
        <f t="shared" si="48"/>
        <v>0</v>
      </c>
      <c r="AS44" s="19">
        <v>3</v>
      </c>
      <c r="AT44" s="19" t="str">
        <f t="shared" si="27"/>
        <v>0</v>
      </c>
      <c r="AU44" s="19" t="str">
        <f t="shared" si="28"/>
        <v>F</v>
      </c>
      <c r="AV44" s="19">
        <f t="shared" si="8"/>
        <v>0</v>
      </c>
      <c r="AW44" s="19"/>
      <c r="AX44" s="9"/>
      <c r="AY44" s="9"/>
      <c r="AZ44" s="30"/>
      <c r="BA44" s="19">
        <f t="shared" si="49"/>
        <v>0</v>
      </c>
      <c r="BB44" s="19">
        <v>1</v>
      </c>
      <c r="BC44" s="19" t="str">
        <f t="shared" si="29"/>
        <v>0</v>
      </c>
      <c r="BD44" s="19" t="str">
        <f t="shared" si="30"/>
        <v>F</v>
      </c>
      <c r="BE44" s="19">
        <f t="shared" si="10"/>
        <v>0</v>
      </c>
      <c r="BF44" s="53" t="s">
        <v>92</v>
      </c>
      <c r="BG44" s="9"/>
      <c r="BH44" s="9"/>
      <c r="BI44" s="30"/>
      <c r="BJ44" s="19">
        <f t="shared" si="50"/>
        <v>0</v>
      </c>
      <c r="BK44" s="19">
        <v>1</v>
      </c>
      <c r="BL44" s="19" t="str">
        <f t="shared" si="31"/>
        <v>0</v>
      </c>
      <c r="BM44" s="19" t="str">
        <f t="shared" si="32"/>
        <v>F</v>
      </c>
      <c r="BN44" s="19">
        <f t="shared" si="12"/>
        <v>0</v>
      </c>
      <c r="BO44" s="19"/>
      <c r="BP44" s="9"/>
      <c r="BQ44" s="9"/>
      <c r="BR44" s="30"/>
      <c r="BS44" s="19">
        <f t="shared" si="51"/>
        <v>0</v>
      </c>
      <c r="BT44" s="19">
        <v>1</v>
      </c>
      <c r="BU44" s="19" t="str">
        <f t="shared" si="33"/>
        <v>0</v>
      </c>
      <c r="BV44" s="19" t="str">
        <f t="shared" si="34"/>
        <v>F</v>
      </c>
      <c r="BW44" s="19">
        <f t="shared" si="44"/>
        <v>0</v>
      </c>
      <c r="BX44" s="19"/>
      <c r="BY44" s="19"/>
      <c r="BZ44" s="19">
        <f t="shared" si="54"/>
        <v>0</v>
      </c>
      <c r="CA44" s="20">
        <f t="shared" si="35"/>
        <v>0</v>
      </c>
      <c r="CB44" s="35" t="str">
        <f t="shared" si="36"/>
        <v>F</v>
      </c>
      <c r="CC44" s="31">
        <f t="shared" si="16"/>
        <v>0</v>
      </c>
      <c r="CD44" s="31"/>
      <c r="CE44" s="35">
        <f t="shared" si="55"/>
        <v>0</v>
      </c>
      <c r="CF44" s="35">
        <f t="shared" si="37"/>
        <v>0</v>
      </c>
      <c r="CG44" s="31"/>
      <c r="CH44" s="31"/>
      <c r="CI44" s="31" t="str">
        <f t="shared" si="38"/>
        <v>F</v>
      </c>
    </row>
    <row r="45" spans="1:87" ht="15.75" x14ac:dyDescent="0.25">
      <c r="A45" s="44">
        <f t="shared" si="39"/>
        <v>38</v>
      </c>
      <c r="B45" s="121" t="s">
        <v>317</v>
      </c>
      <c r="C45" s="121" t="s">
        <v>318</v>
      </c>
      <c r="D45" s="58" t="s">
        <v>232</v>
      </c>
      <c r="E45" s="64"/>
      <c r="F45" s="64"/>
      <c r="G45" s="30"/>
      <c r="H45" s="19">
        <f t="shared" si="45"/>
        <v>0</v>
      </c>
      <c r="I45" s="19">
        <v>4</v>
      </c>
      <c r="J45" s="19" t="str">
        <f t="shared" si="40"/>
        <v>0</v>
      </c>
      <c r="K45" s="19" t="str">
        <f t="shared" si="41"/>
        <v>F</v>
      </c>
      <c r="L45" s="19">
        <f t="shared" si="20"/>
        <v>0</v>
      </c>
      <c r="M45" s="19"/>
      <c r="N45" s="9"/>
      <c r="O45" s="9"/>
      <c r="P45" s="30"/>
      <c r="Q45" s="19">
        <f t="shared" si="52"/>
        <v>0</v>
      </c>
      <c r="R45" s="19">
        <v>4</v>
      </c>
      <c r="S45" s="19" t="str">
        <f t="shared" si="21"/>
        <v>0</v>
      </c>
      <c r="T45" s="19" t="str">
        <f t="shared" si="22"/>
        <v>F</v>
      </c>
      <c r="U45" s="19">
        <f t="shared" si="2"/>
        <v>0</v>
      </c>
      <c r="V45" s="19"/>
      <c r="W45" s="9"/>
      <c r="X45" s="9"/>
      <c r="Y45" s="19"/>
      <c r="Z45" s="19">
        <f t="shared" si="46"/>
        <v>0</v>
      </c>
      <c r="AA45" s="19">
        <v>3</v>
      </c>
      <c r="AB45" s="19" t="str">
        <f t="shared" si="23"/>
        <v>0</v>
      </c>
      <c r="AC45" s="19" t="str">
        <f t="shared" si="24"/>
        <v>F</v>
      </c>
      <c r="AD45" s="19">
        <f t="shared" si="47"/>
        <v>0</v>
      </c>
      <c r="AE45" s="19"/>
      <c r="AF45" s="56"/>
      <c r="AG45" s="56"/>
      <c r="AH45" s="30"/>
      <c r="AI45" s="19">
        <f t="shared" si="53"/>
        <v>0</v>
      </c>
      <c r="AJ45" s="19">
        <v>3</v>
      </c>
      <c r="AK45" s="19" t="str">
        <f t="shared" si="25"/>
        <v>0</v>
      </c>
      <c r="AL45" s="19" t="str">
        <f t="shared" si="26"/>
        <v>F</v>
      </c>
      <c r="AM45" s="19">
        <f t="shared" si="6"/>
        <v>0</v>
      </c>
      <c r="AN45" s="19"/>
      <c r="AO45" s="56"/>
      <c r="AP45" s="56"/>
      <c r="AQ45" s="30"/>
      <c r="AR45" s="19">
        <f t="shared" si="48"/>
        <v>0</v>
      </c>
      <c r="AS45" s="19">
        <v>3</v>
      </c>
      <c r="AT45" s="19" t="str">
        <f t="shared" si="27"/>
        <v>0</v>
      </c>
      <c r="AU45" s="19" t="str">
        <f t="shared" si="28"/>
        <v>F</v>
      </c>
      <c r="AV45" s="19">
        <f t="shared" si="8"/>
        <v>0</v>
      </c>
      <c r="AW45" s="19"/>
      <c r="AX45" s="9"/>
      <c r="AY45" s="9"/>
      <c r="AZ45" s="30"/>
      <c r="BA45" s="19">
        <f t="shared" si="49"/>
        <v>0</v>
      </c>
      <c r="BB45" s="19">
        <v>1</v>
      </c>
      <c r="BC45" s="19" t="str">
        <f t="shared" si="29"/>
        <v>0</v>
      </c>
      <c r="BD45" s="19" t="str">
        <f t="shared" si="30"/>
        <v>F</v>
      </c>
      <c r="BE45" s="19">
        <f t="shared" si="10"/>
        <v>0</v>
      </c>
      <c r="BF45" s="53" t="s">
        <v>92</v>
      </c>
      <c r="BG45" s="9"/>
      <c r="BH45" s="9"/>
      <c r="BI45" s="30"/>
      <c r="BJ45" s="19">
        <f t="shared" si="50"/>
        <v>0</v>
      </c>
      <c r="BK45" s="19">
        <v>1</v>
      </c>
      <c r="BL45" s="19" t="str">
        <f t="shared" si="31"/>
        <v>0</v>
      </c>
      <c r="BM45" s="19" t="str">
        <f t="shared" si="32"/>
        <v>F</v>
      </c>
      <c r="BN45" s="19">
        <f t="shared" si="12"/>
        <v>0</v>
      </c>
      <c r="BO45" s="19"/>
      <c r="BP45" s="9"/>
      <c r="BQ45" s="9"/>
      <c r="BR45" s="30"/>
      <c r="BS45" s="19">
        <f t="shared" si="51"/>
        <v>0</v>
      </c>
      <c r="BT45" s="19">
        <v>1</v>
      </c>
      <c r="BU45" s="19" t="str">
        <f t="shared" si="33"/>
        <v>0</v>
      </c>
      <c r="BV45" s="19" t="str">
        <f t="shared" si="34"/>
        <v>F</v>
      </c>
      <c r="BW45" s="19">
        <f t="shared" si="44"/>
        <v>0</v>
      </c>
      <c r="BX45" s="19"/>
      <c r="BY45" s="19"/>
      <c r="BZ45" s="19">
        <f t="shared" si="54"/>
        <v>0</v>
      </c>
      <c r="CA45" s="20">
        <f t="shared" si="35"/>
        <v>0</v>
      </c>
      <c r="CB45" s="35" t="str">
        <f t="shared" si="36"/>
        <v>F</v>
      </c>
      <c r="CC45" s="31">
        <f t="shared" si="16"/>
        <v>0</v>
      </c>
      <c r="CD45" s="31"/>
      <c r="CE45" s="35">
        <f t="shared" si="55"/>
        <v>0</v>
      </c>
      <c r="CF45" s="35">
        <f t="shared" si="37"/>
        <v>0</v>
      </c>
      <c r="CG45" s="31"/>
      <c r="CH45" s="31"/>
      <c r="CI45" s="31" t="str">
        <f t="shared" si="38"/>
        <v>F</v>
      </c>
    </row>
    <row r="46" spans="1:87" ht="15.75" x14ac:dyDescent="0.25">
      <c r="A46" s="44">
        <f t="shared" si="39"/>
        <v>39</v>
      </c>
      <c r="B46" s="120" t="s">
        <v>319</v>
      </c>
      <c r="C46" s="120" t="s">
        <v>320</v>
      </c>
      <c r="D46" s="58" t="s">
        <v>232</v>
      </c>
      <c r="E46" s="9"/>
      <c r="F46" s="9"/>
      <c r="G46" s="30"/>
      <c r="H46" s="19">
        <f t="shared" si="45"/>
        <v>0</v>
      </c>
      <c r="I46" s="19">
        <v>4</v>
      </c>
      <c r="J46" s="19" t="str">
        <f t="shared" si="40"/>
        <v>0</v>
      </c>
      <c r="K46" s="19" t="str">
        <f t="shared" si="41"/>
        <v>F</v>
      </c>
      <c r="L46" s="19">
        <f t="shared" si="20"/>
        <v>0</v>
      </c>
      <c r="M46" s="19"/>
      <c r="N46" s="9"/>
      <c r="O46" s="9"/>
      <c r="P46" s="30"/>
      <c r="Q46" s="19">
        <f t="shared" si="52"/>
        <v>0</v>
      </c>
      <c r="R46" s="19">
        <v>4</v>
      </c>
      <c r="S46" s="19" t="str">
        <f t="shared" si="21"/>
        <v>0</v>
      </c>
      <c r="T46" s="19" t="str">
        <f t="shared" si="22"/>
        <v>F</v>
      </c>
      <c r="U46" s="19">
        <f t="shared" si="2"/>
        <v>0</v>
      </c>
      <c r="V46" s="19"/>
      <c r="W46" s="9"/>
      <c r="X46" s="9"/>
      <c r="Y46" s="19"/>
      <c r="Z46" s="19">
        <f t="shared" si="46"/>
        <v>0</v>
      </c>
      <c r="AA46" s="19">
        <v>3</v>
      </c>
      <c r="AB46" s="19" t="str">
        <f t="shared" si="23"/>
        <v>0</v>
      </c>
      <c r="AC46" s="19" t="str">
        <f t="shared" si="24"/>
        <v>F</v>
      </c>
      <c r="AD46" s="19">
        <f t="shared" si="47"/>
        <v>0</v>
      </c>
      <c r="AE46" s="19"/>
      <c r="AF46" s="57"/>
      <c r="AG46" s="57"/>
      <c r="AH46" s="30"/>
      <c r="AI46" s="19">
        <f t="shared" si="53"/>
        <v>0</v>
      </c>
      <c r="AJ46" s="19">
        <v>3</v>
      </c>
      <c r="AK46" s="19" t="str">
        <f t="shared" si="25"/>
        <v>0</v>
      </c>
      <c r="AL46" s="19" t="str">
        <f t="shared" si="26"/>
        <v>F</v>
      </c>
      <c r="AM46" s="19">
        <f t="shared" si="6"/>
        <v>0</v>
      </c>
      <c r="AN46" s="19"/>
      <c r="AO46" s="57"/>
      <c r="AP46" s="57"/>
      <c r="AQ46" s="30"/>
      <c r="AR46" s="19">
        <f t="shared" si="48"/>
        <v>0</v>
      </c>
      <c r="AS46" s="19">
        <v>3</v>
      </c>
      <c r="AT46" s="19" t="str">
        <f t="shared" si="27"/>
        <v>0</v>
      </c>
      <c r="AU46" s="19" t="str">
        <f t="shared" si="28"/>
        <v>F</v>
      </c>
      <c r="AV46" s="19">
        <f t="shared" si="8"/>
        <v>0</v>
      </c>
      <c r="AW46" s="19"/>
      <c r="AX46" s="9"/>
      <c r="AY46" s="9"/>
      <c r="AZ46" s="30"/>
      <c r="BA46" s="19">
        <f t="shared" si="49"/>
        <v>0</v>
      </c>
      <c r="BB46" s="19">
        <v>1</v>
      </c>
      <c r="BC46" s="19" t="str">
        <f t="shared" si="29"/>
        <v>0</v>
      </c>
      <c r="BD46" s="19" t="str">
        <f t="shared" si="30"/>
        <v>F</v>
      </c>
      <c r="BE46" s="19">
        <f t="shared" si="10"/>
        <v>0</v>
      </c>
      <c r="BF46" s="53" t="s">
        <v>92</v>
      </c>
      <c r="BG46" s="9"/>
      <c r="BH46" s="9"/>
      <c r="BI46" s="30"/>
      <c r="BJ46" s="19">
        <f t="shared" si="50"/>
        <v>0</v>
      </c>
      <c r="BK46" s="19">
        <v>1</v>
      </c>
      <c r="BL46" s="19" t="str">
        <f t="shared" si="31"/>
        <v>0</v>
      </c>
      <c r="BM46" s="19" t="str">
        <f t="shared" si="32"/>
        <v>F</v>
      </c>
      <c r="BN46" s="19">
        <f t="shared" si="12"/>
        <v>0</v>
      </c>
      <c r="BO46" s="19"/>
      <c r="BP46" s="9"/>
      <c r="BQ46" s="9"/>
      <c r="BR46" s="30"/>
      <c r="BS46" s="19">
        <f t="shared" si="51"/>
        <v>0</v>
      </c>
      <c r="BT46" s="19">
        <v>1</v>
      </c>
      <c r="BU46" s="19" t="str">
        <f t="shared" si="33"/>
        <v>0</v>
      </c>
      <c r="BV46" s="19" t="str">
        <f t="shared" si="34"/>
        <v>F</v>
      </c>
      <c r="BW46" s="19">
        <f t="shared" si="44"/>
        <v>0</v>
      </c>
      <c r="BX46" s="19"/>
      <c r="BY46" s="19"/>
      <c r="BZ46" s="19">
        <f t="shared" si="54"/>
        <v>0</v>
      </c>
      <c r="CA46" s="20">
        <f t="shared" si="35"/>
        <v>0</v>
      </c>
      <c r="CB46" s="35" t="str">
        <f t="shared" si="36"/>
        <v>F</v>
      </c>
      <c r="CC46" s="31">
        <f t="shared" si="16"/>
        <v>0</v>
      </c>
      <c r="CD46" s="31"/>
      <c r="CE46" s="35">
        <f t="shared" si="55"/>
        <v>0</v>
      </c>
      <c r="CF46" s="35">
        <f t="shared" si="37"/>
        <v>0</v>
      </c>
      <c r="CG46" s="31"/>
      <c r="CH46" s="31"/>
      <c r="CI46" s="31" t="str">
        <f t="shared" si="38"/>
        <v>F</v>
      </c>
    </row>
    <row r="47" spans="1:87" ht="15.75" x14ac:dyDescent="0.25">
      <c r="A47" s="44">
        <f t="shared" si="39"/>
        <v>40</v>
      </c>
      <c r="B47" s="120" t="s">
        <v>321</v>
      </c>
      <c r="C47" s="120" t="s">
        <v>322</v>
      </c>
      <c r="D47" s="58" t="s">
        <v>232</v>
      </c>
      <c r="E47" s="9"/>
      <c r="F47" s="9"/>
      <c r="G47" s="30"/>
      <c r="H47" s="19">
        <f t="shared" si="45"/>
        <v>0</v>
      </c>
      <c r="I47" s="19">
        <v>4</v>
      </c>
      <c r="J47" s="19" t="str">
        <f t="shared" si="40"/>
        <v>0</v>
      </c>
      <c r="K47" s="19" t="str">
        <f t="shared" si="41"/>
        <v>F</v>
      </c>
      <c r="L47" s="19">
        <f t="shared" si="20"/>
        <v>0</v>
      </c>
      <c r="M47" s="19"/>
      <c r="N47" s="9"/>
      <c r="O47" s="9"/>
      <c r="P47" s="30"/>
      <c r="Q47" s="19">
        <f t="shared" si="52"/>
        <v>0</v>
      </c>
      <c r="R47" s="19">
        <v>4</v>
      </c>
      <c r="S47" s="19" t="str">
        <f t="shared" si="21"/>
        <v>0</v>
      </c>
      <c r="T47" s="19" t="str">
        <f t="shared" si="22"/>
        <v>F</v>
      </c>
      <c r="U47" s="19">
        <f t="shared" si="2"/>
        <v>0</v>
      </c>
      <c r="V47" s="19"/>
      <c r="W47" s="9"/>
      <c r="X47" s="9"/>
      <c r="Y47" s="19"/>
      <c r="Z47" s="19">
        <f t="shared" si="46"/>
        <v>0</v>
      </c>
      <c r="AA47" s="19">
        <v>3</v>
      </c>
      <c r="AB47" s="19" t="str">
        <f t="shared" si="23"/>
        <v>0</v>
      </c>
      <c r="AC47" s="19" t="str">
        <f t="shared" si="24"/>
        <v>F</v>
      </c>
      <c r="AD47" s="19">
        <f t="shared" si="47"/>
        <v>0</v>
      </c>
      <c r="AE47" s="19"/>
      <c r="AF47" s="56"/>
      <c r="AG47" s="56"/>
      <c r="AH47" s="30"/>
      <c r="AI47" s="19">
        <f t="shared" si="53"/>
        <v>0</v>
      </c>
      <c r="AJ47" s="19">
        <v>3</v>
      </c>
      <c r="AK47" s="19" t="str">
        <f t="shared" si="25"/>
        <v>0</v>
      </c>
      <c r="AL47" s="19" t="str">
        <f t="shared" si="26"/>
        <v>F</v>
      </c>
      <c r="AM47" s="19">
        <f t="shared" si="6"/>
        <v>0</v>
      </c>
      <c r="AN47" s="19"/>
      <c r="AO47" s="56"/>
      <c r="AP47" s="56"/>
      <c r="AQ47" s="30"/>
      <c r="AR47" s="19">
        <f t="shared" si="48"/>
        <v>0</v>
      </c>
      <c r="AS47" s="19">
        <v>3</v>
      </c>
      <c r="AT47" s="19" t="str">
        <f t="shared" si="27"/>
        <v>0</v>
      </c>
      <c r="AU47" s="19" t="str">
        <f t="shared" si="28"/>
        <v>F</v>
      </c>
      <c r="AV47" s="19">
        <f t="shared" si="8"/>
        <v>0</v>
      </c>
      <c r="AW47" s="19"/>
      <c r="AX47" s="9"/>
      <c r="AY47" s="9"/>
      <c r="AZ47" s="30"/>
      <c r="BA47" s="19">
        <f t="shared" si="49"/>
        <v>0</v>
      </c>
      <c r="BB47" s="19">
        <v>1</v>
      </c>
      <c r="BC47" s="19" t="str">
        <f t="shared" si="29"/>
        <v>0</v>
      </c>
      <c r="BD47" s="19" t="str">
        <f t="shared" si="30"/>
        <v>F</v>
      </c>
      <c r="BE47" s="19">
        <f t="shared" si="10"/>
        <v>0</v>
      </c>
      <c r="BF47" s="53" t="s">
        <v>97</v>
      </c>
      <c r="BG47" s="9"/>
      <c r="BH47" s="9"/>
      <c r="BI47" s="30"/>
      <c r="BJ47" s="19">
        <f t="shared" si="50"/>
        <v>0</v>
      </c>
      <c r="BK47" s="19">
        <v>1</v>
      </c>
      <c r="BL47" s="19" t="str">
        <f t="shared" si="31"/>
        <v>0</v>
      </c>
      <c r="BM47" s="19" t="str">
        <f t="shared" si="32"/>
        <v>F</v>
      </c>
      <c r="BN47" s="19">
        <f t="shared" si="12"/>
        <v>0</v>
      </c>
      <c r="BO47" s="19"/>
      <c r="BP47" s="9"/>
      <c r="BQ47" s="9"/>
      <c r="BR47" s="30"/>
      <c r="BS47" s="19">
        <f t="shared" si="51"/>
        <v>0</v>
      </c>
      <c r="BT47" s="19">
        <v>1</v>
      </c>
      <c r="BU47" s="19" t="str">
        <f t="shared" si="33"/>
        <v>0</v>
      </c>
      <c r="BV47" s="19" t="str">
        <f t="shared" si="34"/>
        <v>F</v>
      </c>
      <c r="BW47" s="19">
        <f t="shared" si="44"/>
        <v>0</v>
      </c>
      <c r="BX47" s="19"/>
      <c r="BY47" s="19"/>
      <c r="BZ47" s="19">
        <f t="shared" si="54"/>
        <v>0</v>
      </c>
      <c r="CA47" s="20">
        <f t="shared" si="35"/>
        <v>0</v>
      </c>
      <c r="CB47" s="35" t="str">
        <f t="shared" si="36"/>
        <v>F</v>
      </c>
      <c r="CC47" s="31">
        <f t="shared" si="16"/>
        <v>0</v>
      </c>
      <c r="CD47" s="31"/>
      <c r="CE47" s="35">
        <f t="shared" si="55"/>
        <v>0</v>
      </c>
      <c r="CF47" s="35">
        <f t="shared" si="37"/>
        <v>0</v>
      </c>
      <c r="CG47" s="31"/>
      <c r="CH47" s="31"/>
      <c r="CI47" s="31" t="str">
        <f t="shared" si="38"/>
        <v>F</v>
      </c>
    </row>
    <row r="48" spans="1:87" ht="15.75" x14ac:dyDescent="0.25">
      <c r="A48" s="44">
        <f t="shared" si="39"/>
        <v>41</v>
      </c>
      <c r="B48" s="120" t="s">
        <v>323</v>
      </c>
      <c r="C48" s="120" t="s">
        <v>324</v>
      </c>
      <c r="D48" s="58" t="s">
        <v>232</v>
      </c>
      <c r="E48" s="9"/>
      <c r="F48" s="9"/>
      <c r="G48" s="30"/>
      <c r="H48" s="19">
        <f t="shared" si="45"/>
        <v>0</v>
      </c>
      <c r="I48" s="19">
        <v>4</v>
      </c>
      <c r="J48" s="19" t="str">
        <f t="shared" si="40"/>
        <v>0</v>
      </c>
      <c r="K48" s="19" t="str">
        <f t="shared" si="41"/>
        <v>F</v>
      </c>
      <c r="L48" s="19">
        <f t="shared" si="20"/>
        <v>0</v>
      </c>
      <c r="M48" s="19"/>
      <c r="N48" s="9"/>
      <c r="O48" s="9"/>
      <c r="P48" s="30"/>
      <c r="Q48" s="19">
        <f t="shared" si="52"/>
        <v>0</v>
      </c>
      <c r="R48" s="19">
        <v>4</v>
      </c>
      <c r="S48" s="19" t="str">
        <f t="shared" si="21"/>
        <v>0</v>
      </c>
      <c r="T48" s="19" t="str">
        <f t="shared" si="22"/>
        <v>F</v>
      </c>
      <c r="U48" s="19">
        <f t="shared" si="2"/>
        <v>0</v>
      </c>
      <c r="V48" s="19"/>
      <c r="W48" s="9"/>
      <c r="X48" s="9"/>
      <c r="Y48" s="19"/>
      <c r="Z48" s="19">
        <f t="shared" si="46"/>
        <v>0</v>
      </c>
      <c r="AA48" s="19">
        <v>3</v>
      </c>
      <c r="AB48" s="19" t="str">
        <f t="shared" si="23"/>
        <v>0</v>
      </c>
      <c r="AC48" s="19" t="str">
        <f t="shared" si="24"/>
        <v>F</v>
      </c>
      <c r="AD48" s="19">
        <f t="shared" si="47"/>
        <v>0</v>
      </c>
      <c r="AE48" s="19"/>
      <c r="AF48" s="56"/>
      <c r="AG48" s="56"/>
      <c r="AH48" s="30"/>
      <c r="AI48" s="19">
        <f t="shared" si="53"/>
        <v>0</v>
      </c>
      <c r="AJ48" s="19">
        <v>3</v>
      </c>
      <c r="AK48" s="19" t="str">
        <f t="shared" si="25"/>
        <v>0</v>
      </c>
      <c r="AL48" s="19" t="str">
        <f t="shared" si="26"/>
        <v>F</v>
      </c>
      <c r="AM48" s="19">
        <f t="shared" si="6"/>
        <v>0</v>
      </c>
      <c r="AN48" s="19"/>
      <c r="AO48" s="56"/>
      <c r="AP48" s="56"/>
      <c r="AQ48" s="30"/>
      <c r="AR48" s="19">
        <f t="shared" si="48"/>
        <v>0</v>
      </c>
      <c r="AS48" s="19">
        <v>3</v>
      </c>
      <c r="AT48" s="19" t="str">
        <f t="shared" si="27"/>
        <v>0</v>
      </c>
      <c r="AU48" s="19" t="str">
        <f t="shared" si="28"/>
        <v>F</v>
      </c>
      <c r="AV48" s="19">
        <f t="shared" si="8"/>
        <v>0</v>
      </c>
      <c r="AW48" s="19"/>
      <c r="AX48" s="9"/>
      <c r="AY48" s="9"/>
      <c r="AZ48" s="30"/>
      <c r="BA48" s="19">
        <f t="shared" si="49"/>
        <v>0</v>
      </c>
      <c r="BB48" s="19">
        <v>1</v>
      </c>
      <c r="BC48" s="19" t="str">
        <f t="shared" si="29"/>
        <v>0</v>
      </c>
      <c r="BD48" s="19" t="str">
        <f t="shared" si="30"/>
        <v>F</v>
      </c>
      <c r="BE48" s="19">
        <f t="shared" si="10"/>
        <v>0</v>
      </c>
      <c r="BF48" s="53" t="s">
        <v>97</v>
      </c>
      <c r="BG48" s="9"/>
      <c r="BH48" s="9"/>
      <c r="BI48" s="30"/>
      <c r="BJ48" s="19">
        <f t="shared" si="50"/>
        <v>0</v>
      </c>
      <c r="BK48" s="19">
        <v>1</v>
      </c>
      <c r="BL48" s="19" t="str">
        <f t="shared" si="31"/>
        <v>0</v>
      </c>
      <c r="BM48" s="19" t="str">
        <f t="shared" si="32"/>
        <v>F</v>
      </c>
      <c r="BN48" s="19">
        <f t="shared" si="12"/>
        <v>0</v>
      </c>
      <c r="BO48" s="19"/>
      <c r="BP48" s="9"/>
      <c r="BQ48" s="9"/>
      <c r="BR48" s="30"/>
      <c r="BS48" s="19">
        <f t="shared" si="51"/>
        <v>0</v>
      </c>
      <c r="BT48" s="19">
        <v>1</v>
      </c>
      <c r="BU48" s="19" t="str">
        <f t="shared" si="33"/>
        <v>0</v>
      </c>
      <c r="BV48" s="19" t="str">
        <f t="shared" si="34"/>
        <v>F</v>
      </c>
      <c r="BW48" s="19">
        <f t="shared" si="44"/>
        <v>0</v>
      </c>
      <c r="BX48" s="19"/>
      <c r="BY48" s="19"/>
      <c r="BZ48" s="19">
        <f t="shared" si="54"/>
        <v>0</v>
      </c>
      <c r="CA48" s="20">
        <f t="shared" si="35"/>
        <v>0</v>
      </c>
      <c r="CB48" s="35" t="str">
        <f t="shared" si="36"/>
        <v>F</v>
      </c>
      <c r="CC48" s="31">
        <f t="shared" si="16"/>
        <v>0</v>
      </c>
      <c r="CD48" s="31"/>
      <c r="CE48" s="35">
        <f t="shared" si="55"/>
        <v>0</v>
      </c>
      <c r="CF48" s="35">
        <f t="shared" si="37"/>
        <v>0</v>
      </c>
      <c r="CG48" s="31"/>
      <c r="CH48" s="31"/>
      <c r="CI48" s="31" t="str">
        <f t="shared" si="38"/>
        <v>F</v>
      </c>
    </row>
    <row r="49" spans="1:87" ht="15.75" x14ac:dyDescent="0.25">
      <c r="A49" s="44">
        <f t="shared" si="39"/>
        <v>42</v>
      </c>
      <c r="B49" s="120" t="s">
        <v>325</v>
      </c>
      <c r="C49" s="120" t="s">
        <v>326</v>
      </c>
      <c r="D49" s="58" t="s">
        <v>232</v>
      </c>
      <c r="E49" s="43"/>
      <c r="F49" s="43"/>
      <c r="G49" s="30"/>
      <c r="H49" s="19">
        <f t="shared" si="45"/>
        <v>0</v>
      </c>
      <c r="I49" s="19">
        <v>4</v>
      </c>
      <c r="J49" s="19" t="str">
        <f t="shared" si="40"/>
        <v>0</v>
      </c>
      <c r="K49" s="19" t="str">
        <f t="shared" si="41"/>
        <v>F</v>
      </c>
      <c r="L49" s="19">
        <f t="shared" si="20"/>
        <v>0</v>
      </c>
      <c r="M49" s="19"/>
      <c r="N49" s="9"/>
      <c r="O49" s="9"/>
      <c r="P49" s="30"/>
      <c r="Q49" s="19">
        <f t="shared" si="52"/>
        <v>0</v>
      </c>
      <c r="R49" s="19">
        <v>4</v>
      </c>
      <c r="S49" s="19" t="str">
        <f t="shared" si="21"/>
        <v>0</v>
      </c>
      <c r="T49" s="19" t="str">
        <f t="shared" si="22"/>
        <v>F</v>
      </c>
      <c r="U49" s="19">
        <f t="shared" si="2"/>
        <v>0</v>
      </c>
      <c r="V49" s="19"/>
      <c r="W49" s="9"/>
      <c r="X49" s="9"/>
      <c r="Y49" s="19"/>
      <c r="Z49" s="19">
        <f t="shared" si="46"/>
        <v>0</v>
      </c>
      <c r="AA49" s="19">
        <v>3</v>
      </c>
      <c r="AB49" s="19" t="str">
        <f t="shared" si="23"/>
        <v>0</v>
      </c>
      <c r="AC49" s="19" t="str">
        <f t="shared" si="24"/>
        <v>F</v>
      </c>
      <c r="AD49" s="19">
        <f t="shared" si="47"/>
        <v>0</v>
      </c>
      <c r="AE49" s="19"/>
      <c r="AF49" s="56"/>
      <c r="AG49" s="56"/>
      <c r="AH49" s="30"/>
      <c r="AI49" s="19">
        <f t="shared" si="53"/>
        <v>0</v>
      </c>
      <c r="AJ49" s="19">
        <v>3</v>
      </c>
      <c r="AK49" s="19" t="str">
        <f t="shared" si="25"/>
        <v>0</v>
      </c>
      <c r="AL49" s="19" t="str">
        <f t="shared" si="26"/>
        <v>F</v>
      </c>
      <c r="AM49" s="19">
        <f t="shared" si="6"/>
        <v>0</v>
      </c>
      <c r="AN49" s="19"/>
      <c r="AO49" s="56"/>
      <c r="AP49" s="56"/>
      <c r="AQ49" s="30"/>
      <c r="AR49" s="19">
        <f t="shared" si="48"/>
        <v>0</v>
      </c>
      <c r="AS49" s="19">
        <v>3</v>
      </c>
      <c r="AT49" s="19" t="str">
        <f t="shared" si="27"/>
        <v>0</v>
      </c>
      <c r="AU49" s="19" t="str">
        <f t="shared" si="28"/>
        <v>F</v>
      </c>
      <c r="AV49" s="19">
        <f t="shared" si="8"/>
        <v>0</v>
      </c>
      <c r="AW49" s="19"/>
      <c r="AX49" s="9"/>
      <c r="AY49" s="9"/>
      <c r="AZ49" s="30"/>
      <c r="BA49" s="19">
        <f t="shared" si="49"/>
        <v>0</v>
      </c>
      <c r="BB49" s="19">
        <v>1</v>
      </c>
      <c r="BC49" s="19" t="str">
        <f t="shared" si="29"/>
        <v>0</v>
      </c>
      <c r="BD49" s="19" t="str">
        <f t="shared" si="30"/>
        <v>F</v>
      </c>
      <c r="BE49" s="19">
        <f t="shared" si="10"/>
        <v>0</v>
      </c>
      <c r="BF49" s="53" t="s">
        <v>92</v>
      </c>
      <c r="BG49" s="9"/>
      <c r="BH49" s="9"/>
      <c r="BI49" s="30"/>
      <c r="BJ49" s="19">
        <f t="shared" si="50"/>
        <v>0</v>
      </c>
      <c r="BK49" s="19">
        <v>1</v>
      </c>
      <c r="BL49" s="19" t="str">
        <f t="shared" si="31"/>
        <v>0</v>
      </c>
      <c r="BM49" s="19" t="str">
        <f t="shared" si="32"/>
        <v>F</v>
      </c>
      <c r="BN49" s="19">
        <f t="shared" si="12"/>
        <v>0</v>
      </c>
      <c r="BO49" s="19"/>
      <c r="BP49" s="9"/>
      <c r="BQ49" s="9"/>
      <c r="BR49" s="30"/>
      <c r="BS49" s="19">
        <f t="shared" si="51"/>
        <v>0</v>
      </c>
      <c r="BT49" s="19">
        <v>1</v>
      </c>
      <c r="BU49" s="19" t="str">
        <f t="shared" si="33"/>
        <v>0</v>
      </c>
      <c r="BV49" s="19" t="str">
        <f t="shared" si="34"/>
        <v>F</v>
      </c>
      <c r="BW49" s="19">
        <f t="shared" si="44"/>
        <v>0</v>
      </c>
      <c r="BX49" s="19"/>
      <c r="BY49" s="19"/>
      <c r="BZ49" s="19">
        <f t="shared" si="54"/>
        <v>0</v>
      </c>
      <c r="CA49" s="20">
        <f t="shared" si="35"/>
        <v>0</v>
      </c>
      <c r="CB49" s="35" t="str">
        <f t="shared" si="36"/>
        <v>F</v>
      </c>
      <c r="CC49" s="31">
        <f t="shared" si="16"/>
        <v>0</v>
      </c>
      <c r="CD49" s="31"/>
      <c r="CE49" s="35">
        <f t="shared" si="55"/>
        <v>0</v>
      </c>
      <c r="CF49" s="35">
        <f t="shared" si="37"/>
        <v>0</v>
      </c>
      <c r="CG49" s="31"/>
      <c r="CH49" s="31"/>
      <c r="CI49" s="31" t="str">
        <f t="shared" si="38"/>
        <v>F</v>
      </c>
    </row>
    <row r="50" spans="1:87" ht="15.75" x14ac:dyDescent="0.25">
      <c r="A50" s="44">
        <f t="shared" si="39"/>
        <v>43</v>
      </c>
      <c r="B50" s="120" t="s">
        <v>327</v>
      </c>
      <c r="C50" s="120" t="s">
        <v>328</v>
      </c>
      <c r="D50" s="58" t="s">
        <v>232</v>
      </c>
      <c r="E50" s="9"/>
      <c r="F50" s="9"/>
      <c r="G50" s="30"/>
      <c r="H50" s="19">
        <f t="shared" si="45"/>
        <v>0</v>
      </c>
      <c r="I50" s="19">
        <v>4</v>
      </c>
      <c r="J50" s="19" t="str">
        <f t="shared" si="40"/>
        <v>0</v>
      </c>
      <c r="K50" s="19" t="str">
        <f t="shared" si="41"/>
        <v>F</v>
      </c>
      <c r="L50" s="19">
        <f t="shared" si="20"/>
        <v>0</v>
      </c>
      <c r="M50" s="19"/>
      <c r="N50" s="9"/>
      <c r="O50" s="9"/>
      <c r="P50" s="30"/>
      <c r="Q50" s="19">
        <f t="shared" si="52"/>
        <v>0</v>
      </c>
      <c r="R50" s="19">
        <v>4</v>
      </c>
      <c r="S50" s="19" t="str">
        <f t="shared" si="21"/>
        <v>0</v>
      </c>
      <c r="T50" s="19" t="str">
        <f t="shared" si="22"/>
        <v>F</v>
      </c>
      <c r="U50" s="19">
        <f t="shared" si="2"/>
        <v>0</v>
      </c>
      <c r="V50" s="19"/>
      <c r="W50" s="9"/>
      <c r="X50" s="9"/>
      <c r="Y50" s="19"/>
      <c r="Z50" s="19">
        <f t="shared" si="46"/>
        <v>0</v>
      </c>
      <c r="AA50" s="19">
        <v>3</v>
      </c>
      <c r="AB50" s="19" t="str">
        <f t="shared" si="23"/>
        <v>0</v>
      </c>
      <c r="AC50" s="19" t="str">
        <f t="shared" si="24"/>
        <v>F</v>
      </c>
      <c r="AD50" s="19">
        <f t="shared" si="47"/>
        <v>0</v>
      </c>
      <c r="AE50" s="19"/>
      <c r="AF50" s="56"/>
      <c r="AG50" s="56"/>
      <c r="AH50" s="30"/>
      <c r="AI50" s="19">
        <f t="shared" si="53"/>
        <v>0</v>
      </c>
      <c r="AJ50" s="19">
        <v>3</v>
      </c>
      <c r="AK50" s="19" t="str">
        <f t="shared" si="25"/>
        <v>0</v>
      </c>
      <c r="AL50" s="19" t="str">
        <f t="shared" si="26"/>
        <v>F</v>
      </c>
      <c r="AM50" s="19">
        <f t="shared" si="6"/>
        <v>0</v>
      </c>
      <c r="AN50" s="19"/>
      <c r="AO50" s="56"/>
      <c r="AP50" s="56"/>
      <c r="AQ50" s="30"/>
      <c r="AR50" s="19">
        <f t="shared" si="48"/>
        <v>0</v>
      </c>
      <c r="AS50" s="19">
        <v>3</v>
      </c>
      <c r="AT50" s="19" t="str">
        <f t="shared" si="27"/>
        <v>0</v>
      </c>
      <c r="AU50" s="19" t="str">
        <f t="shared" si="28"/>
        <v>F</v>
      </c>
      <c r="AV50" s="19">
        <f t="shared" si="8"/>
        <v>0</v>
      </c>
      <c r="AW50" s="19"/>
      <c r="AX50" s="9"/>
      <c r="AY50" s="9"/>
      <c r="AZ50" s="30"/>
      <c r="BA50" s="19">
        <f t="shared" si="49"/>
        <v>0</v>
      </c>
      <c r="BB50" s="19">
        <v>1</v>
      </c>
      <c r="BC50" s="19" t="str">
        <f t="shared" si="29"/>
        <v>0</v>
      </c>
      <c r="BD50" s="19" t="str">
        <f t="shared" si="30"/>
        <v>F</v>
      </c>
      <c r="BE50" s="19">
        <f t="shared" si="10"/>
        <v>0</v>
      </c>
      <c r="BF50" s="53" t="s">
        <v>92</v>
      </c>
      <c r="BG50" s="9"/>
      <c r="BH50" s="9"/>
      <c r="BI50" s="30"/>
      <c r="BJ50" s="19">
        <f t="shared" si="50"/>
        <v>0</v>
      </c>
      <c r="BK50" s="19">
        <v>1</v>
      </c>
      <c r="BL50" s="19" t="str">
        <f t="shared" si="31"/>
        <v>0</v>
      </c>
      <c r="BM50" s="19" t="str">
        <f t="shared" si="32"/>
        <v>F</v>
      </c>
      <c r="BN50" s="19">
        <f t="shared" si="12"/>
        <v>0</v>
      </c>
      <c r="BO50" s="19"/>
      <c r="BP50" s="9"/>
      <c r="BQ50" s="9"/>
      <c r="BR50" s="30"/>
      <c r="BS50" s="19">
        <f t="shared" si="51"/>
        <v>0</v>
      </c>
      <c r="BT50" s="19">
        <v>1</v>
      </c>
      <c r="BU50" s="19" t="str">
        <f t="shared" si="33"/>
        <v>0</v>
      </c>
      <c r="BV50" s="19" t="str">
        <f t="shared" si="34"/>
        <v>F</v>
      </c>
      <c r="BW50" s="19">
        <f t="shared" si="44"/>
        <v>0</v>
      </c>
      <c r="BX50" s="19"/>
      <c r="BY50" s="19"/>
      <c r="BZ50" s="19">
        <f t="shared" si="54"/>
        <v>0</v>
      </c>
      <c r="CA50" s="20">
        <f t="shared" si="35"/>
        <v>0</v>
      </c>
      <c r="CB50" s="35" t="str">
        <f t="shared" si="36"/>
        <v>F</v>
      </c>
      <c r="CC50" s="31">
        <f t="shared" si="16"/>
        <v>0</v>
      </c>
      <c r="CD50" s="31"/>
      <c r="CE50" s="35">
        <f t="shared" si="55"/>
        <v>0</v>
      </c>
      <c r="CF50" s="35">
        <f t="shared" si="37"/>
        <v>0</v>
      </c>
      <c r="CG50" s="31"/>
      <c r="CH50" s="31"/>
      <c r="CI50" s="31" t="str">
        <f t="shared" si="38"/>
        <v>F</v>
      </c>
    </row>
    <row r="51" spans="1:87" ht="15.75" x14ac:dyDescent="0.25">
      <c r="A51" s="44">
        <f t="shared" si="39"/>
        <v>44</v>
      </c>
      <c r="B51" s="120" t="s">
        <v>329</v>
      </c>
      <c r="C51" s="120" t="s">
        <v>330</v>
      </c>
      <c r="D51" s="58" t="s">
        <v>232</v>
      </c>
      <c r="E51" s="9"/>
      <c r="F51" s="9"/>
      <c r="G51" s="30"/>
      <c r="H51" s="19">
        <f t="shared" si="45"/>
        <v>0</v>
      </c>
      <c r="I51" s="19">
        <v>4</v>
      </c>
      <c r="J51" s="19" t="str">
        <f t="shared" si="40"/>
        <v>0</v>
      </c>
      <c r="K51" s="19" t="str">
        <f t="shared" si="41"/>
        <v>F</v>
      </c>
      <c r="L51" s="19">
        <f t="shared" si="20"/>
        <v>0</v>
      </c>
      <c r="M51" s="19"/>
      <c r="N51" s="9"/>
      <c r="O51" s="9"/>
      <c r="P51" s="30"/>
      <c r="Q51" s="19">
        <f t="shared" si="52"/>
        <v>0</v>
      </c>
      <c r="R51" s="19">
        <v>4</v>
      </c>
      <c r="S51" s="19" t="str">
        <f t="shared" si="21"/>
        <v>0</v>
      </c>
      <c r="T51" s="19" t="str">
        <f t="shared" si="22"/>
        <v>F</v>
      </c>
      <c r="U51" s="19">
        <f t="shared" si="2"/>
        <v>0</v>
      </c>
      <c r="V51" s="19"/>
      <c r="W51" s="9"/>
      <c r="X51" s="9"/>
      <c r="Y51" s="19"/>
      <c r="Z51" s="19">
        <f t="shared" si="46"/>
        <v>0</v>
      </c>
      <c r="AA51" s="19">
        <v>3</v>
      </c>
      <c r="AB51" s="19" t="str">
        <f t="shared" si="23"/>
        <v>0</v>
      </c>
      <c r="AC51" s="19" t="str">
        <f t="shared" si="24"/>
        <v>F</v>
      </c>
      <c r="AD51" s="19">
        <f t="shared" si="47"/>
        <v>0</v>
      </c>
      <c r="AE51" s="19"/>
      <c r="AF51" s="56"/>
      <c r="AG51" s="56"/>
      <c r="AH51" s="30"/>
      <c r="AI51" s="19">
        <f t="shared" si="53"/>
        <v>0</v>
      </c>
      <c r="AJ51" s="19">
        <v>3</v>
      </c>
      <c r="AK51" s="19" t="str">
        <f t="shared" si="25"/>
        <v>0</v>
      </c>
      <c r="AL51" s="19" t="str">
        <f t="shared" si="26"/>
        <v>F</v>
      </c>
      <c r="AM51" s="19">
        <f t="shared" si="6"/>
        <v>0</v>
      </c>
      <c r="AN51" s="19"/>
      <c r="AO51" s="56"/>
      <c r="AP51" s="56"/>
      <c r="AQ51" s="30"/>
      <c r="AR51" s="19">
        <f t="shared" si="48"/>
        <v>0</v>
      </c>
      <c r="AS51" s="19">
        <v>3</v>
      </c>
      <c r="AT51" s="19" t="str">
        <f t="shared" si="27"/>
        <v>0</v>
      </c>
      <c r="AU51" s="19" t="str">
        <f t="shared" si="28"/>
        <v>F</v>
      </c>
      <c r="AV51" s="19">
        <f t="shared" si="8"/>
        <v>0</v>
      </c>
      <c r="AW51" s="19"/>
      <c r="AX51" s="9"/>
      <c r="AY51" s="9"/>
      <c r="AZ51" s="30"/>
      <c r="BA51" s="19">
        <f t="shared" si="49"/>
        <v>0</v>
      </c>
      <c r="BB51" s="19">
        <v>1</v>
      </c>
      <c r="BC51" s="19" t="str">
        <f t="shared" si="29"/>
        <v>0</v>
      </c>
      <c r="BD51" s="19" t="str">
        <f t="shared" si="30"/>
        <v>F</v>
      </c>
      <c r="BE51" s="19">
        <f t="shared" si="10"/>
        <v>0</v>
      </c>
      <c r="BF51" s="53" t="s">
        <v>97</v>
      </c>
      <c r="BG51" s="9"/>
      <c r="BH51" s="9"/>
      <c r="BI51" s="30"/>
      <c r="BJ51" s="19">
        <f t="shared" si="50"/>
        <v>0</v>
      </c>
      <c r="BK51" s="19">
        <v>1</v>
      </c>
      <c r="BL51" s="19" t="str">
        <f t="shared" si="31"/>
        <v>0</v>
      </c>
      <c r="BM51" s="19" t="str">
        <f t="shared" si="32"/>
        <v>F</v>
      </c>
      <c r="BN51" s="19">
        <f t="shared" si="12"/>
        <v>0</v>
      </c>
      <c r="BO51" s="19"/>
      <c r="BP51" s="9"/>
      <c r="BQ51" s="9"/>
      <c r="BR51" s="30"/>
      <c r="BS51" s="19">
        <f t="shared" si="51"/>
        <v>0</v>
      </c>
      <c r="BT51" s="19">
        <v>1</v>
      </c>
      <c r="BU51" s="19" t="str">
        <f t="shared" si="33"/>
        <v>0</v>
      </c>
      <c r="BV51" s="19" t="str">
        <f t="shared" si="34"/>
        <v>F</v>
      </c>
      <c r="BW51" s="19">
        <f t="shared" si="44"/>
        <v>0</v>
      </c>
      <c r="BX51" s="19"/>
      <c r="BY51" s="19"/>
      <c r="BZ51" s="19">
        <f t="shared" si="54"/>
        <v>0</v>
      </c>
      <c r="CA51" s="20">
        <f t="shared" si="35"/>
        <v>0</v>
      </c>
      <c r="CB51" s="35" t="str">
        <f t="shared" si="36"/>
        <v>F</v>
      </c>
      <c r="CC51" s="31">
        <f t="shared" si="16"/>
        <v>0</v>
      </c>
      <c r="CD51" s="31"/>
      <c r="CE51" s="35">
        <f t="shared" si="55"/>
        <v>0</v>
      </c>
      <c r="CF51" s="35">
        <f t="shared" si="37"/>
        <v>0</v>
      </c>
      <c r="CG51" s="31"/>
      <c r="CH51" s="31"/>
      <c r="CI51" s="31" t="str">
        <f t="shared" si="38"/>
        <v>F</v>
      </c>
    </row>
    <row r="52" spans="1:87" ht="15.75" x14ac:dyDescent="0.25">
      <c r="A52" s="44">
        <f t="shared" si="39"/>
        <v>45</v>
      </c>
      <c r="B52" s="120" t="s">
        <v>331</v>
      </c>
      <c r="C52" s="120" t="s">
        <v>332</v>
      </c>
      <c r="D52" s="58" t="s">
        <v>232</v>
      </c>
      <c r="E52" s="9"/>
      <c r="F52" s="9"/>
      <c r="G52" s="30"/>
      <c r="H52" s="19">
        <f t="shared" si="45"/>
        <v>0</v>
      </c>
      <c r="I52" s="19">
        <v>4</v>
      </c>
      <c r="J52" s="19" t="str">
        <f t="shared" si="40"/>
        <v>0</v>
      </c>
      <c r="K52" s="19" t="str">
        <f t="shared" si="41"/>
        <v>F</v>
      </c>
      <c r="L52" s="19">
        <f t="shared" si="20"/>
        <v>0</v>
      </c>
      <c r="M52" s="19"/>
      <c r="N52" s="9"/>
      <c r="O52" s="9"/>
      <c r="P52" s="32"/>
      <c r="Q52" s="19">
        <f t="shared" si="52"/>
        <v>0</v>
      </c>
      <c r="R52" s="19">
        <v>4</v>
      </c>
      <c r="S52" s="19" t="str">
        <f t="shared" si="21"/>
        <v>0</v>
      </c>
      <c r="T52" s="19" t="str">
        <f t="shared" si="22"/>
        <v>F</v>
      </c>
      <c r="U52" s="19">
        <f t="shared" si="2"/>
        <v>0</v>
      </c>
      <c r="V52" s="19"/>
      <c r="W52" s="9"/>
      <c r="X52" s="9"/>
      <c r="Y52" s="19"/>
      <c r="Z52" s="19">
        <f t="shared" si="46"/>
        <v>0</v>
      </c>
      <c r="AA52" s="19">
        <v>3</v>
      </c>
      <c r="AB52" s="19" t="str">
        <f t="shared" si="23"/>
        <v>0</v>
      </c>
      <c r="AC52" s="19" t="str">
        <f t="shared" si="24"/>
        <v>F</v>
      </c>
      <c r="AD52" s="19">
        <f t="shared" si="47"/>
        <v>0</v>
      </c>
      <c r="AE52" s="19"/>
      <c r="AF52" s="56"/>
      <c r="AG52" s="56"/>
      <c r="AH52" s="30"/>
      <c r="AI52" s="19">
        <f t="shared" si="53"/>
        <v>0</v>
      </c>
      <c r="AJ52" s="19">
        <v>3</v>
      </c>
      <c r="AK52" s="19" t="str">
        <f t="shared" si="25"/>
        <v>0</v>
      </c>
      <c r="AL52" s="19" t="str">
        <f t="shared" si="26"/>
        <v>F</v>
      </c>
      <c r="AM52" s="19">
        <f t="shared" si="6"/>
        <v>0</v>
      </c>
      <c r="AN52" s="19"/>
      <c r="AO52" s="56"/>
      <c r="AP52" s="56"/>
      <c r="AQ52" s="30"/>
      <c r="AR52" s="19">
        <f t="shared" si="48"/>
        <v>0</v>
      </c>
      <c r="AS52" s="19">
        <v>3</v>
      </c>
      <c r="AT52" s="19" t="str">
        <f t="shared" si="27"/>
        <v>0</v>
      </c>
      <c r="AU52" s="19" t="str">
        <f t="shared" si="28"/>
        <v>F</v>
      </c>
      <c r="AV52" s="19">
        <f t="shared" si="8"/>
        <v>0</v>
      </c>
      <c r="AW52" s="19"/>
      <c r="AX52" s="9"/>
      <c r="AY52" s="9"/>
      <c r="AZ52" s="30"/>
      <c r="BA52" s="19">
        <f t="shared" si="49"/>
        <v>0</v>
      </c>
      <c r="BB52" s="19">
        <v>1</v>
      </c>
      <c r="BC52" s="19" t="str">
        <f t="shared" si="29"/>
        <v>0</v>
      </c>
      <c r="BD52" s="19" t="str">
        <f t="shared" si="30"/>
        <v>F</v>
      </c>
      <c r="BE52" s="19">
        <f t="shared" si="10"/>
        <v>0</v>
      </c>
      <c r="BF52" s="53" t="s">
        <v>92</v>
      </c>
      <c r="BG52" s="9"/>
      <c r="BH52" s="9"/>
      <c r="BI52" s="30"/>
      <c r="BJ52" s="19">
        <f t="shared" si="50"/>
        <v>0</v>
      </c>
      <c r="BK52" s="19">
        <v>1</v>
      </c>
      <c r="BL52" s="19" t="str">
        <f t="shared" si="31"/>
        <v>0</v>
      </c>
      <c r="BM52" s="19" t="str">
        <f t="shared" si="32"/>
        <v>F</v>
      </c>
      <c r="BN52" s="19">
        <f t="shared" si="12"/>
        <v>0</v>
      </c>
      <c r="BO52" s="19"/>
      <c r="BP52" s="9"/>
      <c r="BQ52" s="9"/>
      <c r="BR52" s="30"/>
      <c r="BS52" s="19">
        <f t="shared" si="51"/>
        <v>0</v>
      </c>
      <c r="BT52" s="19">
        <v>1</v>
      </c>
      <c r="BU52" s="19" t="str">
        <f t="shared" si="33"/>
        <v>0</v>
      </c>
      <c r="BV52" s="19" t="str">
        <f t="shared" si="34"/>
        <v>F</v>
      </c>
      <c r="BW52" s="19">
        <f t="shared" si="44"/>
        <v>0</v>
      </c>
      <c r="BX52" s="19"/>
      <c r="BY52" s="19"/>
      <c r="BZ52" s="19">
        <f t="shared" si="54"/>
        <v>0</v>
      </c>
      <c r="CA52" s="20">
        <f t="shared" si="35"/>
        <v>0</v>
      </c>
      <c r="CB52" s="35" t="str">
        <f t="shared" si="36"/>
        <v>F</v>
      </c>
      <c r="CC52" s="31">
        <f t="shared" si="16"/>
        <v>0</v>
      </c>
      <c r="CD52" s="31"/>
      <c r="CE52" s="35">
        <f t="shared" si="55"/>
        <v>0</v>
      </c>
      <c r="CF52" s="35">
        <f t="shared" si="37"/>
        <v>0</v>
      </c>
      <c r="CG52" s="31"/>
      <c r="CH52" s="31"/>
      <c r="CI52" s="31" t="str">
        <f t="shared" si="38"/>
        <v>F</v>
      </c>
    </row>
    <row r="53" spans="1:87" ht="15.75" x14ac:dyDescent="0.25">
      <c r="A53" s="44">
        <f t="shared" si="39"/>
        <v>46</v>
      </c>
      <c r="B53" s="120" t="s">
        <v>333</v>
      </c>
      <c r="C53" s="120" t="s">
        <v>334</v>
      </c>
      <c r="D53" s="58" t="s">
        <v>232</v>
      </c>
      <c r="E53" s="9"/>
      <c r="F53" s="9"/>
      <c r="G53" s="30"/>
      <c r="H53" s="19">
        <f t="shared" si="45"/>
        <v>0</v>
      </c>
      <c r="I53" s="19">
        <v>4</v>
      </c>
      <c r="J53" s="19" t="str">
        <f t="shared" si="40"/>
        <v>0</v>
      </c>
      <c r="K53" s="19" t="str">
        <f t="shared" si="41"/>
        <v>F</v>
      </c>
      <c r="L53" s="19">
        <f t="shared" si="20"/>
        <v>0</v>
      </c>
      <c r="M53" s="19"/>
      <c r="N53" s="9"/>
      <c r="O53" s="9"/>
      <c r="P53" s="30"/>
      <c r="Q53" s="19">
        <f t="shared" si="52"/>
        <v>0</v>
      </c>
      <c r="R53" s="19">
        <v>4</v>
      </c>
      <c r="S53" s="19" t="str">
        <f t="shared" si="21"/>
        <v>0</v>
      </c>
      <c r="T53" s="19" t="str">
        <f t="shared" si="22"/>
        <v>F</v>
      </c>
      <c r="U53" s="19">
        <f t="shared" si="2"/>
        <v>0</v>
      </c>
      <c r="V53" s="19"/>
      <c r="W53" s="9"/>
      <c r="X53" s="9"/>
      <c r="Y53" s="19"/>
      <c r="Z53" s="19">
        <f t="shared" si="46"/>
        <v>0</v>
      </c>
      <c r="AA53" s="19">
        <v>3</v>
      </c>
      <c r="AB53" s="19" t="str">
        <f t="shared" si="23"/>
        <v>0</v>
      </c>
      <c r="AC53" s="19" t="str">
        <f t="shared" si="24"/>
        <v>F</v>
      </c>
      <c r="AD53" s="19">
        <f t="shared" si="47"/>
        <v>0</v>
      </c>
      <c r="AE53" s="19"/>
      <c r="AF53" s="56"/>
      <c r="AG53" s="56"/>
      <c r="AH53" s="30"/>
      <c r="AI53" s="19">
        <f t="shared" si="53"/>
        <v>0</v>
      </c>
      <c r="AJ53" s="19">
        <v>3</v>
      </c>
      <c r="AK53" s="19" t="str">
        <f t="shared" si="25"/>
        <v>0</v>
      </c>
      <c r="AL53" s="19" t="str">
        <f t="shared" si="26"/>
        <v>F</v>
      </c>
      <c r="AM53" s="19">
        <f t="shared" si="6"/>
        <v>0</v>
      </c>
      <c r="AN53" s="19"/>
      <c r="AO53" s="56"/>
      <c r="AP53" s="56"/>
      <c r="AQ53" s="30"/>
      <c r="AR53" s="19">
        <f t="shared" si="48"/>
        <v>0</v>
      </c>
      <c r="AS53" s="19">
        <v>3</v>
      </c>
      <c r="AT53" s="19" t="str">
        <f t="shared" si="27"/>
        <v>0</v>
      </c>
      <c r="AU53" s="19" t="str">
        <f t="shared" si="28"/>
        <v>F</v>
      </c>
      <c r="AV53" s="19">
        <f t="shared" si="8"/>
        <v>0</v>
      </c>
      <c r="AW53" s="19"/>
      <c r="AX53" s="9"/>
      <c r="AY53" s="9"/>
      <c r="AZ53" s="30"/>
      <c r="BA53" s="19">
        <f t="shared" si="49"/>
        <v>0</v>
      </c>
      <c r="BB53" s="19">
        <v>1</v>
      </c>
      <c r="BC53" s="19" t="str">
        <f t="shared" si="29"/>
        <v>0</v>
      </c>
      <c r="BD53" s="19" t="str">
        <f t="shared" si="30"/>
        <v>F</v>
      </c>
      <c r="BE53" s="19">
        <f t="shared" si="10"/>
        <v>0</v>
      </c>
      <c r="BF53" s="53" t="s">
        <v>97</v>
      </c>
      <c r="BG53" s="9"/>
      <c r="BH53" s="9"/>
      <c r="BI53" s="30"/>
      <c r="BJ53" s="19">
        <f t="shared" si="50"/>
        <v>0</v>
      </c>
      <c r="BK53" s="19">
        <v>1</v>
      </c>
      <c r="BL53" s="19" t="str">
        <f t="shared" si="31"/>
        <v>0</v>
      </c>
      <c r="BM53" s="19" t="str">
        <f t="shared" si="32"/>
        <v>F</v>
      </c>
      <c r="BN53" s="19">
        <f t="shared" si="12"/>
        <v>0</v>
      </c>
      <c r="BO53" s="19"/>
      <c r="BP53" s="9"/>
      <c r="BQ53" s="9"/>
      <c r="BR53" s="30"/>
      <c r="BS53" s="19">
        <f t="shared" si="51"/>
        <v>0</v>
      </c>
      <c r="BT53" s="19">
        <v>1</v>
      </c>
      <c r="BU53" s="19" t="str">
        <f t="shared" si="33"/>
        <v>0</v>
      </c>
      <c r="BV53" s="19" t="str">
        <f t="shared" si="34"/>
        <v>F</v>
      </c>
      <c r="BW53" s="19">
        <f t="shared" si="44"/>
        <v>0</v>
      </c>
      <c r="BX53" s="19"/>
      <c r="BY53" s="19"/>
      <c r="BZ53" s="19">
        <f t="shared" si="54"/>
        <v>0</v>
      </c>
      <c r="CA53" s="20">
        <f t="shared" si="35"/>
        <v>0</v>
      </c>
      <c r="CB53" s="35" t="str">
        <f t="shared" si="36"/>
        <v>F</v>
      </c>
      <c r="CC53" s="31">
        <f t="shared" si="16"/>
        <v>0</v>
      </c>
      <c r="CD53" s="31"/>
      <c r="CE53" s="35">
        <f t="shared" si="55"/>
        <v>0</v>
      </c>
      <c r="CF53" s="35">
        <f t="shared" si="37"/>
        <v>0</v>
      </c>
      <c r="CG53" s="31"/>
      <c r="CH53" s="31"/>
      <c r="CI53" s="31" t="str">
        <f t="shared" si="38"/>
        <v>F</v>
      </c>
    </row>
    <row r="54" spans="1:87" ht="15.75" x14ac:dyDescent="0.25">
      <c r="A54" s="44">
        <f t="shared" si="39"/>
        <v>47</v>
      </c>
      <c r="B54" s="120" t="s">
        <v>335</v>
      </c>
      <c r="C54" s="120" t="s">
        <v>336</v>
      </c>
      <c r="D54" s="58" t="s">
        <v>232</v>
      </c>
      <c r="E54" s="9"/>
      <c r="F54" s="9"/>
      <c r="G54" s="33"/>
      <c r="H54" s="27">
        <f t="shared" si="45"/>
        <v>0</v>
      </c>
      <c r="I54" s="19">
        <v>4</v>
      </c>
      <c r="J54" s="19" t="str">
        <f t="shared" si="40"/>
        <v>0</v>
      </c>
      <c r="K54" s="19" t="str">
        <f t="shared" si="41"/>
        <v>F</v>
      </c>
      <c r="L54" s="27">
        <f t="shared" si="20"/>
        <v>0</v>
      </c>
      <c r="M54" s="27"/>
      <c r="N54" s="28"/>
      <c r="O54" s="28"/>
      <c r="P54" s="33"/>
      <c r="Q54" s="27">
        <f t="shared" si="52"/>
        <v>0</v>
      </c>
      <c r="R54" s="19">
        <v>4</v>
      </c>
      <c r="S54" s="19" t="str">
        <f t="shared" si="21"/>
        <v>0</v>
      </c>
      <c r="T54" s="19" t="str">
        <f t="shared" si="22"/>
        <v>F</v>
      </c>
      <c r="U54" s="27">
        <f t="shared" si="2"/>
        <v>0</v>
      </c>
      <c r="V54" s="27"/>
      <c r="W54" s="28"/>
      <c r="X54" s="28"/>
      <c r="Y54" s="27"/>
      <c r="Z54" s="27">
        <f t="shared" si="46"/>
        <v>0</v>
      </c>
      <c r="AA54" s="27">
        <v>3</v>
      </c>
      <c r="AB54" s="19" t="str">
        <f t="shared" si="23"/>
        <v>0</v>
      </c>
      <c r="AC54" s="19" t="str">
        <f t="shared" si="24"/>
        <v>F</v>
      </c>
      <c r="AD54" s="27">
        <f t="shared" si="47"/>
        <v>0</v>
      </c>
      <c r="AE54" s="27"/>
      <c r="AF54" s="56"/>
      <c r="AG54" s="56"/>
      <c r="AH54" s="33"/>
      <c r="AI54" s="27">
        <f t="shared" si="53"/>
        <v>0</v>
      </c>
      <c r="AJ54" s="27">
        <v>3</v>
      </c>
      <c r="AK54" s="19" t="str">
        <f t="shared" si="25"/>
        <v>0</v>
      </c>
      <c r="AL54" s="19" t="str">
        <f t="shared" si="26"/>
        <v>F</v>
      </c>
      <c r="AM54" s="27">
        <f t="shared" si="6"/>
        <v>0</v>
      </c>
      <c r="AN54" s="27"/>
      <c r="AO54" s="56"/>
      <c r="AP54" s="56"/>
      <c r="AQ54" s="33"/>
      <c r="AR54" s="27">
        <f t="shared" si="48"/>
        <v>0</v>
      </c>
      <c r="AS54" s="27">
        <v>3</v>
      </c>
      <c r="AT54" s="19" t="str">
        <f t="shared" si="27"/>
        <v>0</v>
      </c>
      <c r="AU54" s="19" t="str">
        <f t="shared" si="28"/>
        <v>F</v>
      </c>
      <c r="AV54" s="27">
        <f t="shared" si="8"/>
        <v>0</v>
      </c>
      <c r="AW54" s="27"/>
      <c r="AX54" s="28"/>
      <c r="AY54" s="28"/>
      <c r="AZ54" s="33"/>
      <c r="BA54" s="27">
        <f t="shared" si="49"/>
        <v>0</v>
      </c>
      <c r="BB54" s="19">
        <v>1</v>
      </c>
      <c r="BC54" s="19" t="str">
        <f t="shared" si="29"/>
        <v>0</v>
      </c>
      <c r="BD54" s="19" t="str">
        <f t="shared" si="30"/>
        <v>F</v>
      </c>
      <c r="BE54" s="27">
        <f t="shared" si="10"/>
        <v>0</v>
      </c>
      <c r="BF54" s="53" t="s">
        <v>92</v>
      </c>
      <c r="BG54" s="9"/>
      <c r="BH54" s="9"/>
      <c r="BI54" s="33"/>
      <c r="BJ54" s="27">
        <f t="shared" si="50"/>
        <v>0</v>
      </c>
      <c r="BK54" s="19">
        <v>1</v>
      </c>
      <c r="BL54" s="19" t="str">
        <f t="shared" si="31"/>
        <v>0</v>
      </c>
      <c r="BM54" s="19" t="str">
        <f t="shared" si="32"/>
        <v>F</v>
      </c>
      <c r="BN54" s="27">
        <f t="shared" si="12"/>
        <v>0</v>
      </c>
      <c r="BO54" s="27"/>
      <c r="BP54" s="28"/>
      <c r="BQ54" s="28"/>
      <c r="BR54" s="33"/>
      <c r="BS54" s="27">
        <f t="shared" si="51"/>
        <v>0</v>
      </c>
      <c r="BT54" s="19">
        <v>1</v>
      </c>
      <c r="BU54" s="19" t="str">
        <f t="shared" si="33"/>
        <v>0</v>
      </c>
      <c r="BV54" s="19" t="str">
        <f t="shared" si="34"/>
        <v>F</v>
      </c>
      <c r="BW54" s="27">
        <f t="shared" si="44"/>
        <v>0</v>
      </c>
      <c r="BX54" s="27"/>
      <c r="BY54" s="27"/>
      <c r="BZ54" s="19">
        <f t="shared" si="54"/>
        <v>0</v>
      </c>
      <c r="CA54" s="20">
        <f t="shared" si="35"/>
        <v>0</v>
      </c>
      <c r="CB54" s="35" t="str">
        <f t="shared" si="36"/>
        <v>F</v>
      </c>
      <c r="CC54" s="31">
        <f t="shared" si="16"/>
        <v>0</v>
      </c>
      <c r="CD54" s="31"/>
      <c r="CE54" s="35">
        <f t="shared" si="55"/>
        <v>0</v>
      </c>
      <c r="CF54" s="35">
        <f t="shared" si="37"/>
        <v>0</v>
      </c>
      <c r="CG54" s="31"/>
      <c r="CH54" s="31"/>
      <c r="CI54" s="31" t="str">
        <f t="shared" si="38"/>
        <v>F</v>
      </c>
    </row>
    <row r="55" spans="1:87" ht="15.75" x14ac:dyDescent="0.25">
      <c r="A55" s="44">
        <f t="shared" si="39"/>
        <v>48</v>
      </c>
      <c r="B55" s="120" t="s">
        <v>337</v>
      </c>
      <c r="C55" s="120" t="s">
        <v>338</v>
      </c>
      <c r="D55" s="58" t="s">
        <v>232</v>
      </c>
      <c r="E55" s="9"/>
      <c r="F55" s="9"/>
      <c r="G55" s="30"/>
      <c r="H55" s="19">
        <f t="shared" si="45"/>
        <v>0</v>
      </c>
      <c r="I55" s="19">
        <v>4</v>
      </c>
      <c r="J55" s="19" t="str">
        <f t="shared" si="40"/>
        <v>0</v>
      </c>
      <c r="K55" s="19" t="str">
        <f t="shared" si="41"/>
        <v>F</v>
      </c>
      <c r="L55" s="19">
        <f t="shared" si="20"/>
        <v>0</v>
      </c>
      <c r="M55" s="19"/>
      <c r="N55" s="9"/>
      <c r="O55" s="9"/>
      <c r="P55" s="30"/>
      <c r="Q55" s="19">
        <f t="shared" si="52"/>
        <v>0</v>
      </c>
      <c r="R55" s="19">
        <v>4</v>
      </c>
      <c r="S55" s="19" t="str">
        <f t="shared" si="21"/>
        <v>0</v>
      </c>
      <c r="T55" s="19" t="str">
        <f t="shared" si="22"/>
        <v>F</v>
      </c>
      <c r="U55" s="19">
        <f t="shared" si="2"/>
        <v>0</v>
      </c>
      <c r="V55" s="19"/>
      <c r="W55" s="9"/>
      <c r="X55" s="9"/>
      <c r="Y55" s="19"/>
      <c r="Z55" s="19">
        <f t="shared" si="46"/>
        <v>0</v>
      </c>
      <c r="AA55" s="19">
        <v>3</v>
      </c>
      <c r="AB55" s="19" t="str">
        <f t="shared" si="23"/>
        <v>0</v>
      </c>
      <c r="AC55" s="19" t="str">
        <f t="shared" si="24"/>
        <v>F</v>
      </c>
      <c r="AD55" s="19">
        <f t="shared" si="47"/>
        <v>0</v>
      </c>
      <c r="AE55" s="19"/>
      <c r="AF55" s="56"/>
      <c r="AG55" s="56"/>
      <c r="AH55" s="30"/>
      <c r="AI55" s="19">
        <f t="shared" si="53"/>
        <v>0</v>
      </c>
      <c r="AJ55" s="19">
        <v>3</v>
      </c>
      <c r="AK55" s="19" t="str">
        <f t="shared" si="25"/>
        <v>0</v>
      </c>
      <c r="AL55" s="19" t="str">
        <f t="shared" si="26"/>
        <v>F</v>
      </c>
      <c r="AM55" s="19">
        <f t="shared" si="6"/>
        <v>0</v>
      </c>
      <c r="AN55" s="19"/>
      <c r="AO55" s="56"/>
      <c r="AP55" s="56"/>
      <c r="AQ55" s="30"/>
      <c r="AR55" s="19">
        <f t="shared" si="48"/>
        <v>0</v>
      </c>
      <c r="AS55" s="19">
        <v>3</v>
      </c>
      <c r="AT55" s="19" t="str">
        <f t="shared" si="27"/>
        <v>0</v>
      </c>
      <c r="AU55" s="19" t="str">
        <f t="shared" si="28"/>
        <v>F</v>
      </c>
      <c r="AV55" s="19">
        <f t="shared" si="8"/>
        <v>0</v>
      </c>
      <c r="AW55" s="19"/>
      <c r="AX55" s="9"/>
      <c r="AY55" s="9"/>
      <c r="AZ55" s="30"/>
      <c r="BA55" s="19">
        <f t="shared" si="49"/>
        <v>0</v>
      </c>
      <c r="BB55" s="19">
        <v>1</v>
      </c>
      <c r="BC55" s="19" t="str">
        <f t="shared" si="29"/>
        <v>0</v>
      </c>
      <c r="BD55" s="19" t="str">
        <f t="shared" si="30"/>
        <v>F</v>
      </c>
      <c r="BE55" s="19">
        <f t="shared" si="10"/>
        <v>0</v>
      </c>
      <c r="BF55" s="53" t="s">
        <v>92</v>
      </c>
      <c r="BG55" s="9"/>
      <c r="BH55" s="9"/>
      <c r="BI55" s="30"/>
      <c r="BJ55" s="19">
        <f t="shared" si="50"/>
        <v>0</v>
      </c>
      <c r="BK55" s="19">
        <v>1</v>
      </c>
      <c r="BL55" s="19" t="str">
        <f t="shared" si="31"/>
        <v>0</v>
      </c>
      <c r="BM55" s="19" t="str">
        <f t="shared" si="32"/>
        <v>F</v>
      </c>
      <c r="BN55" s="19">
        <f t="shared" si="12"/>
        <v>0</v>
      </c>
      <c r="BO55" s="19"/>
      <c r="BP55" s="9"/>
      <c r="BQ55" s="9"/>
      <c r="BR55" s="30"/>
      <c r="BS55" s="19">
        <f t="shared" si="51"/>
        <v>0</v>
      </c>
      <c r="BT55" s="19">
        <v>1</v>
      </c>
      <c r="BU55" s="19" t="str">
        <f t="shared" si="33"/>
        <v>0</v>
      </c>
      <c r="BV55" s="19" t="str">
        <f t="shared" si="34"/>
        <v>F</v>
      </c>
      <c r="BW55" s="19">
        <f t="shared" si="44"/>
        <v>0</v>
      </c>
      <c r="BX55" s="19"/>
      <c r="BY55" s="19"/>
      <c r="BZ55" s="19">
        <f t="shared" si="54"/>
        <v>0</v>
      </c>
      <c r="CA55" s="20">
        <f t="shared" si="35"/>
        <v>0</v>
      </c>
      <c r="CB55" s="35" t="str">
        <f t="shared" si="36"/>
        <v>F</v>
      </c>
      <c r="CC55" s="31">
        <f t="shared" si="16"/>
        <v>0</v>
      </c>
      <c r="CD55" s="34"/>
      <c r="CE55" s="35">
        <f t="shared" si="55"/>
        <v>0</v>
      </c>
      <c r="CF55" s="35">
        <f t="shared" si="37"/>
        <v>0</v>
      </c>
      <c r="CG55" s="31"/>
      <c r="CH55" s="31"/>
      <c r="CI55" s="31" t="str">
        <f t="shared" si="38"/>
        <v>F</v>
      </c>
    </row>
    <row r="56" spans="1:87" ht="15.75" x14ac:dyDescent="0.25">
      <c r="A56" s="44">
        <f t="shared" si="39"/>
        <v>49</v>
      </c>
      <c r="B56" s="120" t="s">
        <v>339</v>
      </c>
      <c r="C56" s="120" t="s">
        <v>340</v>
      </c>
      <c r="D56" s="58" t="s">
        <v>232</v>
      </c>
      <c r="E56" s="9"/>
      <c r="F56" s="9"/>
      <c r="G56" s="30"/>
      <c r="H56" s="19">
        <f t="shared" si="45"/>
        <v>0</v>
      </c>
      <c r="I56" s="19">
        <v>4</v>
      </c>
      <c r="J56" s="19" t="str">
        <f t="shared" si="40"/>
        <v>0</v>
      </c>
      <c r="K56" s="19" t="str">
        <f t="shared" si="41"/>
        <v>F</v>
      </c>
      <c r="L56" s="19">
        <f t="shared" si="20"/>
        <v>0</v>
      </c>
      <c r="M56" s="19"/>
      <c r="N56" s="9"/>
      <c r="O56" s="9"/>
      <c r="P56" s="30"/>
      <c r="Q56" s="19">
        <f t="shared" si="52"/>
        <v>0</v>
      </c>
      <c r="R56" s="19">
        <v>4</v>
      </c>
      <c r="S56" s="19" t="str">
        <f t="shared" si="21"/>
        <v>0</v>
      </c>
      <c r="T56" s="19" t="str">
        <f t="shared" si="22"/>
        <v>F</v>
      </c>
      <c r="U56" s="19">
        <f t="shared" si="2"/>
        <v>0</v>
      </c>
      <c r="V56" s="19"/>
      <c r="W56" s="9"/>
      <c r="X56" s="9"/>
      <c r="Y56" s="19"/>
      <c r="Z56" s="19">
        <f t="shared" si="46"/>
        <v>0</v>
      </c>
      <c r="AA56" s="19">
        <v>3</v>
      </c>
      <c r="AB56" s="19" t="str">
        <f t="shared" si="23"/>
        <v>0</v>
      </c>
      <c r="AC56" s="19" t="str">
        <f t="shared" si="24"/>
        <v>F</v>
      </c>
      <c r="AD56" s="19">
        <f t="shared" si="47"/>
        <v>0</v>
      </c>
      <c r="AE56" s="19"/>
      <c r="AF56" s="56"/>
      <c r="AG56" s="56"/>
      <c r="AH56" s="30"/>
      <c r="AI56" s="19">
        <f t="shared" si="53"/>
        <v>0</v>
      </c>
      <c r="AJ56" s="19">
        <v>3</v>
      </c>
      <c r="AK56" s="19" t="str">
        <f t="shared" si="25"/>
        <v>0</v>
      </c>
      <c r="AL56" s="19" t="str">
        <f t="shared" si="26"/>
        <v>F</v>
      </c>
      <c r="AM56" s="19">
        <f t="shared" si="6"/>
        <v>0</v>
      </c>
      <c r="AN56" s="19"/>
      <c r="AO56" s="56"/>
      <c r="AP56" s="56"/>
      <c r="AQ56" s="30"/>
      <c r="AR56" s="19">
        <f t="shared" si="48"/>
        <v>0</v>
      </c>
      <c r="AS56" s="19">
        <v>3</v>
      </c>
      <c r="AT56" s="19" t="str">
        <f t="shared" si="27"/>
        <v>0</v>
      </c>
      <c r="AU56" s="19" t="str">
        <f t="shared" si="28"/>
        <v>F</v>
      </c>
      <c r="AV56" s="19">
        <f t="shared" si="8"/>
        <v>0</v>
      </c>
      <c r="AW56" s="19"/>
      <c r="AX56" s="9"/>
      <c r="AY56" s="9"/>
      <c r="AZ56" s="30"/>
      <c r="BA56" s="19">
        <f t="shared" si="49"/>
        <v>0</v>
      </c>
      <c r="BB56" s="19">
        <v>1</v>
      </c>
      <c r="BC56" s="19" t="str">
        <f t="shared" si="29"/>
        <v>0</v>
      </c>
      <c r="BD56" s="19" t="str">
        <f t="shared" si="30"/>
        <v>F</v>
      </c>
      <c r="BE56" s="19">
        <f t="shared" si="10"/>
        <v>0</v>
      </c>
      <c r="BF56" s="53" t="s">
        <v>97</v>
      </c>
      <c r="BG56" s="9"/>
      <c r="BH56" s="9"/>
      <c r="BI56" s="30"/>
      <c r="BJ56" s="19">
        <f t="shared" si="50"/>
        <v>0</v>
      </c>
      <c r="BK56" s="19">
        <v>1</v>
      </c>
      <c r="BL56" s="19" t="str">
        <f t="shared" si="31"/>
        <v>0</v>
      </c>
      <c r="BM56" s="19" t="str">
        <f t="shared" si="32"/>
        <v>F</v>
      </c>
      <c r="BN56" s="19">
        <f t="shared" si="12"/>
        <v>0</v>
      </c>
      <c r="BO56" s="19"/>
      <c r="BP56" s="9"/>
      <c r="BQ56" s="9"/>
      <c r="BR56" s="30"/>
      <c r="BS56" s="19">
        <f t="shared" si="51"/>
        <v>0</v>
      </c>
      <c r="BT56" s="19">
        <v>1</v>
      </c>
      <c r="BU56" s="19" t="str">
        <f t="shared" si="33"/>
        <v>0</v>
      </c>
      <c r="BV56" s="19" t="str">
        <f t="shared" si="34"/>
        <v>F</v>
      </c>
      <c r="BW56" s="19">
        <f t="shared" si="44"/>
        <v>0</v>
      </c>
      <c r="BX56" s="19"/>
      <c r="BY56" s="19"/>
      <c r="BZ56" s="19">
        <f t="shared" si="54"/>
        <v>0</v>
      </c>
      <c r="CA56" s="20">
        <f t="shared" si="35"/>
        <v>0</v>
      </c>
      <c r="CB56" s="35" t="str">
        <f t="shared" si="36"/>
        <v>F</v>
      </c>
      <c r="CC56" s="31">
        <f t="shared" si="16"/>
        <v>0</v>
      </c>
      <c r="CD56" s="34"/>
      <c r="CE56" s="35">
        <f t="shared" si="55"/>
        <v>0</v>
      </c>
      <c r="CF56" s="35">
        <f t="shared" si="37"/>
        <v>0</v>
      </c>
      <c r="CG56" s="31"/>
      <c r="CH56" s="31"/>
      <c r="CI56" s="31" t="str">
        <f t="shared" si="38"/>
        <v>F</v>
      </c>
    </row>
    <row r="57" spans="1:87" ht="15.75" x14ac:dyDescent="0.25">
      <c r="A57" s="44">
        <f t="shared" si="39"/>
        <v>50</v>
      </c>
      <c r="B57" s="121" t="s">
        <v>341</v>
      </c>
      <c r="C57" s="121" t="s">
        <v>342</v>
      </c>
      <c r="D57" s="58" t="s">
        <v>232</v>
      </c>
      <c r="E57" s="43"/>
      <c r="F57" s="43"/>
      <c r="G57" s="30"/>
      <c r="H57" s="19">
        <f t="shared" si="45"/>
        <v>0</v>
      </c>
      <c r="I57" s="19">
        <v>4</v>
      </c>
      <c r="J57" s="19" t="str">
        <f t="shared" si="40"/>
        <v>0</v>
      </c>
      <c r="K57" s="19" t="str">
        <f t="shared" si="41"/>
        <v>F</v>
      </c>
      <c r="L57" s="19">
        <f t="shared" si="20"/>
        <v>0</v>
      </c>
      <c r="M57" s="19"/>
      <c r="N57" s="9"/>
      <c r="O57" s="9"/>
      <c r="P57" s="30"/>
      <c r="Q57" s="19">
        <f t="shared" si="52"/>
        <v>0</v>
      </c>
      <c r="R57" s="19">
        <v>4</v>
      </c>
      <c r="S57" s="19" t="str">
        <f t="shared" si="21"/>
        <v>0</v>
      </c>
      <c r="T57" s="19" t="str">
        <f t="shared" si="22"/>
        <v>F</v>
      </c>
      <c r="U57" s="19">
        <f t="shared" si="2"/>
        <v>0</v>
      </c>
      <c r="V57" s="19"/>
      <c r="W57" s="9"/>
      <c r="X57" s="9"/>
      <c r="Y57" s="19"/>
      <c r="Z57" s="19">
        <f t="shared" si="46"/>
        <v>0</v>
      </c>
      <c r="AA57" s="19">
        <v>3</v>
      </c>
      <c r="AB57" s="19" t="str">
        <f t="shared" si="23"/>
        <v>0</v>
      </c>
      <c r="AC57" s="19" t="str">
        <f t="shared" si="24"/>
        <v>F</v>
      </c>
      <c r="AD57" s="19">
        <f t="shared" si="47"/>
        <v>0</v>
      </c>
      <c r="AE57" s="19"/>
      <c r="AF57" s="56"/>
      <c r="AG57" s="56"/>
      <c r="AH57" s="30"/>
      <c r="AI57" s="19">
        <f t="shared" si="53"/>
        <v>0</v>
      </c>
      <c r="AJ57" s="19">
        <v>3</v>
      </c>
      <c r="AK57" s="19" t="str">
        <f t="shared" si="25"/>
        <v>0</v>
      </c>
      <c r="AL57" s="19" t="str">
        <f t="shared" si="26"/>
        <v>F</v>
      </c>
      <c r="AM57" s="19">
        <f t="shared" si="6"/>
        <v>0</v>
      </c>
      <c r="AN57" s="19"/>
      <c r="AO57" s="56"/>
      <c r="AP57" s="56"/>
      <c r="AQ57" s="30"/>
      <c r="AR57" s="19">
        <f t="shared" si="48"/>
        <v>0</v>
      </c>
      <c r="AS57" s="19">
        <v>3</v>
      </c>
      <c r="AT57" s="19" t="str">
        <f t="shared" si="27"/>
        <v>0</v>
      </c>
      <c r="AU57" s="19" t="str">
        <f t="shared" si="28"/>
        <v>F</v>
      </c>
      <c r="AV57" s="19">
        <f t="shared" si="8"/>
        <v>0</v>
      </c>
      <c r="AW57" s="19"/>
      <c r="AX57" s="9"/>
      <c r="AY57" s="9"/>
      <c r="AZ57" s="30"/>
      <c r="BA57" s="19">
        <f t="shared" si="49"/>
        <v>0</v>
      </c>
      <c r="BB57" s="19">
        <v>1</v>
      </c>
      <c r="BC57" s="19" t="str">
        <f t="shared" si="29"/>
        <v>0</v>
      </c>
      <c r="BD57" s="19" t="str">
        <f t="shared" si="30"/>
        <v>F</v>
      </c>
      <c r="BE57" s="19">
        <f t="shared" si="10"/>
        <v>0</v>
      </c>
      <c r="BF57" s="53" t="s">
        <v>92</v>
      </c>
      <c r="BG57" s="9"/>
      <c r="BH57" s="9"/>
      <c r="BI57" s="30"/>
      <c r="BJ57" s="19">
        <f t="shared" si="50"/>
        <v>0</v>
      </c>
      <c r="BK57" s="19">
        <v>1</v>
      </c>
      <c r="BL57" s="19" t="str">
        <f t="shared" si="31"/>
        <v>0</v>
      </c>
      <c r="BM57" s="19" t="str">
        <f t="shared" si="32"/>
        <v>F</v>
      </c>
      <c r="BN57" s="19">
        <f t="shared" si="12"/>
        <v>0</v>
      </c>
      <c r="BO57" s="19"/>
      <c r="BP57" s="9"/>
      <c r="BQ57" s="9"/>
      <c r="BR57" s="30"/>
      <c r="BS57" s="19">
        <f t="shared" si="51"/>
        <v>0</v>
      </c>
      <c r="BT57" s="19">
        <v>1</v>
      </c>
      <c r="BU57" s="19" t="str">
        <f t="shared" si="33"/>
        <v>0</v>
      </c>
      <c r="BV57" s="19" t="str">
        <f t="shared" si="34"/>
        <v>F</v>
      </c>
      <c r="BW57" s="19">
        <f t="shared" si="44"/>
        <v>0</v>
      </c>
      <c r="BX57" s="19"/>
      <c r="BY57" s="19"/>
      <c r="BZ57" s="19">
        <f t="shared" si="54"/>
        <v>0</v>
      </c>
      <c r="CA57" s="20">
        <f t="shared" si="35"/>
        <v>0</v>
      </c>
      <c r="CB57" s="35" t="str">
        <f t="shared" si="36"/>
        <v>F</v>
      </c>
      <c r="CC57" s="31">
        <f t="shared" si="16"/>
        <v>0</v>
      </c>
      <c r="CD57" s="34"/>
      <c r="CE57" s="35">
        <f t="shared" si="55"/>
        <v>0</v>
      </c>
      <c r="CF57" s="35">
        <f t="shared" si="37"/>
        <v>0</v>
      </c>
      <c r="CG57" s="31"/>
      <c r="CH57" s="31"/>
      <c r="CI57" s="31" t="str">
        <f t="shared" si="38"/>
        <v>F</v>
      </c>
    </row>
    <row r="58" spans="1:87" ht="15.75" x14ac:dyDescent="0.25">
      <c r="A58" s="44">
        <f t="shared" si="39"/>
        <v>51</v>
      </c>
      <c r="B58" s="120" t="s">
        <v>343</v>
      </c>
      <c r="C58" s="120" t="s">
        <v>344</v>
      </c>
      <c r="D58" s="58" t="s">
        <v>232</v>
      </c>
      <c r="E58" s="9"/>
      <c r="F58" s="9"/>
      <c r="G58" s="30"/>
      <c r="H58" s="19">
        <f t="shared" si="45"/>
        <v>0</v>
      </c>
      <c r="I58" s="19">
        <v>4</v>
      </c>
      <c r="J58" s="19" t="str">
        <f t="shared" si="40"/>
        <v>0</v>
      </c>
      <c r="K58" s="19" t="str">
        <f t="shared" si="41"/>
        <v>F</v>
      </c>
      <c r="L58" s="19">
        <f t="shared" si="20"/>
        <v>0</v>
      </c>
      <c r="M58" s="19"/>
      <c r="N58" s="43"/>
      <c r="O58" s="43"/>
      <c r="P58" s="30"/>
      <c r="Q58" s="19">
        <f t="shared" si="52"/>
        <v>0</v>
      </c>
      <c r="R58" s="19">
        <v>4</v>
      </c>
      <c r="S58" s="19" t="str">
        <f t="shared" si="21"/>
        <v>0</v>
      </c>
      <c r="T58" s="19" t="str">
        <f t="shared" si="22"/>
        <v>F</v>
      </c>
      <c r="U58" s="19">
        <f t="shared" si="2"/>
        <v>0</v>
      </c>
      <c r="V58" s="19"/>
      <c r="W58" s="43"/>
      <c r="X58" s="43"/>
      <c r="Y58" s="19"/>
      <c r="Z58" s="19">
        <f t="shared" si="46"/>
        <v>0</v>
      </c>
      <c r="AA58" s="19">
        <v>3</v>
      </c>
      <c r="AB58" s="19" t="str">
        <f t="shared" si="23"/>
        <v>0</v>
      </c>
      <c r="AC58" s="19" t="str">
        <f t="shared" si="24"/>
        <v>F</v>
      </c>
      <c r="AD58" s="19">
        <f t="shared" si="47"/>
        <v>0</v>
      </c>
      <c r="AE58" s="19"/>
      <c r="AF58" s="73"/>
      <c r="AG58" s="73"/>
      <c r="AH58" s="30"/>
      <c r="AI58" s="19">
        <f t="shared" si="53"/>
        <v>0</v>
      </c>
      <c r="AJ58" s="19">
        <v>3</v>
      </c>
      <c r="AK58" s="19" t="str">
        <f t="shared" si="25"/>
        <v>0</v>
      </c>
      <c r="AL58" s="19" t="str">
        <f t="shared" si="26"/>
        <v>F</v>
      </c>
      <c r="AM58" s="19">
        <f t="shared" si="6"/>
        <v>0</v>
      </c>
      <c r="AN58" s="19"/>
      <c r="AO58" s="73"/>
      <c r="AP58" s="73"/>
      <c r="AQ58" s="30"/>
      <c r="AR58" s="19">
        <f t="shared" si="48"/>
        <v>0</v>
      </c>
      <c r="AS58" s="19">
        <v>3</v>
      </c>
      <c r="AT58" s="19" t="str">
        <f t="shared" si="27"/>
        <v>0</v>
      </c>
      <c r="AU58" s="19" t="str">
        <f t="shared" si="28"/>
        <v>F</v>
      </c>
      <c r="AV58" s="19">
        <f t="shared" si="8"/>
        <v>0</v>
      </c>
      <c r="AW58" s="19"/>
      <c r="AX58" s="43"/>
      <c r="AY58" s="43"/>
      <c r="AZ58" s="30"/>
      <c r="BA58" s="19">
        <f t="shared" si="49"/>
        <v>0</v>
      </c>
      <c r="BB58" s="19">
        <v>1</v>
      </c>
      <c r="BC58" s="19" t="str">
        <f t="shared" si="29"/>
        <v>0</v>
      </c>
      <c r="BD58" s="19" t="str">
        <f t="shared" si="30"/>
        <v>F</v>
      </c>
      <c r="BE58" s="19">
        <f t="shared" si="10"/>
        <v>0</v>
      </c>
      <c r="BF58" s="53" t="s">
        <v>92</v>
      </c>
      <c r="BG58" s="43"/>
      <c r="BH58" s="43"/>
      <c r="BI58" s="30"/>
      <c r="BJ58" s="19">
        <f t="shared" si="50"/>
        <v>0</v>
      </c>
      <c r="BK58" s="19">
        <v>1</v>
      </c>
      <c r="BL58" s="19" t="str">
        <f t="shared" si="31"/>
        <v>0</v>
      </c>
      <c r="BM58" s="19" t="str">
        <f t="shared" si="32"/>
        <v>F</v>
      </c>
      <c r="BN58" s="19">
        <f t="shared" si="12"/>
        <v>0</v>
      </c>
      <c r="BO58" s="19"/>
      <c r="BP58" s="43"/>
      <c r="BQ58" s="43"/>
      <c r="BR58" s="30"/>
      <c r="BS58" s="19">
        <f t="shared" si="51"/>
        <v>0</v>
      </c>
      <c r="BT58" s="19">
        <v>1</v>
      </c>
      <c r="BU58" s="19" t="str">
        <f t="shared" si="33"/>
        <v>0</v>
      </c>
      <c r="BV58" s="19" t="str">
        <f t="shared" si="34"/>
        <v>F</v>
      </c>
      <c r="BW58" s="19">
        <f t="shared" si="44"/>
        <v>0</v>
      </c>
      <c r="BX58" s="19"/>
      <c r="BY58" s="19"/>
      <c r="BZ58" s="19">
        <f t="shared" si="54"/>
        <v>0</v>
      </c>
      <c r="CA58" s="20">
        <f t="shared" si="35"/>
        <v>0</v>
      </c>
      <c r="CB58" s="35" t="str">
        <f t="shared" si="36"/>
        <v>F</v>
      </c>
      <c r="CC58" s="31">
        <f t="shared" si="16"/>
        <v>0</v>
      </c>
      <c r="CD58" s="34"/>
      <c r="CE58" s="35">
        <f t="shared" si="55"/>
        <v>0</v>
      </c>
      <c r="CF58" s="35">
        <f t="shared" si="37"/>
        <v>0</v>
      </c>
      <c r="CG58" s="31"/>
      <c r="CH58" s="31"/>
      <c r="CI58" s="31" t="str">
        <f t="shared" si="38"/>
        <v>F</v>
      </c>
    </row>
    <row r="59" spans="1:87" ht="15.75" x14ac:dyDescent="0.25">
      <c r="A59" s="44">
        <f t="shared" si="39"/>
        <v>52</v>
      </c>
      <c r="B59" s="120" t="s">
        <v>345</v>
      </c>
      <c r="C59" s="120" t="s">
        <v>346</v>
      </c>
      <c r="D59" s="58" t="s">
        <v>232</v>
      </c>
      <c r="E59" s="43"/>
      <c r="F59" s="43"/>
      <c r="G59" s="30"/>
      <c r="H59" s="19">
        <f t="shared" si="45"/>
        <v>0</v>
      </c>
      <c r="I59" s="19">
        <v>4</v>
      </c>
      <c r="J59" s="19" t="str">
        <f t="shared" si="40"/>
        <v>0</v>
      </c>
      <c r="K59" s="19" t="str">
        <f t="shared" si="41"/>
        <v>F</v>
      </c>
      <c r="L59" s="19">
        <f t="shared" si="20"/>
        <v>0</v>
      </c>
      <c r="M59" s="19"/>
      <c r="N59" s="9"/>
      <c r="O59" s="9"/>
      <c r="P59" s="30"/>
      <c r="Q59" s="19">
        <f t="shared" si="52"/>
        <v>0</v>
      </c>
      <c r="R59" s="19">
        <v>4</v>
      </c>
      <c r="S59" s="19" t="str">
        <f t="shared" si="21"/>
        <v>0</v>
      </c>
      <c r="T59" s="19" t="str">
        <f t="shared" si="22"/>
        <v>F</v>
      </c>
      <c r="U59" s="19">
        <f t="shared" si="2"/>
        <v>0</v>
      </c>
      <c r="V59" s="19"/>
      <c r="W59" s="9"/>
      <c r="X59" s="9"/>
      <c r="Y59" s="19"/>
      <c r="Z59" s="19">
        <f t="shared" si="46"/>
        <v>0</v>
      </c>
      <c r="AA59" s="19">
        <v>3</v>
      </c>
      <c r="AB59" s="19" t="str">
        <f t="shared" si="23"/>
        <v>0</v>
      </c>
      <c r="AC59" s="19" t="str">
        <f t="shared" si="24"/>
        <v>F</v>
      </c>
      <c r="AD59" s="19">
        <f t="shared" si="47"/>
        <v>0</v>
      </c>
      <c r="AE59" s="19"/>
      <c r="AF59" s="56"/>
      <c r="AG59" s="56"/>
      <c r="AH59" s="30"/>
      <c r="AI59" s="19">
        <f t="shared" si="53"/>
        <v>0</v>
      </c>
      <c r="AJ59" s="19">
        <v>3</v>
      </c>
      <c r="AK59" s="19" t="str">
        <f t="shared" si="25"/>
        <v>0</v>
      </c>
      <c r="AL59" s="19" t="str">
        <f t="shared" si="26"/>
        <v>F</v>
      </c>
      <c r="AM59" s="19">
        <f t="shared" si="6"/>
        <v>0</v>
      </c>
      <c r="AN59" s="19"/>
      <c r="AO59" s="56"/>
      <c r="AP59" s="56"/>
      <c r="AQ59" s="30"/>
      <c r="AR59" s="19">
        <f t="shared" si="48"/>
        <v>0</v>
      </c>
      <c r="AS59" s="19">
        <v>3</v>
      </c>
      <c r="AT59" s="19" t="str">
        <f t="shared" si="27"/>
        <v>0</v>
      </c>
      <c r="AU59" s="19" t="str">
        <f t="shared" si="28"/>
        <v>F</v>
      </c>
      <c r="AV59" s="19">
        <f t="shared" si="8"/>
        <v>0</v>
      </c>
      <c r="AW59" s="19"/>
      <c r="AX59" s="9"/>
      <c r="AY59" s="9"/>
      <c r="AZ59" s="30"/>
      <c r="BA59" s="19">
        <f t="shared" si="49"/>
        <v>0</v>
      </c>
      <c r="BB59" s="19">
        <v>1</v>
      </c>
      <c r="BC59" s="19" t="str">
        <f t="shared" si="29"/>
        <v>0</v>
      </c>
      <c r="BD59" s="19" t="str">
        <f t="shared" si="30"/>
        <v>F</v>
      </c>
      <c r="BE59" s="19">
        <f t="shared" si="10"/>
        <v>0</v>
      </c>
      <c r="BF59" s="53" t="s">
        <v>92</v>
      </c>
      <c r="BG59" s="9"/>
      <c r="BH59" s="9"/>
      <c r="BI59" s="30"/>
      <c r="BJ59" s="19">
        <f t="shared" si="50"/>
        <v>0</v>
      </c>
      <c r="BK59" s="19">
        <v>1</v>
      </c>
      <c r="BL59" s="19" t="str">
        <f t="shared" si="31"/>
        <v>0</v>
      </c>
      <c r="BM59" s="19" t="str">
        <f t="shared" si="32"/>
        <v>F</v>
      </c>
      <c r="BN59" s="19">
        <f t="shared" si="12"/>
        <v>0</v>
      </c>
      <c r="BO59" s="19"/>
      <c r="BP59" s="9"/>
      <c r="BQ59" s="9"/>
      <c r="BR59" s="30"/>
      <c r="BS59" s="19">
        <f t="shared" si="51"/>
        <v>0</v>
      </c>
      <c r="BT59" s="19">
        <v>1</v>
      </c>
      <c r="BU59" s="19" t="str">
        <f t="shared" si="33"/>
        <v>0</v>
      </c>
      <c r="BV59" s="19" t="str">
        <f t="shared" si="34"/>
        <v>F</v>
      </c>
      <c r="BW59" s="19">
        <f t="shared" si="44"/>
        <v>0</v>
      </c>
      <c r="BX59" s="19"/>
      <c r="BY59" s="19"/>
      <c r="BZ59" s="19">
        <f t="shared" si="54"/>
        <v>0</v>
      </c>
      <c r="CA59" s="20">
        <f t="shared" si="35"/>
        <v>0</v>
      </c>
      <c r="CB59" s="35" t="str">
        <f t="shared" si="36"/>
        <v>F</v>
      </c>
      <c r="CC59" s="31">
        <f t="shared" si="16"/>
        <v>0</v>
      </c>
      <c r="CD59" s="34"/>
      <c r="CE59" s="35">
        <f t="shared" si="55"/>
        <v>0</v>
      </c>
      <c r="CF59" s="35">
        <f t="shared" si="37"/>
        <v>0</v>
      </c>
      <c r="CG59" s="31"/>
      <c r="CH59" s="31"/>
      <c r="CI59" s="31" t="str">
        <f t="shared" si="38"/>
        <v>F</v>
      </c>
    </row>
    <row r="60" spans="1:87" ht="15.75" x14ac:dyDescent="0.25">
      <c r="A60" s="44">
        <f t="shared" si="39"/>
        <v>53</v>
      </c>
      <c r="B60" s="120" t="s">
        <v>347</v>
      </c>
      <c r="C60" s="120" t="s">
        <v>348</v>
      </c>
      <c r="D60" s="58" t="s">
        <v>232</v>
      </c>
      <c r="E60" s="43"/>
      <c r="F60" s="43"/>
      <c r="G60" s="30"/>
      <c r="H60" s="19">
        <f t="shared" si="45"/>
        <v>0</v>
      </c>
      <c r="I60" s="19">
        <v>4</v>
      </c>
      <c r="J60" s="19" t="str">
        <f t="shared" si="40"/>
        <v>0</v>
      </c>
      <c r="K60" s="19" t="str">
        <f t="shared" si="41"/>
        <v>F</v>
      </c>
      <c r="L60" s="19">
        <f t="shared" si="20"/>
        <v>0</v>
      </c>
      <c r="M60" s="19"/>
      <c r="N60" s="9"/>
      <c r="O60" s="9"/>
      <c r="P60" s="30"/>
      <c r="Q60" s="19">
        <f t="shared" si="52"/>
        <v>0</v>
      </c>
      <c r="R60" s="19">
        <v>4</v>
      </c>
      <c r="S60" s="19" t="str">
        <f t="shared" si="21"/>
        <v>0</v>
      </c>
      <c r="T60" s="19" t="str">
        <f t="shared" si="22"/>
        <v>F</v>
      </c>
      <c r="U60" s="19">
        <f t="shared" ref="U60:U63" si="56">R60*S60</f>
        <v>0</v>
      </c>
      <c r="V60" s="19"/>
      <c r="W60" s="9"/>
      <c r="X60" s="9"/>
      <c r="Y60" s="19"/>
      <c r="Z60" s="19">
        <f t="shared" si="46"/>
        <v>0</v>
      </c>
      <c r="AA60" s="19">
        <v>3</v>
      </c>
      <c r="AB60" s="19" t="str">
        <f t="shared" si="23"/>
        <v>0</v>
      </c>
      <c r="AC60" s="19" t="str">
        <f t="shared" si="24"/>
        <v>F</v>
      </c>
      <c r="AD60" s="19">
        <f t="shared" si="47"/>
        <v>0</v>
      </c>
      <c r="AE60" s="19"/>
      <c r="AF60" s="56"/>
      <c r="AG60" s="56"/>
      <c r="AH60" s="30"/>
      <c r="AI60" s="19">
        <f t="shared" si="53"/>
        <v>0</v>
      </c>
      <c r="AJ60" s="19">
        <v>3</v>
      </c>
      <c r="AK60" s="19" t="str">
        <f t="shared" si="25"/>
        <v>0</v>
      </c>
      <c r="AL60" s="19" t="str">
        <f t="shared" si="26"/>
        <v>F</v>
      </c>
      <c r="AM60" s="19">
        <f t="shared" ref="AM60:AM63" si="57">AJ60*AK60</f>
        <v>0</v>
      </c>
      <c r="AN60" s="19"/>
      <c r="AO60" s="56"/>
      <c r="AP60" s="56"/>
      <c r="AQ60" s="30"/>
      <c r="AR60" s="19">
        <f t="shared" si="48"/>
        <v>0</v>
      </c>
      <c r="AS60" s="19">
        <v>3</v>
      </c>
      <c r="AT60" s="19" t="str">
        <f t="shared" si="27"/>
        <v>0</v>
      </c>
      <c r="AU60" s="19" t="str">
        <f t="shared" si="28"/>
        <v>F</v>
      </c>
      <c r="AV60" s="19">
        <f t="shared" ref="AV60:AV63" si="58">AS60*AT60</f>
        <v>0</v>
      </c>
      <c r="AW60" s="19"/>
      <c r="AX60" s="9"/>
      <c r="AY60" s="9"/>
      <c r="AZ60" s="30"/>
      <c r="BA60" s="19">
        <f t="shared" si="49"/>
        <v>0</v>
      </c>
      <c r="BB60" s="19">
        <v>1</v>
      </c>
      <c r="BC60" s="19" t="str">
        <f t="shared" si="29"/>
        <v>0</v>
      </c>
      <c r="BD60" s="19" t="str">
        <f t="shared" si="30"/>
        <v>F</v>
      </c>
      <c r="BE60" s="19">
        <f t="shared" ref="BE60:BE63" si="59">BB60*BC60</f>
        <v>0</v>
      </c>
      <c r="BF60" s="53" t="s">
        <v>97</v>
      </c>
      <c r="BG60" s="9"/>
      <c r="BH60" s="9"/>
      <c r="BI60" s="30"/>
      <c r="BJ60" s="19">
        <f t="shared" si="50"/>
        <v>0</v>
      </c>
      <c r="BK60" s="19">
        <v>1</v>
      </c>
      <c r="BL60" s="19" t="str">
        <f t="shared" si="31"/>
        <v>0</v>
      </c>
      <c r="BM60" s="19" t="str">
        <f t="shared" si="32"/>
        <v>F</v>
      </c>
      <c r="BN60" s="19">
        <f t="shared" ref="BN60:BN63" si="60">BK60*BL60</f>
        <v>0</v>
      </c>
      <c r="BO60" s="19"/>
      <c r="BP60" s="9"/>
      <c r="BQ60" s="9"/>
      <c r="BR60" s="30"/>
      <c r="BS60" s="19">
        <f t="shared" si="51"/>
        <v>0</v>
      </c>
      <c r="BT60" s="19">
        <v>1</v>
      </c>
      <c r="BU60" s="19" t="str">
        <f t="shared" si="33"/>
        <v>0</v>
      </c>
      <c r="BV60" s="19" t="str">
        <f t="shared" si="34"/>
        <v>F</v>
      </c>
      <c r="BW60" s="19">
        <f t="shared" si="44"/>
        <v>0</v>
      </c>
      <c r="BX60" s="19"/>
      <c r="BY60" s="19"/>
      <c r="BZ60" s="19">
        <f t="shared" si="54"/>
        <v>0</v>
      </c>
      <c r="CA60" s="20">
        <f t="shared" si="35"/>
        <v>0</v>
      </c>
      <c r="CB60" s="35" t="str">
        <f t="shared" si="36"/>
        <v>F</v>
      </c>
      <c r="CC60" s="31">
        <f t="shared" ref="CC60:CC63" si="61">CA60*9.5</f>
        <v>0</v>
      </c>
      <c r="CD60" s="34"/>
      <c r="CE60" s="35">
        <f t="shared" si="55"/>
        <v>0</v>
      </c>
      <c r="CF60" s="35">
        <f t="shared" si="37"/>
        <v>0</v>
      </c>
      <c r="CG60" s="31"/>
      <c r="CH60" s="31"/>
      <c r="CI60" s="31" t="str">
        <f t="shared" si="38"/>
        <v>F</v>
      </c>
    </row>
    <row r="61" spans="1:87" ht="15.75" x14ac:dyDescent="0.25">
      <c r="A61" s="44">
        <f t="shared" si="39"/>
        <v>54</v>
      </c>
      <c r="B61" s="120" t="s">
        <v>349</v>
      </c>
      <c r="C61" s="120" t="s">
        <v>350</v>
      </c>
      <c r="D61" s="58" t="s">
        <v>232</v>
      </c>
      <c r="E61" s="43"/>
      <c r="F61" s="43"/>
      <c r="G61" s="30"/>
      <c r="H61" s="19">
        <f t="shared" si="45"/>
        <v>0</v>
      </c>
      <c r="I61" s="19">
        <v>4</v>
      </c>
      <c r="J61" s="19" t="str">
        <f t="shared" si="40"/>
        <v>0</v>
      </c>
      <c r="K61" s="19" t="str">
        <f t="shared" si="41"/>
        <v>F</v>
      </c>
      <c r="L61" s="19">
        <f t="shared" ref="L61:L63" si="62">I61*J61</f>
        <v>0</v>
      </c>
      <c r="M61" s="19"/>
      <c r="N61" s="43"/>
      <c r="O61" s="43"/>
      <c r="P61" s="30"/>
      <c r="Q61" s="19">
        <f t="shared" si="52"/>
        <v>0</v>
      </c>
      <c r="R61" s="19">
        <v>4</v>
      </c>
      <c r="S61" s="19" t="str">
        <f t="shared" si="21"/>
        <v>0</v>
      </c>
      <c r="T61" s="19" t="str">
        <f t="shared" si="22"/>
        <v>F</v>
      </c>
      <c r="U61" s="19">
        <f t="shared" si="56"/>
        <v>0</v>
      </c>
      <c r="V61" s="19"/>
      <c r="W61" s="43"/>
      <c r="X61" s="43"/>
      <c r="Y61" s="19"/>
      <c r="Z61" s="19">
        <f t="shared" si="46"/>
        <v>0</v>
      </c>
      <c r="AA61" s="19">
        <v>3</v>
      </c>
      <c r="AB61" s="19" t="str">
        <f t="shared" si="23"/>
        <v>0</v>
      </c>
      <c r="AC61" s="19" t="str">
        <f t="shared" si="24"/>
        <v>F</v>
      </c>
      <c r="AD61" s="19">
        <f t="shared" si="47"/>
        <v>0</v>
      </c>
      <c r="AE61" s="19"/>
      <c r="AF61" s="56"/>
      <c r="AG61" s="56"/>
      <c r="AH61" s="30"/>
      <c r="AI61" s="19">
        <f t="shared" si="53"/>
        <v>0</v>
      </c>
      <c r="AJ61" s="19">
        <v>3</v>
      </c>
      <c r="AK61" s="19" t="str">
        <f t="shared" si="25"/>
        <v>0</v>
      </c>
      <c r="AL61" s="19" t="str">
        <f t="shared" si="26"/>
        <v>F</v>
      </c>
      <c r="AM61" s="19">
        <f t="shared" si="57"/>
        <v>0</v>
      </c>
      <c r="AN61" s="19"/>
      <c r="AO61" s="56"/>
      <c r="AP61" s="56"/>
      <c r="AQ61" s="30"/>
      <c r="AR61" s="19">
        <f t="shared" si="48"/>
        <v>0</v>
      </c>
      <c r="AS61" s="19">
        <v>3</v>
      </c>
      <c r="AT61" s="19" t="str">
        <f t="shared" si="27"/>
        <v>0</v>
      </c>
      <c r="AU61" s="19" t="str">
        <f t="shared" si="28"/>
        <v>F</v>
      </c>
      <c r="AV61" s="19">
        <f t="shared" si="58"/>
        <v>0</v>
      </c>
      <c r="AW61" s="19"/>
      <c r="AX61" s="43"/>
      <c r="AY61" s="43"/>
      <c r="AZ61" s="30"/>
      <c r="BA61" s="19">
        <f t="shared" si="49"/>
        <v>0</v>
      </c>
      <c r="BB61" s="19">
        <v>1</v>
      </c>
      <c r="BC61" s="19" t="str">
        <f t="shared" si="29"/>
        <v>0</v>
      </c>
      <c r="BD61" s="19" t="str">
        <f t="shared" si="30"/>
        <v>F</v>
      </c>
      <c r="BE61" s="19">
        <f t="shared" si="59"/>
        <v>0</v>
      </c>
      <c r="BF61" s="53" t="s">
        <v>92</v>
      </c>
      <c r="BG61" s="43"/>
      <c r="BH61" s="43"/>
      <c r="BI61" s="30"/>
      <c r="BJ61" s="19">
        <f t="shared" si="50"/>
        <v>0</v>
      </c>
      <c r="BK61" s="19">
        <v>1</v>
      </c>
      <c r="BL61" s="19" t="str">
        <f t="shared" si="31"/>
        <v>0</v>
      </c>
      <c r="BM61" s="19" t="str">
        <f t="shared" si="32"/>
        <v>F</v>
      </c>
      <c r="BN61" s="19">
        <f t="shared" si="60"/>
        <v>0</v>
      </c>
      <c r="BO61" s="19"/>
      <c r="BP61" s="43"/>
      <c r="BQ61" s="43"/>
      <c r="BR61" s="30"/>
      <c r="BS61" s="19">
        <f t="shared" si="51"/>
        <v>0</v>
      </c>
      <c r="BT61" s="19">
        <v>1</v>
      </c>
      <c r="BU61" s="19" t="str">
        <f t="shared" si="33"/>
        <v>0</v>
      </c>
      <c r="BV61" s="19" t="str">
        <f t="shared" si="34"/>
        <v>F</v>
      </c>
      <c r="BW61" s="19">
        <f t="shared" si="44"/>
        <v>0</v>
      </c>
      <c r="BX61" s="19"/>
      <c r="BY61" s="19"/>
      <c r="BZ61" s="19">
        <f t="shared" si="54"/>
        <v>0</v>
      </c>
      <c r="CA61" s="20">
        <f t="shared" si="35"/>
        <v>0</v>
      </c>
      <c r="CB61" s="35" t="str">
        <f t="shared" si="36"/>
        <v>F</v>
      </c>
      <c r="CC61" s="31">
        <f t="shared" si="61"/>
        <v>0</v>
      </c>
      <c r="CD61" s="34"/>
      <c r="CE61" s="35">
        <f t="shared" si="55"/>
        <v>0</v>
      </c>
      <c r="CF61" s="35">
        <f t="shared" ref="CF61:CF63" si="63">(CE61/800)*100</f>
        <v>0</v>
      </c>
      <c r="CG61" s="31"/>
      <c r="CH61" s="31"/>
      <c r="CI61" s="31" t="str">
        <f t="shared" si="38"/>
        <v>F</v>
      </c>
    </row>
    <row r="62" spans="1:87" ht="15.75" x14ac:dyDescent="0.25">
      <c r="A62" s="44">
        <v>55</v>
      </c>
      <c r="B62" s="120" t="s">
        <v>351</v>
      </c>
      <c r="C62" s="120" t="s">
        <v>352</v>
      </c>
      <c r="D62" s="58" t="s">
        <v>232</v>
      </c>
      <c r="E62" s="43"/>
      <c r="F62" s="43"/>
      <c r="G62" s="30"/>
      <c r="H62" s="19">
        <f t="shared" si="45"/>
        <v>0</v>
      </c>
      <c r="I62" s="19">
        <v>4</v>
      </c>
      <c r="J62" s="19" t="str">
        <f t="shared" si="40"/>
        <v>0</v>
      </c>
      <c r="K62" s="19" t="str">
        <f t="shared" si="41"/>
        <v>F</v>
      </c>
      <c r="L62" s="19">
        <f t="shared" si="62"/>
        <v>0</v>
      </c>
      <c r="M62" s="19"/>
      <c r="N62" s="43"/>
      <c r="O62" s="43"/>
      <c r="P62" s="30"/>
      <c r="Q62" s="19">
        <f t="shared" si="52"/>
        <v>0</v>
      </c>
      <c r="R62" s="19">
        <v>4</v>
      </c>
      <c r="S62" s="19" t="str">
        <f t="shared" si="21"/>
        <v>0</v>
      </c>
      <c r="T62" s="19" t="str">
        <f t="shared" si="22"/>
        <v>F</v>
      </c>
      <c r="U62" s="19">
        <f t="shared" si="56"/>
        <v>0</v>
      </c>
      <c r="V62" s="19"/>
      <c r="W62" s="43"/>
      <c r="X62" s="43"/>
      <c r="Y62" s="19"/>
      <c r="Z62" s="19">
        <f t="shared" si="46"/>
        <v>0</v>
      </c>
      <c r="AA62" s="19">
        <v>3</v>
      </c>
      <c r="AB62" s="19" t="str">
        <f t="shared" si="23"/>
        <v>0</v>
      </c>
      <c r="AC62" s="19" t="str">
        <f t="shared" si="24"/>
        <v>F</v>
      </c>
      <c r="AD62" s="19">
        <f t="shared" si="47"/>
        <v>0</v>
      </c>
      <c r="AE62" s="19"/>
      <c r="AF62" s="56"/>
      <c r="AG62" s="56"/>
      <c r="AH62" s="30"/>
      <c r="AI62" s="19">
        <f t="shared" si="53"/>
        <v>0</v>
      </c>
      <c r="AJ62" s="19">
        <v>3</v>
      </c>
      <c r="AK62" s="19" t="str">
        <f t="shared" si="25"/>
        <v>0</v>
      </c>
      <c r="AL62" s="19" t="str">
        <f t="shared" si="26"/>
        <v>F</v>
      </c>
      <c r="AM62" s="19">
        <f t="shared" si="57"/>
        <v>0</v>
      </c>
      <c r="AN62" s="19"/>
      <c r="AO62" s="56"/>
      <c r="AP62" s="56"/>
      <c r="AQ62" s="30"/>
      <c r="AR62" s="19">
        <f t="shared" si="48"/>
        <v>0</v>
      </c>
      <c r="AS62" s="19">
        <v>3</v>
      </c>
      <c r="AT62" s="19" t="str">
        <f t="shared" si="27"/>
        <v>0</v>
      </c>
      <c r="AU62" s="19" t="str">
        <f t="shared" si="28"/>
        <v>F</v>
      </c>
      <c r="AV62" s="19">
        <f t="shared" si="58"/>
        <v>0</v>
      </c>
      <c r="AW62" s="19"/>
      <c r="AX62" s="43"/>
      <c r="AY62" s="43"/>
      <c r="AZ62" s="30"/>
      <c r="BA62" s="19">
        <f t="shared" si="49"/>
        <v>0</v>
      </c>
      <c r="BB62" s="19">
        <v>1</v>
      </c>
      <c r="BC62" s="19" t="str">
        <f t="shared" si="29"/>
        <v>0</v>
      </c>
      <c r="BD62" s="19" t="str">
        <f t="shared" si="30"/>
        <v>F</v>
      </c>
      <c r="BE62" s="19">
        <f t="shared" si="59"/>
        <v>0</v>
      </c>
      <c r="BF62" s="53" t="s">
        <v>92</v>
      </c>
      <c r="BG62" s="43"/>
      <c r="BH62" s="43"/>
      <c r="BI62" s="30"/>
      <c r="BJ62" s="19">
        <f t="shared" si="50"/>
        <v>0</v>
      </c>
      <c r="BK62" s="19">
        <v>1</v>
      </c>
      <c r="BL62" s="19" t="str">
        <f t="shared" si="31"/>
        <v>0</v>
      </c>
      <c r="BM62" s="19" t="str">
        <f t="shared" si="32"/>
        <v>F</v>
      </c>
      <c r="BN62" s="19">
        <f t="shared" si="60"/>
        <v>0</v>
      </c>
      <c r="BO62" s="19"/>
      <c r="BP62" s="43"/>
      <c r="BQ62" s="43"/>
      <c r="BR62" s="30"/>
      <c r="BS62" s="19">
        <f t="shared" si="51"/>
        <v>0</v>
      </c>
      <c r="BT62" s="19">
        <v>1</v>
      </c>
      <c r="BU62" s="19" t="str">
        <f t="shared" si="33"/>
        <v>0</v>
      </c>
      <c r="BV62" s="19" t="str">
        <f t="shared" si="34"/>
        <v>F</v>
      </c>
      <c r="BW62" s="19">
        <f t="shared" si="44"/>
        <v>0</v>
      </c>
      <c r="BX62" s="19"/>
      <c r="BY62" s="19"/>
      <c r="BZ62" s="19">
        <f t="shared" si="54"/>
        <v>0</v>
      </c>
      <c r="CA62" s="20">
        <f t="shared" si="35"/>
        <v>0</v>
      </c>
      <c r="CB62" s="35" t="str">
        <f t="shared" si="36"/>
        <v>F</v>
      </c>
      <c r="CC62" s="31">
        <f t="shared" si="61"/>
        <v>0</v>
      </c>
      <c r="CD62" s="34"/>
      <c r="CE62" s="35">
        <f t="shared" si="55"/>
        <v>0</v>
      </c>
      <c r="CF62" s="35">
        <f t="shared" si="63"/>
        <v>0</v>
      </c>
      <c r="CG62" s="31"/>
      <c r="CH62" s="31"/>
      <c r="CI62" s="31" t="str">
        <f t="shared" si="38"/>
        <v>F</v>
      </c>
    </row>
    <row r="63" spans="1:87" ht="15.75" x14ac:dyDescent="0.25">
      <c r="A63" s="44">
        <v>56</v>
      </c>
      <c r="B63" s="120" t="s">
        <v>353</v>
      </c>
      <c r="C63" s="120" t="s">
        <v>354</v>
      </c>
      <c r="D63" s="58" t="s">
        <v>232</v>
      </c>
      <c r="E63" s="43"/>
      <c r="F63" s="43"/>
      <c r="G63" s="30"/>
      <c r="H63" s="19">
        <f t="shared" si="45"/>
        <v>0</v>
      </c>
      <c r="I63" s="19">
        <v>4</v>
      </c>
      <c r="J63" s="19" t="str">
        <f t="shared" si="40"/>
        <v>0</v>
      </c>
      <c r="K63" s="19" t="str">
        <f t="shared" si="41"/>
        <v>F</v>
      </c>
      <c r="L63" s="19">
        <f t="shared" si="62"/>
        <v>0</v>
      </c>
      <c r="M63" s="19"/>
      <c r="N63" s="43"/>
      <c r="O63" s="43"/>
      <c r="P63" s="30"/>
      <c r="Q63" s="19">
        <f t="shared" si="52"/>
        <v>0</v>
      </c>
      <c r="R63" s="19">
        <v>4</v>
      </c>
      <c r="S63" s="19" t="str">
        <f t="shared" si="21"/>
        <v>0</v>
      </c>
      <c r="T63" s="19" t="str">
        <f t="shared" si="22"/>
        <v>F</v>
      </c>
      <c r="U63" s="19">
        <f t="shared" si="56"/>
        <v>0</v>
      </c>
      <c r="V63" s="19"/>
      <c r="W63" s="43"/>
      <c r="X63" s="43"/>
      <c r="Y63" s="19"/>
      <c r="Z63" s="19">
        <f t="shared" si="46"/>
        <v>0</v>
      </c>
      <c r="AA63" s="19">
        <v>3</v>
      </c>
      <c r="AB63" s="19" t="str">
        <f t="shared" si="23"/>
        <v>0</v>
      </c>
      <c r="AC63" s="19" t="str">
        <f t="shared" si="24"/>
        <v>F</v>
      </c>
      <c r="AD63" s="19">
        <f t="shared" si="47"/>
        <v>0</v>
      </c>
      <c r="AE63" s="19"/>
      <c r="AF63" s="56"/>
      <c r="AG63" s="56"/>
      <c r="AH63" s="30"/>
      <c r="AI63" s="19">
        <f t="shared" si="53"/>
        <v>0</v>
      </c>
      <c r="AJ63" s="19">
        <v>3</v>
      </c>
      <c r="AK63" s="19" t="str">
        <f t="shared" si="25"/>
        <v>0</v>
      </c>
      <c r="AL63" s="19" t="str">
        <f t="shared" si="26"/>
        <v>F</v>
      </c>
      <c r="AM63" s="19">
        <f t="shared" si="57"/>
        <v>0</v>
      </c>
      <c r="AN63" s="19"/>
      <c r="AO63" s="56"/>
      <c r="AP63" s="56"/>
      <c r="AQ63" s="30"/>
      <c r="AR63" s="19">
        <f t="shared" si="48"/>
        <v>0</v>
      </c>
      <c r="AS63" s="19">
        <v>3</v>
      </c>
      <c r="AT63" s="19" t="str">
        <f t="shared" si="27"/>
        <v>0</v>
      </c>
      <c r="AU63" s="19" t="str">
        <f t="shared" si="28"/>
        <v>F</v>
      </c>
      <c r="AV63" s="19">
        <f t="shared" si="58"/>
        <v>0</v>
      </c>
      <c r="AW63" s="19"/>
      <c r="AX63" s="43"/>
      <c r="AY63" s="43"/>
      <c r="AZ63" s="30"/>
      <c r="BA63" s="19">
        <f t="shared" si="49"/>
        <v>0</v>
      </c>
      <c r="BB63" s="19">
        <v>1</v>
      </c>
      <c r="BC63" s="19" t="str">
        <f t="shared" si="29"/>
        <v>0</v>
      </c>
      <c r="BD63" s="19" t="str">
        <f t="shared" si="30"/>
        <v>F</v>
      </c>
      <c r="BE63" s="19">
        <f t="shared" si="59"/>
        <v>0</v>
      </c>
      <c r="BF63" s="53" t="s">
        <v>97</v>
      </c>
      <c r="BG63" s="43"/>
      <c r="BH63" s="43"/>
      <c r="BI63" s="30"/>
      <c r="BJ63" s="19">
        <f t="shared" si="50"/>
        <v>0</v>
      </c>
      <c r="BK63" s="19">
        <v>1</v>
      </c>
      <c r="BL63" s="19" t="str">
        <f t="shared" si="31"/>
        <v>0</v>
      </c>
      <c r="BM63" s="19" t="str">
        <f t="shared" si="32"/>
        <v>F</v>
      </c>
      <c r="BN63" s="19">
        <f t="shared" si="60"/>
        <v>0</v>
      </c>
      <c r="BO63" s="19"/>
      <c r="BP63" s="43"/>
      <c r="BQ63" s="43"/>
      <c r="BR63" s="30"/>
      <c r="BS63" s="19">
        <f t="shared" si="51"/>
        <v>0</v>
      </c>
      <c r="BT63" s="19">
        <v>1</v>
      </c>
      <c r="BU63" s="19" t="str">
        <f t="shared" si="33"/>
        <v>0</v>
      </c>
      <c r="BV63" s="19" t="str">
        <f t="shared" si="34"/>
        <v>F</v>
      </c>
      <c r="BW63" s="19">
        <f t="shared" si="44"/>
        <v>0</v>
      </c>
      <c r="BX63" s="19"/>
      <c r="BY63" s="19"/>
      <c r="BZ63" s="19">
        <f t="shared" si="54"/>
        <v>0</v>
      </c>
      <c r="CA63" s="20">
        <f t="shared" si="35"/>
        <v>0</v>
      </c>
      <c r="CB63" s="35" t="str">
        <f t="shared" si="36"/>
        <v>F</v>
      </c>
      <c r="CC63" s="31">
        <f t="shared" si="61"/>
        <v>0</v>
      </c>
      <c r="CD63" s="34"/>
      <c r="CE63" s="35">
        <f t="shared" si="55"/>
        <v>0</v>
      </c>
      <c r="CF63" s="35">
        <f t="shared" si="63"/>
        <v>0</v>
      </c>
      <c r="CG63" s="31"/>
      <c r="CH63" s="31"/>
      <c r="CI63" s="31" t="str">
        <f t="shared" si="38"/>
        <v>F</v>
      </c>
    </row>
    <row r="64" spans="1:87" ht="15.75" x14ac:dyDescent="0.25">
      <c r="D64" s="1"/>
      <c r="E64" s="112" t="s">
        <v>73</v>
      </c>
      <c r="F64" s="111"/>
      <c r="G64" s="111"/>
      <c r="H64" s="111"/>
      <c r="I64" s="111"/>
      <c r="J64" s="111"/>
      <c r="K64" s="111"/>
      <c r="L64" s="111"/>
      <c r="M64" s="31"/>
      <c r="N64" s="111" t="s">
        <v>75</v>
      </c>
      <c r="O64" s="111"/>
      <c r="P64" s="111"/>
      <c r="Q64" s="111"/>
      <c r="R64" s="111"/>
      <c r="S64" s="111"/>
      <c r="T64" s="111"/>
      <c r="U64" s="111"/>
      <c r="V64" s="31"/>
      <c r="W64" s="111" t="s">
        <v>76</v>
      </c>
      <c r="X64" s="111"/>
      <c r="Y64" s="111"/>
      <c r="Z64" s="111"/>
      <c r="AA64" s="111"/>
      <c r="AB64" s="111"/>
      <c r="AC64" s="111"/>
      <c r="AD64" s="111"/>
      <c r="AE64" s="31"/>
      <c r="AF64" s="111" t="s">
        <v>77</v>
      </c>
      <c r="AG64" s="111"/>
      <c r="AH64" s="111"/>
      <c r="AI64" s="111"/>
      <c r="AJ64" s="111"/>
      <c r="AK64" s="111"/>
      <c r="AL64" s="111"/>
      <c r="AM64" s="111"/>
      <c r="AN64" s="31"/>
      <c r="AO64" s="111" t="s">
        <v>78</v>
      </c>
      <c r="AP64" s="111"/>
      <c r="AQ64" s="111"/>
      <c r="AR64" s="111"/>
      <c r="AS64" s="111"/>
      <c r="AT64" s="111"/>
      <c r="AU64" s="111"/>
      <c r="AV64" s="111"/>
      <c r="AW64" s="31"/>
      <c r="AX64" s="111" t="s">
        <v>82</v>
      </c>
      <c r="AY64" s="111"/>
      <c r="AZ64" s="111"/>
      <c r="BA64" s="111"/>
      <c r="BB64" s="111"/>
      <c r="BC64" s="111"/>
      <c r="BD64" s="111"/>
      <c r="BE64" s="111"/>
      <c r="BF64" s="31"/>
      <c r="BG64" s="111" t="s">
        <v>80</v>
      </c>
      <c r="BH64" s="111"/>
      <c r="BI64" s="111"/>
      <c r="BJ64" s="111"/>
      <c r="BK64" s="111"/>
      <c r="BL64" s="111"/>
      <c r="BM64" s="111"/>
      <c r="BN64" s="111"/>
      <c r="BO64" s="31"/>
      <c r="BP64" s="111" t="s">
        <v>81</v>
      </c>
      <c r="BQ64" s="111"/>
      <c r="BR64" s="111"/>
      <c r="BS64" s="111"/>
      <c r="BT64" s="111"/>
      <c r="BU64" s="111"/>
      <c r="BV64" s="111"/>
      <c r="BW64" s="111"/>
      <c r="BX64" s="31"/>
      <c r="BY64" s="31"/>
      <c r="BZ64" s="31"/>
      <c r="CA64" s="31"/>
      <c r="CB64" s="35"/>
      <c r="CC64" s="31"/>
      <c r="CD64" s="31"/>
      <c r="CE64" s="35"/>
      <c r="CF64" s="35"/>
      <c r="CG64" s="31"/>
      <c r="CH64" s="31"/>
      <c r="CI64" s="31"/>
    </row>
    <row r="65" spans="3:87" ht="15.75" x14ac:dyDescent="0.25">
      <c r="C65" s="11" t="s">
        <v>28</v>
      </c>
      <c r="D65" s="1"/>
      <c r="E65" s="36"/>
      <c r="F65" s="35"/>
      <c r="G65" s="35"/>
      <c r="H65" s="35"/>
      <c r="I65" s="35"/>
      <c r="J65" s="31" t="s">
        <v>47</v>
      </c>
      <c r="K65" s="31">
        <f>COUNTIF(K8:K63,"O")</f>
        <v>0</v>
      </c>
      <c r="L65" s="31"/>
      <c r="M65" s="31"/>
      <c r="N65" s="35"/>
      <c r="O65" s="35"/>
      <c r="P65" s="35"/>
      <c r="Q65" s="35"/>
      <c r="R65" s="35"/>
      <c r="S65" s="31" t="s">
        <v>47</v>
      </c>
      <c r="T65" s="31">
        <f>COUNTIF(T8:T63,"O")</f>
        <v>0</v>
      </c>
      <c r="U65" s="31"/>
      <c r="V65" s="31"/>
      <c r="W65" s="31"/>
      <c r="X65" s="31"/>
      <c r="Y65" s="31"/>
      <c r="Z65" s="31"/>
      <c r="AA65" s="31"/>
      <c r="AB65" s="31" t="s">
        <v>47</v>
      </c>
      <c r="AC65" s="31">
        <f>COUNTIF(AC8:AC63,"O")</f>
        <v>0</v>
      </c>
      <c r="AD65" s="31"/>
      <c r="AE65" s="31"/>
      <c r="AF65" s="31"/>
      <c r="AG65" s="31"/>
      <c r="AH65" s="31"/>
      <c r="AI65" s="31"/>
      <c r="AJ65" s="31"/>
      <c r="AK65" s="31" t="s">
        <v>47</v>
      </c>
      <c r="AL65" s="31">
        <f>COUNTIF(AL8:AL63,"O")</f>
        <v>0</v>
      </c>
      <c r="AM65" s="31"/>
      <c r="AN65" s="31"/>
      <c r="AO65" s="31"/>
      <c r="AP65" s="31"/>
      <c r="AQ65" s="31"/>
      <c r="AR65" s="31"/>
      <c r="AS65" s="31"/>
      <c r="AT65" s="31" t="s">
        <v>47</v>
      </c>
      <c r="AU65" s="31">
        <f>COUNTIF(AU8:AU63,"O")</f>
        <v>0</v>
      </c>
      <c r="AV65" s="31"/>
      <c r="AW65" s="31"/>
      <c r="AX65" s="31"/>
      <c r="AY65" s="31"/>
      <c r="AZ65" s="31"/>
      <c r="BA65" s="31"/>
      <c r="BB65" s="31"/>
      <c r="BC65" s="31" t="s">
        <v>47</v>
      </c>
      <c r="BD65" s="31">
        <f>COUNTIF(BD8:BD63,"O")</f>
        <v>0</v>
      </c>
      <c r="BE65" s="31"/>
      <c r="BF65" s="31"/>
      <c r="BG65" s="31"/>
      <c r="BH65" s="31"/>
      <c r="BI65" s="31"/>
      <c r="BJ65" s="31"/>
      <c r="BK65" s="31"/>
      <c r="BL65" s="31" t="s">
        <v>47</v>
      </c>
      <c r="BM65" s="31">
        <f>COUNTIF(BM8:BM63,"O")</f>
        <v>0</v>
      </c>
      <c r="BN65" s="31"/>
      <c r="BO65" s="31"/>
      <c r="BP65" s="31"/>
      <c r="BQ65" s="31"/>
      <c r="BR65" s="31"/>
      <c r="BS65" s="31"/>
      <c r="BT65" s="31"/>
      <c r="BU65" s="31" t="s">
        <v>47</v>
      </c>
      <c r="BV65" s="31">
        <f>COUNTIF(BV8:BV63,"O")</f>
        <v>0</v>
      </c>
      <c r="BW65" s="31"/>
      <c r="BX65" s="31"/>
      <c r="BY65" s="31"/>
      <c r="BZ65" s="31"/>
      <c r="CA65" s="31" t="s">
        <v>47</v>
      </c>
      <c r="CB65" s="35">
        <f>COUNTIF(CB8:CB63,"O")</f>
        <v>0</v>
      </c>
      <c r="CC65" s="31"/>
      <c r="CD65" s="31"/>
      <c r="CE65" s="35"/>
      <c r="CF65" s="35"/>
      <c r="CG65" s="31"/>
      <c r="CH65" s="31" t="s">
        <v>67</v>
      </c>
      <c r="CI65" s="31">
        <f>COUNTIF(CI8:CI63,"FCD")</f>
        <v>0</v>
      </c>
    </row>
    <row r="66" spans="3:87" ht="15.75" x14ac:dyDescent="0.25">
      <c r="C66" s="11" t="s">
        <v>28</v>
      </c>
      <c r="D66" s="1"/>
      <c r="E66" s="36"/>
      <c r="F66" s="35"/>
      <c r="G66" s="35"/>
      <c r="H66" s="35"/>
      <c r="I66" s="35"/>
      <c r="J66" s="31" t="s">
        <v>48</v>
      </c>
      <c r="K66" s="31">
        <f>COUNTIF(K8:K63,"A+")</f>
        <v>1</v>
      </c>
      <c r="L66" s="31"/>
      <c r="M66" s="31"/>
      <c r="N66" s="35"/>
      <c r="O66" s="35"/>
      <c r="P66" s="35"/>
      <c r="Q66" s="35"/>
      <c r="R66" s="35"/>
      <c r="S66" s="31" t="s">
        <v>48</v>
      </c>
      <c r="T66" s="31">
        <f>COUNTIF(T8:T63,"A+")</f>
        <v>0</v>
      </c>
      <c r="U66" s="31"/>
      <c r="V66" s="31"/>
      <c r="W66" s="31"/>
      <c r="X66" s="31"/>
      <c r="Y66" s="31"/>
      <c r="Z66" s="31"/>
      <c r="AA66" s="31"/>
      <c r="AB66" s="31" t="s">
        <v>48</v>
      </c>
      <c r="AC66" s="31">
        <f>COUNTIF(AC8:AC63,"A+")</f>
        <v>0</v>
      </c>
      <c r="AD66" s="31"/>
      <c r="AE66" s="31"/>
      <c r="AF66" s="31"/>
      <c r="AG66" s="31"/>
      <c r="AH66" s="31"/>
      <c r="AI66" s="31"/>
      <c r="AJ66" s="31"/>
      <c r="AK66" s="31" t="s">
        <v>48</v>
      </c>
      <c r="AL66" s="31">
        <f>COUNTIF(AL8:AL63,"A+")</f>
        <v>0</v>
      </c>
      <c r="AM66" s="31"/>
      <c r="AN66" s="31"/>
      <c r="AO66" s="31"/>
      <c r="AP66" s="31"/>
      <c r="AQ66" s="31"/>
      <c r="AR66" s="31"/>
      <c r="AS66" s="31"/>
      <c r="AT66" s="31" t="s">
        <v>48</v>
      </c>
      <c r="AU66" s="31">
        <f>COUNTIF(AU8:AU63,"A+")</f>
        <v>0</v>
      </c>
      <c r="AV66" s="31"/>
      <c r="AW66" s="31"/>
      <c r="AX66" s="31"/>
      <c r="AY66" s="31"/>
      <c r="AZ66" s="31"/>
      <c r="BA66" s="31"/>
      <c r="BB66" s="31"/>
      <c r="BC66" s="31" t="s">
        <v>48</v>
      </c>
      <c r="BD66" s="31">
        <f>COUNTIF(BD8:BD63,"A+")</f>
        <v>0</v>
      </c>
      <c r="BE66" s="31"/>
      <c r="BF66" s="31"/>
      <c r="BG66" s="31"/>
      <c r="BH66" s="31"/>
      <c r="BI66" s="31"/>
      <c r="BJ66" s="31"/>
      <c r="BK66" s="31"/>
      <c r="BL66" s="31" t="s">
        <v>48</v>
      </c>
      <c r="BM66" s="31">
        <f>COUNTIF(BM8:BM63,"A+")</f>
        <v>0</v>
      </c>
      <c r="BN66" s="31"/>
      <c r="BO66" s="31"/>
      <c r="BP66" s="31"/>
      <c r="BQ66" s="31"/>
      <c r="BR66" s="31"/>
      <c r="BS66" s="31"/>
      <c r="BT66" s="31"/>
      <c r="BU66" s="31" t="s">
        <v>48</v>
      </c>
      <c r="BV66" s="31">
        <f>COUNTIF(BV8:BV63,"A+")</f>
        <v>0</v>
      </c>
      <c r="BW66" s="31"/>
      <c r="BX66" s="31"/>
      <c r="BY66" s="31"/>
      <c r="BZ66" s="31"/>
      <c r="CA66" s="31" t="s">
        <v>48</v>
      </c>
      <c r="CB66" s="35">
        <f>COUNTIF(CB8:CB63,"A+")</f>
        <v>0</v>
      </c>
      <c r="CC66" s="31"/>
      <c r="CD66" s="31"/>
      <c r="CE66" s="35"/>
      <c r="CF66" s="35"/>
      <c r="CG66" s="31"/>
      <c r="CH66" s="31" t="s">
        <v>68</v>
      </c>
      <c r="CI66" s="31">
        <f>COUNTIF(CI8:CI63,"FC")</f>
        <v>0</v>
      </c>
    </row>
    <row r="67" spans="3:87" ht="15.75" x14ac:dyDescent="0.25">
      <c r="C67" s="11" t="s">
        <v>28</v>
      </c>
      <c r="D67" s="1"/>
      <c r="E67" s="36"/>
      <c r="F67" s="35"/>
      <c r="G67" s="35"/>
      <c r="H67" s="35"/>
      <c r="I67" s="35"/>
      <c r="J67" s="31" t="s">
        <v>3</v>
      </c>
      <c r="K67" s="31">
        <f>COUNTIF(K8:K63,"A")</f>
        <v>0</v>
      </c>
      <c r="L67" s="31"/>
      <c r="M67" s="31"/>
      <c r="N67" s="35"/>
      <c r="O67" s="35"/>
      <c r="P67" s="35"/>
      <c r="Q67" s="35"/>
      <c r="R67" s="35"/>
      <c r="S67" s="31" t="s">
        <v>3</v>
      </c>
      <c r="T67" s="31">
        <f>COUNTIF(T8:T63,"A")</f>
        <v>0</v>
      </c>
      <c r="U67" s="31"/>
      <c r="V67" s="31"/>
      <c r="W67" s="31"/>
      <c r="X67" s="31"/>
      <c r="Y67" s="31"/>
      <c r="Z67" s="31"/>
      <c r="AA67" s="31"/>
      <c r="AB67" s="31" t="s">
        <v>3</v>
      </c>
      <c r="AC67" s="31">
        <f>COUNTIF(AC8:AC63,"A")</f>
        <v>0</v>
      </c>
      <c r="AD67" s="31"/>
      <c r="AE67" s="31"/>
      <c r="AF67" s="31"/>
      <c r="AG67" s="31"/>
      <c r="AH67" s="31"/>
      <c r="AI67" s="31"/>
      <c r="AJ67" s="31"/>
      <c r="AK67" s="31" t="s">
        <v>3</v>
      </c>
      <c r="AL67" s="31">
        <f>COUNTIF(AL8:AL63,"A")</f>
        <v>0</v>
      </c>
      <c r="AM67" s="31"/>
      <c r="AN67" s="31"/>
      <c r="AO67" s="31"/>
      <c r="AP67" s="31"/>
      <c r="AQ67" s="31"/>
      <c r="AR67" s="31"/>
      <c r="AS67" s="31"/>
      <c r="AT67" s="31" t="s">
        <v>3</v>
      </c>
      <c r="AU67" s="31">
        <f>COUNTIF(AU8:AU63,"A")</f>
        <v>0</v>
      </c>
      <c r="AV67" s="31"/>
      <c r="AW67" s="31"/>
      <c r="AX67" s="31"/>
      <c r="AY67" s="31"/>
      <c r="AZ67" s="31"/>
      <c r="BA67" s="31"/>
      <c r="BB67" s="31"/>
      <c r="BC67" s="31" t="s">
        <v>3</v>
      </c>
      <c r="BD67" s="31">
        <f>COUNTIF(BD8:BD63,"A")</f>
        <v>0</v>
      </c>
      <c r="BE67" s="31"/>
      <c r="BF67" s="31"/>
      <c r="BG67" s="31"/>
      <c r="BH67" s="31"/>
      <c r="BI67" s="31"/>
      <c r="BJ67" s="31"/>
      <c r="BK67" s="31"/>
      <c r="BL67" s="31" t="s">
        <v>3</v>
      </c>
      <c r="BM67" s="31">
        <f>COUNTIF(BM8:BM63,"A")</f>
        <v>0</v>
      </c>
      <c r="BN67" s="31"/>
      <c r="BO67" s="31"/>
      <c r="BP67" s="31"/>
      <c r="BQ67" s="31"/>
      <c r="BR67" s="31"/>
      <c r="BS67" s="31"/>
      <c r="BT67" s="31"/>
      <c r="BU67" s="31" t="s">
        <v>3</v>
      </c>
      <c r="BV67" s="31">
        <f>COUNTIF(BV8:BV63,"A")</f>
        <v>0</v>
      </c>
      <c r="BW67" s="31"/>
      <c r="BX67" s="31"/>
      <c r="BY67" s="31"/>
      <c r="BZ67" s="31"/>
      <c r="CA67" s="31" t="s">
        <v>3</v>
      </c>
      <c r="CB67" s="35">
        <f>COUNTIF(CB8:CB63,"A")</f>
        <v>0</v>
      </c>
      <c r="CC67" s="31"/>
      <c r="CD67" s="31"/>
      <c r="CE67" s="35"/>
      <c r="CF67" s="35"/>
      <c r="CG67" s="31"/>
      <c r="CH67" s="31" t="s">
        <v>69</v>
      </c>
      <c r="CI67" s="31">
        <f>COUNTIF(CI8:CI63,"SC")</f>
        <v>0</v>
      </c>
    </row>
    <row r="68" spans="3:87" ht="15.75" x14ac:dyDescent="0.25">
      <c r="C68" s="11" t="s">
        <v>28</v>
      </c>
      <c r="D68" s="1"/>
      <c r="E68" s="36"/>
      <c r="F68" s="35"/>
      <c r="G68" s="35"/>
      <c r="H68" s="35"/>
      <c r="I68" s="35"/>
      <c r="J68" s="34" t="s">
        <v>49</v>
      </c>
      <c r="K68" s="31">
        <f>COUNTIF(K8:K63,"B+")</f>
        <v>0</v>
      </c>
      <c r="L68" s="31"/>
      <c r="M68" s="31"/>
      <c r="N68" s="35"/>
      <c r="O68" s="35"/>
      <c r="P68" s="35"/>
      <c r="Q68" s="35"/>
      <c r="R68" s="35"/>
      <c r="S68" s="34" t="s">
        <v>49</v>
      </c>
      <c r="T68" s="31">
        <f>COUNTIF(T8:T63,"B+")</f>
        <v>0</v>
      </c>
      <c r="U68" s="31"/>
      <c r="V68" s="31"/>
      <c r="W68" s="31"/>
      <c r="X68" s="31"/>
      <c r="Y68" s="31"/>
      <c r="Z68" s="31"/>
      <c r="AA68" s="31"/>
      <c r="AB68" s="34" t="s">
        <v>49</v>
      </c>
      <c r="AC68" s="31">
        <f>COUNTIF(AC8:AC63,"B+")</f>
        <v>0</v>
      </c>
      <c r="AD68" s="31"/>
      <c r="AE68" s="31"/>
      <c r="AF68" s="31"/>
      <c r="AG68" s="31"/>
      <c r="AH68" s="31"/>
      <c r="AI68" s="31"/>
      <c r="AJ68" s="31"/>
      <c r="AK68" s="34" t="s">
        <v>49</v>
      </c>
      <c r="AL68" s="31">
        <f>COUNTIF(AL8:AL63,"B+")</f>
        <v>0</v>
      </c>
      <c r="AM68" s="31"/>
      <c r="AN68" s="31"/>
      <c r="AO68" s="31"/>
      <c r="AP68" s="31"/>
      <c r="AQ68" s="31"/>
      <c r="AR68" s="31"/>
      <c r="AS68" s="31"/>
      <c r="AT68" s="34" t="s">
        <v>49</v>
      </c>
      <c r="AU68" s="31">
        <f>COUNTIF(AU8:AU63,"B+")</f>
        <v>0</v>
      </c>
      <c r="AV68" s="31"/>
      <c r="AW68" s="31"/>
      <c r="AX68" s="31"/>
      <c r="AY68" s="31"/>
      <c r="AZ68" s="31"/>
      <c r="BA68" s="31"/>
      <c r="BB68" s="31"/>
      <c r="BC68" s="34" t="s">
        <v>49</v>
      </c>
      <c r="BD68" s="31">
        <f>COUNTIF(BD8:BD63,"B+")</f>
        <v>0</v>
      </c>
      <c r="BE68" s="31"/>
      <c r="BF68" s="31"/>
      <c r="BG68" s="31"/>
      <c r="BH68" s="31"/>
      <c r="BI68" s="31"/>
      <c r="BJ68" s="31"/>
      <c r="BK68" s="31"/>
      <c r="BL68" s="34" t="s">
        <v>49</v>
      </c>
      <c r="BM68" s="31">
        <f>COUNTIF(BM8:BM63,"B+")</f>
        <v>0</v>
      </c>
      <c r="BN68" s="31"/>
      <c r="BO68" s="31"/>
      <c r="BP68" s="31"/>
      <c r="BQ68" s="31"/>
      <c r="BR68" s="31"/>
      <c r="BS68" s="31"/>
      <c r="BT68" s="31"/>
      <c r="BU68" s="34" t="s">
        <v>49</v>
      </c>
      <c r="BV68" s="31">
        <f>COUNTIF(BV8:BV63,"B+")</f>
        <v>0</v>
      </c>
      <c r="BW68" s="31"/>
      <c r="BX68" s="31"/>
      <c r="BY68" s="31"/>
      <c r="BZ68" s="31"/>
      <c r="CA68" s="34" t="s">
        <v>49</v>
      </c>
      <c r="CB68" s="35">
        <f>COUNTIF(CB8:CB63,"B+")</f>
        <v>0</v>
      </c>
      <c r="CC68" s="31"/>
      <c r="CD68" s="31"/>
      <c r="CE68" s="35"/>
      <c r="CF68" s="35"/>
      <c r="CG68" s="31"/>
      <c r="CH68" s="31" t="s">
        <v>70</v>
      </c>
      <c r="CI68" s="31">
        <f>COUNTIF(CI8:CI63,"PASS")</f>
        <v>0</v>
      </c>
    </row>
    <row r="69" spans="3:87" ht="15.75" x14ac:dyDescent="0.25">
      <c r="C69" s="11" t="s">
        <v>28</v>
      </c>
      <c r="D69" s="1"/>
      <c r="E69" s="36"/>
      <c r="F69" s="35"/>
      <c r="G69" s="35"/>
      <c r="H69" s="35"/>
      <c r="I69" s="35"/>
      <c r="J69" s="34" t="s">
        <v>4</v>
      </c>
      <c r="K69" s="31">
        <f>COUNTIF(K8:K63,"B")</f>
        <v>0</v>
      </c>
      <c r="L69" s="31"/>
      <c r="M69" s="31"/>
      <c r="N69" s="35"/>
      <c r="O69" s="35"/>
      <c r="P69" s="35"/>
      <c r="Q69" s="35"/>
      <c r="R69" s="35"/>
      <c r="S69" s="34" t="s">
        <v>4</v>
      </c>
      <c r="T69" s="31">
        <f>COUNTIF(T8:T63,"B")</f>
        <v>0</v>
      </c>
      <c r="U69" s="31"/>
      <c r="V69" s="31"/>
      <c r="W69" s="31"/>
      <c r="X69" s="31"/>
      <c r="Y69" s="31"/>
      <c r="Z69" s="31"/>
      <c r="AA69" s="31"/>
      <c r="AB69" s="34" t="s">
        <v>4</v>
      </c>
      <c r="AC69" s="31">
        <f>COUNTIF(AC8:AC63,"B")</f>
        <v>0</v>
      </c>
      <c r="AD69" s="31"/>
      <c r="AE69" s="31"/>
      <c r="AF69" s="31"/>
      <c r="AG69" s="31"/>
      <c r="AH69" s="31"/>
      <c r="AI69" s="31"/>
      <c r="AJ69" s="31"/>
      <c r="AK69" s="34" t="s">
        <v>4</v>
      </c>
      <c r="AL69" s="31">
        <f>COUNTIF(AL8:AL63,"B")</f>
        <v>0</v>
      </c>
      <c r="AM69" s="31"/>
      <c r="AN69" s="31"/>
      <c r="AO69" s="31"/>
      <c r="AP69" s="31"/>
      <c r="AQ69" s="31"/>
      <c r="AR69" s="31"/>
      <c r="AS69" s="31"/>
      <c r="AT69" s="34" t="s">
        <v>4</v>
      </c>
      <c r="AU69" s="31">
        <f>COUNTIF(AU8:AU63,"B")</f>
        <v>0</v>
      </c>
      <c r="AV69" s="31"/>
      <c r="AW69" s="31"/>
      <c r="AX69" s="31"/>
      <c r="AY69" s="31"/>
      <c r="AZ69" s="31"/>
      <c r="BA69" s="31"/>
      <c r="BB69" s="31"/>
      <c r="BC69" s="34" t="s">
        <v>4</v>
      </c>
      <c r="BD69" s="31">
        <f>COUNTIF(BD8:BD63,"B")</f>
        <v>0</v>
      </c>
      <c r="BE69" s="31"/>
      <c r="BF69" s="31"/>
      <c r="BG69" s="31"/>
      <c r="BH69" s="31"/>
      <c r="BI69" s="31"/>
      <c r="BJ69" s="31"/>
      <c r="BK69" s="31"/>
      <c r="BL69" s="34" t="s">
        <v>4</v>
      </c>
      <c r="BM69" s="31">
        <f>COUNTIF(BM8:BM63,"B")</f>
        <v>0</v>
      </c>
      <c r="BN69" s="31"/>
      <c r="BO69" s="31"/>
      <c r="BP69" s="31"/>
      <c r="BQ69" s="31"/>
      <c r="BR69" s="31"/>
      <c r="BS69" s="31"/>
      <c r="BT69" s="31"/>
      <c r="BU69" s="34" t="s">
        <v>4</v>
      </c>
      <c r="BV69" s="31">
        <f>COUNTIF(BV8:BV63,"B")</f>
        <v>0</v>
      </c>
      <c r="BW69" s="31"/>
      <c r="BX69" s="31"/>
      <c r="BY69" s="31"/>
      <c r="BZ69" s="31"/>
      <c r="CA69" s="34" t="s">
        <v>4</v>
      </c>
      <c r="CB69" s="35">
        <f>COUNTIF(CB8:CB63,"B")</f>
        <v>0</v>
      </c>
      <c r="CC69" s="31"/>
      <c r="CD69" s="31"/>
      <c r="CE69" s="35"/>
      <c r="CF69" s="35"/>
      <c r="CG69" s="31"/>
      <c r="CH69" s="31" t="s">
        <v>71</v>
      </c>
      <c r="CI69" s="31">
        <f>COUNTIF(CI8:CI63,"F")</f>
        <v>56</v>
      </c>
    </row>
    <row r="70" spans="3:87" ht="15.75" x14ac:dyDescent="0.25">
      <c r="C70" s="11" t="s">
        <v>28</v>
      </c>
      <c r="D70" s="1"/>
      <c r="E70" s="36"/>
      <c r="F70" s="35"/>
      <c r="G70" s="35"/>
      <c r="H70" s="35"/>
      <c r="I70" s="35"/>
      <c r="J70" s="34" t="s">
        <v>5</v>
      </c>
      <c r="K70" s="31">
        <f>COUNTIF(K8:K63,"C")</f>
        <v>0</v>
      </c>
      <c r="L70" s="31"/>
      <c r="M70" s="31"/>
      <c r="N70" s="35"/>
      <c r="O70" s="35"/>
      <c r="P70" s="35"/>
      <c r="Q70" s="35"/>
      <c r="R70" s="35"/>
      <c r="S70" s="34" t="s">
        <v>5</v>
      </c>
      <c r="T70" s="31">
        <f>COUNTIF(T8:T63,"C")</f>
        <v>0</v>
      </c>
      <c r="U70" s="31"/>
      <c r="V70" s="31"/>
      <c r="W70" s="31"/>
      <c r="X70" s="31"/>
      <c r="Y70" s="31"/>
      <c r="Z70" s="31"/>
      <c r="AA70" s="31"/>
      <c r="AB70" s="34" t="s">
        <v>5</v>
      </c>
      <c r="AC70" s="31">
        <f>COUNTIF(AC8:AC63,"C")</f>
        <v>0</v>
      </c>
      <c r="AD70" s="31"/>
      <c r="AE70" s="31"/>
      <c r="AF70" s="31"/>
      <c r="AG70" s="31"/>
      <c r="AH70" s="31"/>
      <c r="AI70" s="31"/>
      <c r="AJ70" s="31"/>
      <c r="AK70" s="34" t="s">
        <v>5</v>
      </c>
      <c r="AL70" s="31">
        <f>COUNTIF(AL8:AL63,"C")</f>
        <v>0</v>
      </c>
      <c r="AM70" s="31"/>
      <c r="AN70" s="31"/>
      <c r="AO70" s="31"/>
      <c r="AP70" s="31"/>
      <c r="AQ70" s="31"/>
      <c r="AR70" s="31"/>
      <c r="AS70" s="31"/>
      <c r="AT70" s="34" t="s">
        <v>5</v>
      </c>
      <c r="AU70" s="31">
        <f>COUNTIF(AU8:AU63,"C")</f>
        <v>0</v>
      </c>
      <c r="AV70" s="31"/>
      <c r="AW70" s="31"/>
      <c r="AX70" s="31"/>
      <c r="AY70" s="31"/>
      <c r="AZ70" s="31"/>
      <c r="BA70" s="31"/>
      <c r="BB70" s="31"/>
      <c r="BC70" s="34" t="s">
        <v>5</v>
      </c>
      <c r="BD70" s="31">
        <f>COUNTIF(BD8:BD63,"C")</f>
        <v>0</v>
      </c>
      <c r="BE70" s="31"/>
      <c r="BF70" s="31"/>
      <c r="BG70" s="31"/>
      <c r="BH70" s="31"/>
      <c r="BI70" s="31"/>
      <c r="BJ70" s="31"/>
      <c r="BK70" s="31"/>
      <c r="BL70" s="34" t="s">
        <v>5</v>
      </c>
      <c r="BM70" s="31">
        <f>COUNTIF(BM8:BM63,"C")</f>
        <v>0</v>
      </c>
      <c r="BN70" s="31"/>
      <c r="BO70" s="31"/>
      <c r="BP70" s="31"/>
      <c r="BQ70" s="31"/>
      <c r="BR70" s="31"/>
      <c r="BS70" s="31"/>
      <c r="BT70" s="31"/>
      <c r="BU70" s="34" t="s">
        <v>5</v>
      </c>
      <c r="BV70" s="31">
        <f>COUNTIF(BV8:BV63,"C")</f>
        <v>0</v>
      </c>
      <c r="BW70" s="31"/>
      <c r="BX70" s="31"/>
      <c r="BY70" s="31"/>
      <c r="BZ70" s="31"/>
      <c r="CA70" s="34" t="s">
        <v>5</v>
      </c>
      <c r="CB70" s="35">
        <f>COUNTIF(CB8:CB63,"C")</f>
        <v>0</v>
      </c>
      <c r="CC70" s="31"/>
      <c r="CD70" s="31"/>
      <c r="CE70" s="35"/>
      <c r="CF70" s="35"/>
      <c r="CG70" s="31"/>
      <c r="CH70" s="31"/>
      <c r="CI70" s="31"/>
    </row>
    <row r="71" spans="3:87" ht="15.75" x14ac:dyDescent="0.25">
      <c r="C71" s="11" t="s">
        <v>28</v>
      </c>
      <c r="D71" s="1"/>
      <c r="E71" s="36"/>
      <c r="F71" s="35"/>
      <c r="G71" s="35"/>
      <c r="H71" s="35"/>
      <c r="I71" s="35"/>
      <c r="J71" s="34" t="s">
        <v>50</v>
      </c>
      <c r="K71" s="31">
        <f>COUNTIF(K8:K63,"P")</f>
        <v>0</v>
      </c>
      <c r="L71" s="31"/>
      <c r="M71" s="31"/>
      <c r="N71" s="35"/>
      <c r="O71" s="35"/>
      <c r="P71" s="35"/>
      <c r="Q71" s="35"/>
      <c r="R71" s="35"/>
      <c r="S71" s="34" t="s">
        <v>50</v>
      </c>
      <c r="T71" s="31">
        <f>COUNTIF(T8:T63,"P")</f>
        <v>0</v>
      </c>
      <c r="U71" s="31"/>
      <c r="V71" s="31"/>
      <c r="W71" s="31"/>
      <c r="X71" s="31"/>
      <c r="Y71" s="31"/>
      <c r="Z71" s="31"/>
      <c r="AA71" s="31"/>
      <c r="AB71" s="34" t="s">
        <v>50</v>
      </c>
      <c r="AC71" s="31">
        <f>COUNTIF(AC8:AC63,"P")</f>
        <v>0</v>
      </c>
      <c r="AD71" s="31"/>
      <c r="AE71" s="31"/>
      <c r="AF71" s="31"/>
      <c r="AG71" s="31"/>
      <c r="AH71" s="31"/>
      <c r="AI71" s="31"/>
      <c r="AJ71" s="31"/>
      <c r="AK71" s="34" t="s">
        <v>50</v>
      </c>
      <c r="AL71" s="31">
        <f>COUNTIF(AL8:AL63,"P")</f>
        <v>0</v>
      </c>
      <c r="AM71" s="31"/>
      <c r="AN71" s="31"/>
      <c r="AO71" s="31"/>
      <c r="AP71" s="31"/>
      <c r="AQ71" s="31"/>
      <c r="AR71" s="31"/>
      <c r="AS71" s="31"/>
      <c r="AT71" s="34" t="s">
        <v>50</v>
      </c>
      <c r="AU71" s="31">
        <f>COUNTIF(AU8:AU63,"P")</f>
        <v>0</v>
      </c>
      <c r="AV71" s="31"/>
      <c r="AW71" s="31"/>
      <c r="AX71" s="31"/>
      <c r="AY71" s="31"/>
      <c r="AZ71" s="31"/>
      <c r="BA71" s="31"/>
      <c r="BB71" s="31"/>
      <c r="BC71" s="34" t="s">
        <v>50</v>
      </c>
      <c r="BD71" s="31">
        <f>COUNTIF(BD8:BD63,"P")</f>
        <v>0</v>
      </c>
      <c r="BE71" s="31"/>
      <c r="BF71" s="31"/>
      <c r="BG71" s="31"/>
      <c r="BH71" s="31"/>
      <c r="BI71" s="31"/>
      <c r="BJ71" s="31"/>
      <c r="BK71" s="31"/>
      <c r="BL71" s="34" t="s">
        <v>50</v>
      </c>
      <c r="BM71" s="31">
        <f>COUNTIF(BM8:BM63,"P")</f>
        <v>0</v>
      </c>
      <c r="BN71" s="31"/>
      <c r="BO71" s="31"/>
      <c r="BP71" s="31"/>
      <c r="BQ71" s="31"/>
      <c r="BR71" s="31"/>
      <c r="BS71" s="31"/>
      <c r="BT71" s="31"/>
      <c r="BU71" s="34" t="s">
        <v>50</v>
      </c>
      <c r="BV71" s="31">
        <f>COUNTIF(BV8:BV63,"P")</f>
        <v>0</v>
      </c>
      <c r="BW71" s="31"/>
      <c r="BX71" s="31"/>
      <c r="BY71" s="31"/>
      <c r="BZ71" s="31"/>
      <c r="CA71" s="34" t="s">
        <v>50</v>
      </c>
      <c r="CB71" s="35">
        <f>COUNTIF(CB8:CB63,"P")</f>
        <v>0</v>
      </c>
      <c r="CC71" s="31"/>
      <c r="CD71" s="31"/>
      <c r="CE71" s="35"/>
      <c r="CF71" s="35"/>
      <c r="CG71" s="31"/>
      <c r="CH71" s="31"/>
      <c r="CI71" s="31"/>
    </row>
    <row r="72" spans="3:87" ht="15.75" x14ac:dyDescent="0.25">
      <c r="C72" s="11" t="s">
        <v>28</v>
      </c>
      <c r="D72" s="1"/>
      <c r="E72" s="36"/>
      <c r="F72" s="35"/>
      <c r="G72" s="35"/>
      <c r="H72" s="35"/>
      <c r="I72" s="35"/>
      <c r="J72" s="34" t="s">
        <v>11</v>
      </c>
      <c r="K72" s="31">
        <f>COUNTIF(K8:K63,"F")</f>
        <v>55</v>
      </c>
      <c r="L72" s="31"/>
      <c r="M72" s="31"/>
      <c r="N72" s="35"/>
      <c r="O72" s="35"/>
      <c r="P72" s="35"/>
      <c r="Q72" s="35"/>
      <c r="R72" s="35"/>
      <c r="S72" s="34" t="s">
        <v>11</v>
      </c>
      <c r="T72" s="31">
        <f>COUNTIF(T8:T63,"F")</f>
        <v>56</v>
      </c>
      <c r="U72" s="31"/>
      <c r="V72" s="31"/>
      <c r="W72" s="31"/>
      <c r="X72" s="31"/>
      <c r="Y72" s="31"/>
      <c r="Z72" s="31"/>
      <c r="AA72" s="31"/>
      <c r="AB72" s="34" t="s">
        <v>11</v>
      </c>
      <c r="AC72" s="31">
        <f>COUNTIF(AC8:AC63,"F")</f>
        <v>56</v>
      </c>
      <c r="AD72" s="31"/>
      <c r="AE72" s="31"/>
      <c r="AF72" s="31"/>
      <c r="AG72" s="31"/>
      <c r="AH72" s="31"/>
      <c r="AI72" s="31"/>
      <c r="AJ72" s="31"/>
      <c r="AK72" s="34" t="s">
        <v>11</v>
      </c>
      <c r="AL72" s="31">
        <f>COUNTIF(AL8:AL63,"F")</f>
        <v>56</v>
      </c>
      <c r="AM72" s="31"/>
      <c r="AN72" s="31"/>
      <c r="AO72" s="31"/>
      <c r="AP72" s="31"/>
      <c r="AQ72" s="31"/>
      <c r="AR72" s="31"/>
      <c r="AS72" s="31"/>
      <c r="AT72" s="34" t="s">
        <v>11</v>
      </c>
      <c r="AU72" s="31">
        <f>COUNTIF(AU8:AU63,"F")</f>
        <v>56</v>
      </c>
      <c r="AV72" s="31"/>
      <c r="AW72" s="31"/>
      <c r="AX72" s="31"/>
      <c r="AY72" s="31"/>
      <c r="AZ72" s="31"/>
      <c r="BA72" s="31"/>
      <c r="BB72" s="31"/>
      <c r="BC72" s="34" t="s">
        <v>11</v>
      </c>
      <c r="BD72" s="31">
        <f>COUNTIF(BD8:BD63,"F")</f>
        <v>56</v>
      </c>
      <c r="BE72" s="31"/>
      <c r="BF72" s="31"/>
      <c r="BG72" s="31"/>
      <c r="BH72" s="31"/>
      <c r="BI72" s="31"/>
      <c r="BJ72" s="31"/>
      <c r="BK72" s="31"/>
      <c r="BL72" s="34" t="s">
        <v>11</v>
      </c>
      <c r="BM72" s="31">
        <f>COUNTIF(BM8:BM63,"F")</f>
        <v>56</v>
      </c>
      <c r="BN72" s="31"/>
      <c r="BO72" s="31"/>
      <c r="BP72" s="31"/>
      <c r="BQ72" s="31"/>
      <c r="BR72" s="31"/>
      <c r="BS72" s="31"/>
      <c r="BT72" s="31"/>
      <c r="BU72" s="34" t="s">
        <v>11</v>
      </c>
      <c r="BV72" s="31">
        <f>COUNTIF(BV8:BV63,"F")</f>
        <v>56</v>
      </c>
      <c r="BW72" s="31"/>
      <c r="BX72" s="31"/>
      <c r="BY72" s="31"/>
      <c r="BZ72" s="31"/>
      <c r="CA72" s="34" t="s">
        <v>11</v>
      </c>
      <c r="CB72" s="35">
        <f>COUNTIF(CB8:CB63,"F")</f>
        <v>56</v>
      </c>
      <c r="CC72" s="31"/>
      <c r="CD72" s="31"/>
      <c r="CE72" s="35"/>
      <c r="CF72" s="35"/>
      <c r="CG72" s="31"/>
      <c r="CH72" s="31"/>
      <c r="CI72" s="31"/>
    </row>
    <row r="73" spans="3:87" ht="15.75" x14ac:dyDescent="0.25">
      <c r="C73" s="11" t="s">
        <v>28</v>
      </c>
      <c r="D73" s="1"/>
      <c r="E73" s="36"/>
      <c r="F73" s="35"/>
      <c r="G73" s="35"/>
      <c r="H73" s="35"/>
      <c r="I73" s="35"/>
      <c r="J73" s="34" t="s">
        <v>45</v>
      </c>
      <c r="K73" s="31">
        <f>COUNTIF(K8:K63,"AB")</f>
        <v>0</v>
      </c>
      <c r="L73" s="31"/>
      <c r="M73" s="31"/>
      <c r="N73" s="35"/>
      <c r="O73" s="35"/>
      <c r="P73" s="35"/>
      <c r="Q73" s="35"/>
      <c r="R73" s="35"/>
      <c r="S73" s="34" t="s">
        <v>45</v>
      </c>
      <c r="T73" s="31">
        <f>COUNTIF(T8:T63,"AB")</f>
        <v>0</v>
      </c>
      <c r="U73" s="31"/>
      <c r="V73" s="31"/>
      <c r="W73" s="31"/>
      <c r="X73" s="31"/>
      <c r="Y73" s="31"/>
      <c r="Z73" s="31"/>
      <c r="AA73" s="31"/>
      <c r="AB73" s="34" t="s">
        <v>45</v>
      </c>
      <c r="AC73" s="31">
        <f>COUNTIF(AC8:AC63,"AB")</f>
        <v>0</v>
      </c>
      <c r="AD73" s="31"/>
      <c r="AE73" s="31"/>
      <c r="AF73" s="31"/>
      <c r="AG73" s="31"/>
      <c r="AH73" s="31"/>
      <c r="AI73" s="31"/>
      <c r="AJ73" s="31"/>
      <c r="AK73" s="34" t="s">
        <v>45</v>
      </c>
      <c r="AL73" s="31">
        <f>COUNTIF(AL8:AL63,"AB")</f>
        <v>0</v>
      </c>
      <c r="AM73" s="31"/>
      <c r="AN73" s="31"/>
      <c r="AO73" s="31"/>
      <c r="AP73" s="31"/>
      <c r="AQ73" s="31"/>
      <c r="AR73" s="31"/>
      <c r="AS73" s="31"/>
      <c r="AT73" s="34" t="s">
        <v>45</v>
      </c>
      <c r="AU73" s="31">
        <f>COUNTIF(AU8:AU63,"AB")</f>
        <v>0</v>
      </c>
      <c r="AV73" s="31"/>
      <c r="AW73" s="31"/>
      <c r="AX73" s="31"/>
      <c r="AY73" s="31"/>
      <c r="AZ73" s="31"/>
      <c r="BA73" s="31"/>
      <c r="BB73" s="31"/>
      <c r="BC73" s="34" t="s">
        <v>45</v>
      </c>
      <c r="BD73" s="31">
        <f>COUNTIF(BD8:BD63,"AB")</f>
        <v>0</v>
      </c>
      <c r="BE73" s="31"/>
      <c r="BF73" s="31"/>
      <c r="BG73" s="31"/>
      <c r="BH73" s="31"/>
      <c r="BI73" s="31"/>
      <c r="BJ73" s="31"/>
      <c r="BK73" s="31"/>
      <c r="BL73" s="34" t="s">
        <v>45</v>
      </c>
      <c r="BM73" s="31">
        <f>COUNTIF(BM8:BM63,"AB")</f>
        <v>0</v>
      </c>
      <c r="BN73" s="31"/>
      <c r="BO73" s="31"/>
      <c r="BP73" s="31"/>
      <c r="BQ73" s="31"/>
      <c r="BR73" s="31"/>
      <c r="BS73" s="31"/>
      <c r="BT73" s="31"/>
      <c r="BU73" s="34" t="s">
        <v>45</v>
      </c>
      <c r="BV73" s="31">
        <f>COUNTIF(BV8:BV63,"AB")</f>
        <v>0</v>
      </c>
      <c r="BW73" s="31"/>
      <c r="BX73" s="31"/>
      <c r="BY73" s="31"/>
      <c r="BZ73" s="31"/>
      <c r="CA73" s="34" t="s">
        <v>45</v>
      </c>
      <c r="CB73" s="35">
        <f>COUNTIF(CB8:CB63,"AB")</f>
        <v>0</v>
      </c>
      <c r="CC73" s="31"/>
      <c r="CD73" s="31"/>
      <c r="CE73" s="35"/>
      <c r="CF73" s="35"/>
      <c r="CG73" s="31"/>
      <c r="CH73" s="31"/>
      <c r="CI73" s="31"/>
    </row>
    <row r="74" spans="3:87" ht="15.75" x14ac:dyDescent="0.25">
      <c r="D74" s="1"/>
      <c r="E74" s="36"/>
      <c r="F74" s="35"/>
      <c r="G74" s="35"/>
      <c r="H74" s="35"/>
      <c r="I74" s="35"/>
      <c r="J74" s="34"/>
      <c r="K74" s="31"/>
      <c r="L74" s="31"/>
      <c r="M74" s="31"/>
      <c r="N74" s="35"/>
      <c r="O74" s="35"/>
      <c r="P74" s="35"/>
      <c r="Q74" s="35"/>
      <c r="R74" s="35"/>
      <c r="S74" s="34"/>
      <c r="T74" s="31"/>
      <c r="U74" s="31"/>
      <c r="V74" s="31"/>
      <c r="W74" s="31"/>
      <c r="X74" s="31"/>
      <c r="Y74" s="31"/>
      <c r="Z74" s="31"/>
      <c r="AA74" s="31"/>
      <c r="AB74" s="34"/>
      <c r="AC74" s="31"/>
      <c r="AD74" s="31"/>
      <c r="AE74" s="31"/>
      <c r="AF74" s="31"/>
      <c r="AG74" s="31"/>
      <c r="AH74" s="31"/>
      <c r="AI74" s="31"/>
      <c r="AJ74" s="31"/>
      <c r="AK74" s="34"/>
      <c r="AL74" s="31"/>
      <c r="AM74" s="31"/>
      <c r="AN74" s="31"/>
      <c r="AO74" s="31"/>
      <c r="AP74" s="31"/>
      <c r="AQ74" s="31"/>
      <c r="AR74" s="31"/>
      <c r="AS74" s="31"/>
      <c r="AT74" s="34"/>
      <c r="AU74" s="31"/>
      <c r="AV74" s="31"/>
      <c r="AW74" s="31"/>
      <c r="AX74" s="31"/>
      <c r="AY74" s="31"/>
      <c r="AZ74" s="31"/>
      <c r="BA74" s="31"/>
      <c r="BB74" s="31"/>
      <c r="BC74" s="34"/>
      <c r="BD74" s="31"/>
      <c r="BE74" s="31"/>
      <c r="BF74" s="31"/>
      <c r="BG74" s="31"/>
      <c r="BH74" s="31"/>
      <c r="BI74" s="31"/>
      <c r="BJ74" s="31"/>
      <c r="BK74" s="31"/>
      <c r="BL74" s="34"/>
      <c r="BM74" s="31"/>
      <c r="BN74" s="31"/>
      <c r="BO74" s="31"/>
      <c r="BP74" s="31"/>
      <c r="BQ74" s="31"/>
      <c r="BR74" s="31"/>
      <c r="BS74" s="31"/>
      <c r="BT74" s="31"/>
      <c r="BU74" s="34"/>
      <c r="BV74" s="31"/>
      <c r="BW74" s="31"/>
      <c r="BX74" s="31"/>
      <c r="BY74" s="31"/>
      <c r="BZ74" s="31"/>
      <c r="CA74" s="31"/>
      <c r="CB74" s="35"/>
      <c r="CC74" s="31"/>
      <c r="CD74" s="31"/>
      <c r="CE74" s="35"/>
      <c r="CF74" s="35"/>
      <c r="CG74" s="31"/>
      <c r="CH74" s="31"/>
      <c r="CI74" s="31"/>
    </row>
    <row r="75" spans="3:87" ht="15.75" x14ac:dyDescent="0.25">
      <c r="C75" s="11" t="s">
        <v>46</v>
      </c>
      <c r="D75" s="1"/>
      <c r="E75" s="36"/>
      <c r="F75" s="35"/>
      <c r="G75" s="35"/>
      <c r="H75" s="35"/>
      <c r="I75" s="35"/>
      <c r="J75" s="35"/>
      <c r="K75" s="31">
        <v>63</v>
      </c>
      <c r="L75" s="31"/>
      <c r="M75" s="31"/>
      <c r="N75" s="35"/>
      <c r="O75" s="35"/>
      <c r="P75" s="35"/>
      <c r="Q75" s="35"/>
      <c r="R75" s="35"/>
      <c r="S75" s="35"/>
      <c r="T75" s="31">
        <v>63</v>
      </c>
      <c r="U75" s="31"/>
      <c r="V75" s="31"/>
      <c r="W75" s="31"/>
      <c r="X75" s="31"/>
      <c r="Y75" s="31"/>
      <c r="Z75" s="31"/>
      <c r="AA75" s="31"/>
      <c r="AB75" s="35"/>
      <c r="AC75" s="31">
        <v>63</v>
      </c>
      <c r="AD75" s="31"/>
      <c r="AE75" s="31"/>
      <c r="AF75" s="31"/>
      <c r="AG75" s="31"/>
      <c r="AH75" s="31"/>
      <c r="AI75" s="31"/>
      <c r="AJ75" s="31"/>
      <c r="AK75" s="35"/>
      <c r="AL75" s="31">
        <v>63</v>
      </c>
      <c r="AM75" s="31"/>
      <c r="AN75" s="31"/>
      <c r="AO75" s="31"/>
      <c r="AP75" s="31"/>
      <c r="AQ75" s="31"/>
      <c r="AR75" s="31"/>
      <c r="AS75" s="31"/>
      <c r="AT75" s="35"/>
      <c r="AU75" s="31">
        <v>63</v>
      </c>
      <c r="AV75" s="31"/>
      <c r="AW75" s="31"/>
      <c r="AX75" s="31"/>
      <c r="AY75" s="31"/>
      <c r="AZ75" s="31"/>
      <c r="BA75" s="31"/>
      <c r="BB75" s="31"/>
      <c r="BC75" s="35"/>
      <c r="BD75" s="31">
        <v>63</v>
      </c>
      <c r="BE75" s="31"/>
      <c r="BF75" s="31"/>
      <c r="BG75" s="31"/>
      <c r="BH75" s="31"/>
      <c r="BI75" s="31"/>
      <c r="BJ75" s="31"/>
      <c r="BK75" s="31"/>
      <c r="BL75" s="35"/>
      <c r="BM75" s="31">
        <v>63</v>
      </c>
      <c r="BN75" s="31"/>
      <c r="BO75" s="31"/>
      <c r="BP75" s="31"/>
      <c r="BQ75" s="31"/>
      <c r="BR75" s="31"/>
      <c r="BS75" s="31"/>
      <c r="BT75" s="31"/>
      <c r="BU75" s="35"/>
      <c r="BV75" s="31">
        <v>63</v>
      </c>
      <c r="BW75" s="31"/>
      <c r="BX75" s="31"/>
      <c r="BY75" s="31"/>
      <c r="BZ75" s="31"/>
      <c r="CA75" s="31"/>
      <c r="CB75" s="35">
        <v>63</v>
      </c>
      <c r="CC75" s="31"/>
      <c r="CD75" s="31"/>
      <c r="CE75" s="35"/>
      <c r="CF75" s="35"/>
      <c r="CG75" s="31"/>
      <c r="CH75" s="31"/>
      <c r="CI75" s="31"/>
    </row>
    <row r="76" spans="3:87" ht="15.75" x14ac:dyDescent="0.25">
      <c r="C76" s="11" t="s">
        <v>29</v>
      </c>
      <c r="D76" s="1"/>
      <c r="E76" s="36"/>
      <c r="F76" s="35"/>
      <c r="G76" s="35"/>
      <c r="H76" s="35"/>
      <c r="I76" s="35"/>
      <c r="J76" s="35"/>
      <c r="K76" s="31">
        <f>K75-K72</f>
        <v>8</v>
      </c>
      <c r="L76" s="31"/>
      <c r="M76" s="31"/>
      <c r="N76" s="31"/>
      <c r="O76" s="31"/>
      <c r="P76" s="31"/>
      <c r="Q76" s="31"/>
      <c r="R76" s="31"/>
      <c r="S76" s="31"/>
      <c r="T76" s="31">
        <f>T75-T72</f>
        <v>7</v>
      </c>
      <c r="U76" s="31"/>
      <c r="V76" s="31"/>
      <c r="W76" s="31"/>
      <c r="X76" s="31"/>
      <c r="Y76" s="31"/>
      <c r="Z76" s="31"/>
      <c r="AA76" s="31"/>
      <c r="AB76" s="31"/>
      <c r="AC76" s="31">
        <f>AC75-AC72</f>
        <v>7</v>
      </c>
      <c r="AD76" s="31"/>
      <c r="AE76" s="31"/>
      <c r="AF76" s="31"/>
      <c r="AG76" s="31"/>
      <c r="AH76" s="31"/>
      <c r="AI76" s="31"/>
      <c r="AJ76" s="31"/>
      <c r="AK76" s="31"/>
      <c r="AL76" s="31">
        <f>AL75-AL72</f>
        <v>7</v>
      </c>
      <c r="AM76" s="31"/>
      <c r="AN76" s="31"/>
      <c r="AO76" s="31"/>
      <c r="AP76" s="31"/>
      <c r="AQ76" s="31"/>
      <c r="AR76" s="31"/>
      <c r="AS76" s="31"/>
      <c r="AT76" s="31"/>
      <c r="AU76" s="31">
        <f>AU75-AU72</f>
        <v>7</v>
      </c>
      <c r="AV76" s="31"/>
      <c r="AW76" s="31"/>
      <c r="AX76" s="31"/>
      <c r="AY76" s="31"/>
      <c r="AZ76" s="31"/>
      <c r="BA76" s="31"/>
      <c r="BB76" s="31"/>
      <c r="BC76" s="31"/>
      <c r="BD76" s="31">
        <f>BD75-BD72</f>
        <v>7</v>
      </c>
      <c r="BE76" s="31"/>
      <c r="BF76" s="31"/>
      <c r="BG76" s="31"/>
      <c r="BH76" s="31"/>
      <c r="BI76" s="31"/>
      <c r="BJ76" s="31"/>
      <c r="BK76" s="31"/>
      <c r="BL76" s="31"/>
      <c r="BM76" s="31">
        <f>BM75-BM72</f>
        <v>7</v>
      </c>
      <c r="BN76" s="31"/>
      <c r="BO76" s="31"/>
      <c r="BP76" s="31"/>
      <c r="BQ76" s="31"/>
      <c r="BR76" s="31"/>
      <c r="BS76" s="31"/>
      <c r="BT76" s="31"/>
      <c r="BU76" s="31"/>
      <c r="BV76" s="31">
        <f>BV75-BV72</f>
        <v>7</v>
      </c>
      <c r="BW76" s="31"/>
      <c r="BX76" s="31"/>
      <c r="BY76" s="31"/>
      <c r="BZ76" s="31"/>
      <c r="CA76" s="31"/>
      <c r="CB76" s="35">
        <f>CB75-CB72</f>
        <v>7</v>
      </c>
      <c r="CC76" s="31"/>
      <c r="CD76" s="31"/>
      <c r="CE76" s="35"/>
      <c r="CF76" s="35"/>
      <c r="CG76" s="31"/>
      <c r="CH76" s="31"/>
      <c r="CI76" s="31"/>
    </row>
    <row r="77" spans="3:87" ht="15.75" x14ac:dyDescent="0.25">
      <c r="D77" s="1"/>
      <c r="E77" s="36"/>
      <c r="F77" s="35"/>
      <c r="G77" s="35"/>
      <c r="H77" s="35"/>
      <c r="I77" s="35"/>
      <c r="J77" s="35"/>
      <c r="K77" s="31"/>
      <c r="L77" s="31"/>
      <c r="M77" s="31"/>
      <c r="N77" s="35"/>
      <c r="O77" s="35"/>
      <c r="P77" s="35"/>
      <c r="Q77" s="35"/>
      <c r="R77" s="35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  <c r="BD77" s="31"/>
      <c r="BE77" s="31"/>
      <c r="BF77" s="31"/>
      <c r="BG77" s="31"/>
      <c r="BH77" s="31"/>
      <c r="BI77" s="31"/>
      <c r="BJ77" s="31"/>
      <c r="BK77" s="31"/>
      <c r="BL77" s="31"/>
      <c r="BM77" s="31"/>
      <c r="BN77" s="31"/>
      <c r="BO77" s="31"/>
      <c r="BP77" s="31"/>
      <c r="BQ77" s="31"/>
      <c r="BR77" s="31"/>
      <c r="BS77" s="31"/>
      <c r="BT77" s="31"/>
      <c r="BU77" s="31"/>
      <c r="BV77" s="31"/>
      <c r="BW77" s="31"/>
      <c r="BX77" s="31"/>
      <c r="BY77" s="31"/>
      <c r="BZ77" s="31"/>
      <c r="CA77" s="31"/>
      <c r="CB77" s="35"/>
      <c r="CC77" s="31"/>
      <c r="CD77" s="31"/>
      <c r="CE77" s="35"/>
      <c r="CF77" s="35"/>
      <c r="CG77" s="31"/>
      <c r="CH77" s="31"/>
      <c r="CI77" s="31"/>
    </row>
    <row r="78" spans="3:87" ht="15.75" x14ac:dyDescent="0.25">
      <c r="D78" s="1"/>
      <c r="E78" s="36"/>
      <c r="F78" s="35"/>
      <c r="G78" s="35"/>
      <c r="H78" s="35"/>
      <c r="I78" s="35"/>
      <c r="J78" s="35"/>
      <c r="K78" s="31"/>
      <c r="L78" s="31"/>
      <c r="M78" s="31"/>
      <c r="N78" s="35"/>
      <c r="O78" s="35"/>
      <c r="P78" s="35"/>
      <c r="Q78" s="35"/>
      <c r="R78" s="35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23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  <c r="BD78" s="31"/>
      <c r="BE78" s="31"/>
      <c r="BF78" s="31"/>
      <c r="BG78" s="31"/>
      <c r="BH78" s="31"/>
      <c r="BI78" s="31"/>
      <c r="BJ78" s="31"/>
      <c r="BK78" s="31"/>
      <c r="BL78" s="31"/>
      <c r="BM78" s="31"/>
      <c r="BN78" s="31"/>
      <c r="BO78" s="31"/>
      <c r="BP78" s="31"/>
      <c r="BQ78" s="31"/>
      <c r="BR78" s="31"/>
      <c r="BS78" s="31"/>
      <c r="BT78" s="31"/>
      <c r="BU78" s="31"/>
      <c r="BV78" s="31"/>
      <c r="BW78" s="31"/>
      <c r="BX78" s="31"/>
      <c r="BY78" s="31"/>
      <c r="BZ78" s="31"/>
      <c r="CA78" s="31"/>
      <c r="CB78" s="35"/>
      <c r="CC78" s="31"/>
      <c r="CD78" s="31"/>
      <c r="CE78" s="35"/>
      <c r="CF78" s="35"/>
      <c r="CG78" s="31"/>
      <c r="CH78" s="31"/>
      <c r="CI78" s="31"/>
    </row>
    <row r="79" spans="3:87" ht="15.75" x14ac:dyDescent="0.25">
      <c r="D79" s="1"/>
      <c r="E79" s="36"/>
      <c r="F79" s="35"/>
      <c r="G79" s="35"/>
      <c r="H79" s="35"/>
      <c r="I79" s="35"/>
      <c r="J79" s="35"/>
      <c r="K79" s="31"/>
      <c r="L79" s="31"/>
      <c r="M79" s="31"/>
      <c r="N79" s="35"/>
      <c r="O79" s="35"/>
      <c r="P79" s="35"/>
      <c r="Q79" s="35"/>
      <c r="R79" s="35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23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  <c r="BD79" s="31"/>
      <c r="BE79" s="31"/>
      <c r="BF79" s="31"/>
      <c r="BG79" s="31"/>
      <c r="BH79" s="31"/>
      <c r="BI79" s="31"/>
      <c r="BJ79" s="31"/>
      <c r="BK79" s="31"/>
      <c r="BL79" s="31"/>
      <c r="BM79" s="31"/>
      <c r="BN79" s="31"/>
      <c r="BO79" s="31"/>
      <c r="BP79" s="31"/>
      <c r="BQ79" s="31"/>
      <c r="BR79" s="31"/>
      <c r="BS79" s="31"/>
      <c r="BT79" s="31"/>
      <c r="BU79" s="31"/>
      <c r="BV79" s="31"/>
      <c r="BW79" s="31"/>
      <c r="BX79" s="31"/>
      <c r="BY79" s="31"/>
      <c r="BZ79" s="31"/>
      <c r="CA79" s="31"/>
      <c r="CB79" s="35"/>
      <c r="CC79" s="31"/>
      <c r="CD79" s="31"/>
      <c r="CE79" s="35"/>
      <c r="CF79" s="35"/>
      <c r="CG79" s="31"/>
      <c r="CH79" s="31"/>
      <c r="CI79" s="31"/>
    </row>
    <row r="80" spans="3:87" ht="15.75" x14ac:dyDescent="0.25">
      <c r="D80" s="1"/>
      <c r="AM80" s="23"/>
    </row>
    <row r="81" spans="4:84" ht="15.75" x14ac:dyDescent="0.25">
      <c r="D81" s="1"/>
      <c r="AM81" s="23"/>
    </row>
    <row r="82" spans="4:84" ht="15.75" x14ac:dyDescent="0.25">
      <c r="D82" s="1"/>
      <c r="AM82" s="23"/>
    </row>
    <row r="83" spans="4:84" ht="15.75" x14ac:dyDescent="0.25">
      <c r="D83" s="1"/>
      <c r="AM83" s="23"/>
    </row>
    <row r="84" spans="4:84" x14ac:dyDescent="0.25">
      <c r="D84" s="1"/>
      <c r="AM84" s="1"/>
    </row>
    <row r="85" spans="4:84" x14ac:dyDescent="0.25">
      <c r="D85" s="1"/>
      <c r="E85" s="11"/>
      <c r="F85" s="11"/>
      <c r="G85" s="11"/>
      <c r="H85" s="11"/>
      <c r="I85" s="11"/>
      <c r="J85" s="11"/>
      <c r="N85" s="11"/>
      <c r="O85" s="11"/>
      <c r="P85" s="11"/>
      <c r="Q85" s="11"/>
      <c r="R85" s="11"/>
    </row>
    <row r="86" spans="4:84" x14ac:dyDescent="0.25">
      <c r="D86" s="1"/>
      <c r="E86" s="11"/>
      <c r="F86" s="11"/>
      <c r="G86" s="11"/>
      <c r="H86" s="11"/>
      <c r="I86" s="11"/>
      <c r="J86" s="11"/>
      <c r="N86" s="11"/>
      <c r="O86" s="11"/>
      <c r="P86" s="11"/>
      <c r="Q86" s="11"/>
      <c r="R86" s="11"/>
    </row>
    <row r="87" spans="4:84" x14ac:dyDescent="0.25">
      <c r="D87" s="1"/>
      <c r="E87" s="11"/>
      <c r="F87" s="11"/>
      <c r="G87" s="11"/>
      <c r="H87" s="11"/>
      <c r="I87" s="11"/>
      <c r="J87" s="11"/>
      <c r="N87" s="11"/>
      <c r="O87" s="11"/>
      <c r="P87" s="11"/>
      <c r="Q87" s="11"/>
      <c r="R87" s="11"/>
    </row>
    <row r="88" spans="4:84" x14ac:dyDescent="0.25">
      <c r="D88" s="1"/>
      <c r="E88" s="11"/>
      <c r="F88" s="11"/>
      <c r="G88" s="11"/>
      <c r="H88" s="11"/>
      <c r="I88" s="11"/>
      <c r="J88" s="11"/>
      <c r="N88" s="11"/>
      <c r="O88" s="11"/>
      <c r="P88" s="11"/>
      <c r="Q88" s="11"/>
      <c r="R88" s="11"/>
    </row>
    <row r="89" spans="4:84" x14ac:dyDescent="0.25">
      <c r="D89" s="1"/>
      <c r="E89" s="11"/>
      <c r="F89" s="11"/>
      <c r="G89" s="11"/>
      <c r="H89" s="11"/>
      <c r="I89" s="11"/>
      <c r="J89" s="11"/>
      <c r="N89" s="11"/>
      <c r="O89" s="11"/>
      <c r="P89" s="11"/>
      <c r="Q89" s="11"/>
      <c r="R89" s="11"/>
    </row>
    <row r="90" spans="4:84" x14ac:dyDescent="0.25">
      <c r="D90" s="1"/>
      <c r="E90" s="11"/>
      <c r="F90" s="11"/>
      <c r="G90" s="11"/>
      <c r="H90" s="11"/>
      <c r="I90" s="11"/>
      <c r="J90" s="11"/>
      <c r="N90" s="11"/>
      <c r="O90" s="11"/>
      <c r="P90" s="11"/>
      <c r="Q90" s="11"/>
      <c r="R90" s="11"/>
      <c r="CB90" s="11"/>
      <c r="CE90" s="11"/>
      <c r="CF90" s="11"/>
    </row>
    <row r="91" spans="4:84" x14ac:dyDescent="0.25">
      <c r="D91" s="1"/>
      <c r="E91" s="11"/>
      <c r="F91" s="11"/>
      <c r="G91" s="11"/>
      <c r="H91" s="11"/>
      <c r="I91" s="11"/>
      <c r="J91" s="11"/>
      <c r="N91" s="11"/>
      <c r="O91" s="11"/>
      <c r="P91" s="11"/>
      <c r="Q91" s="11"/>
      <c r="R91" s="11"/>
      <c r="CB91" s="11"/>
      <c r="CE91" s="11"/>
      <c r="CF91" s="11"/>
    </row>
    <row r="92" spans="4:84" x14ac:dyDescent="0.25">
      <c r="D92" s="1"/>
      <c r="E92" s="11"/>
      <c r="F92" s="11"/>
      <c r="G92" s="11"/>
      <c r="H92" s="11"/>
      <c r="I92" s="11"/>
      <c r="J92" s="11"/>
      <c r="N92" s="11"/>
      <c r="O92" s="11"/>
      <c r="P92" s="11"/>
      <c r="Q92" s="11"/>
      <c r="R92" s="11"/>
      <c r="CB92" s="11"/>
      <c r="CE92" s="11"/>
      <c r="CF92" s="11"/>
    </row>
    <row r="93" spans="4:84" x14ac:dyDescent="0.25">
      <c r="D93" s="1"/>
      <c r="E93" s="11"/>
      <c r="F93" s="11"/>
      <c r="G93" s="11"/>
      <c r="H93" s="11"/>
      <c r="I93" s="11"/>
      <c r="J93" s="11"/>
      <c r="N93" s="11"/>
      <c r="O93" s="11"/>
      <c r="P93" s="11"/>
      <c r="Q93" s="11"/>
      <c r="R93" s="11"/>
      <c r="CB93" s="11"/>
      <c r="CE93" s="11"/>
      <c r="CF93" s="11"/>
    </row>
    <row r="94" spans="4:84" x14ac:dyDescent="0.25">
      <c r="D94" s="24"/>
      <c r="E94" s="11"/>
      <c r="F94" s="11"/>
      <c r="G94" s="11"/>
      <c r="H94" s="11"/>
      <c r="I94" s="11"/>
      <c r="J94" s="11"/>
      <c r="N94" s="11"/>
      <c r="O94" s="11"/>
      <c r="P94" s="11"/>
      <c r="Q94" s="11"/>
      <c r="R94" s="11"/>
      <c r="CB94" s="11"/>
      <c r="CE94" s="11"/>
      <c r="CF94" s="11"/>
    </row>
    <row r="95" spans="4:84" x14ac:dyDescent="0.25">
      <c r="E95" s="11"/>
      <c r="F95" s="11"/>
      <c r="G95" s="11"/>
      <c r="H95" s="11"/>
      <c r="I95" s="11"/>
      <c r="J95" s="11"/>
      <c r="N95" s="11"/>
      <c r="O95" s="11"/>
      <c r="P95" s="11"/>
      <c r="Q95" s="11"/>
      <c r="R95" s="11"/>
      <c r="CB95" s="11"/>
      <c r="CE95" s="11"/>
      <c r="CF95" s="11"/>
    </row>
    <row r="96" spans="4:84" x14ac:dyDescent="0.25">
      <c r="E96" s="11"/>
      <c r="F96" s="11"/>
      <c r="G96" s="11"/>
      <c r="H96" s="11"/>
      <c r="I96" s="11"/>
      <c r="J96" s="11"/>
      <c r="N96" s="11"/>
      <c r="O96" s="11"/>
      <c r="P96" s="11"/>
      <c r="Q96" s="11"/>
      <c r="R96" s="11"/>
      <c r="CB96" s="11"/>
      <c r="CE96" s="11"/>
      <c r="CF96" s="11"/>
    </row>
    <row r="97" spans="4:84" x14ac:dyDescent="0.25">
      <c r="E97" s="11"/>
      <c r="F97" s="11"/>
      <c r="G97" s="11"/>
      <c r="H97" s="11"/>
      <c r="I97" s="11"/>
      <c r="J97" s="11"/>
      <c r="N97" s="11"/>
      <c r="O97" s="11"/>
      <c r="P97" s="11"/>
      <c r="Q97" s="11"/>
      <c r="R97" s="11"/>
      <c r="CB97" s="11"/>
      <c r="CE97" s="11"/>
      <c r="CF97" s="11"/>
    </row>
    <row r="98" spans="4:84" x14ac:dyDescent="0.25">
      <c r="E98" s="11"/>
      <c r="F98" s="11"/>
      <c r="G98" s="11"/>
      <c r="H98" s="11"/>
      <c r="I98" s="11"/>
      <c r="J98" s="11"/>
      <c r="N98" s="11"/>
      <c r="O98" s="11"/>
      <c r="P98" s="11"/>
      <c r="Q98" s="11"/>
      <c r="R98" s="11"/>
      <c r="CB98" s="11"/>
      <c r="CE98" s="11"/>
      <c r="CF98" s="11"/>
    </row>
    <row r="99" spans="4:84" x14ac:dyDescent="0.25">
      <c r="E99" s="11"/>
      <c r="F99" s="11"/>
      <c r="G99" s="11"/>
      <c r="H99" s="11"/>
      <c r="I99" s="11"/>
      <c r="J99" s="11"/>
      <c r="N99" s="11"/>
      <c r="O99" s="11"/>
      <c r="P99" s="11"/>
      <c r="Q99" s="11"/>
      <c r="R99" s="11"/>
      <c r="CB99" s="11"/>
      <c r="CE99" s="11"/>
      <c r="CF99" s="11"/>
    </row>
    <row r="100" spans="4:84" x14ac:dyDescent="0.25">
      <c r="E100" s="11"/>
      <c r="F100" s="11"/>
      <c r="G100" s="11"/>
      <c r="H100" s="11"/>
      <c r="I100" s="11"/>
      <c r="J100" s="11"/>
      <c r="N100" s="11"/>
      <c r="O100" s="11"/>
      <c r="P100" s="11"/>
      <c r="Q100" s="11"/>
      <c r="R100" s="11"/>
      <c r="CB100" s="11"/>
      <c r="CE100" s="11"/>
      <c r="CF100" s="11"/>
    </row>
    <row r="101" spans="4:84" x14ac:dyDescent="0.25">
      <c r="D101" s="11"/>
      <c r="E101" s="11"/>
      <c r="F101" s="11"/>
      <c r="G101" s="11"/>
      <c r="H101" s="11"/>
      <c r="I101" s="11"/>
      <c r="J101" s="11"/>
      <c r="N101" s="11"/>
      <c r="O101" s="11"/>
      <c r="P101" s="11"/>
      <c r="Q101" s="11"/>
      <c r="R101" s="11"/>
      <c r="CB101" s="11"/>
      <c r="CE101" s="11"/>
      <c r="CF101" s="11"/>
    </row>
    <row r="102" spans="4:84" x14ac:dyDescent="0.25">
      <c r="D102" s="11"/>
      <c r="E102" s="11"/>
      <c r="F102" s="11"/>
      <c r="G102" s="11"/>
      <c r="H102" s="11"/>
      <c r="I102" s="11"/>
      <c r="J102" s="11"/>
      <c r="N102" s="11"/>
      <c r="O102" s="11"/>
      <c r="P102" s="11"/>
      <c r="Q102" s="11"/>
      <c r="R102" s="11"/>
      <c r="CB102" s="11"/>
      <c r="CE102" s="11"/>
      <c r="CF102" s="11"/>
    </row>
    <row r="103" spans="4:84" x14ac:dyDescent="0.25">
      <c r="D103" s="11"/>
      <c r="E103" s="11"/>
      <c r="F103" s="11"/>
      <c r="G103" s="11"/>
      <c r="H103" s="11"/>
      <c r="I103" s="11"/>
      <c r="J103" s="11"/>
      <c r="N103" s="11"/>
      <c r="O103" s="11"/>
      <c r="P103" s="11"/>
      <c r="Q103" s="11"/>
      <c r="R103" s="11"/>
      <c r="CB103" s="11"/>
      <c r="CE103" s="11"/>
      <c r="CF103" s="11"/>
    </row>
    <row r="104" spans="4:84" x14ac:dyDescent="0.25">
      <c r="D104" s="11"/>
      <c r="E104" s="11"/>
      <c r="F104" s="11"/>
      <c r="G104" s="11"/>
      <c r="H104" s="11"/>
      <c r="I104" s="11"/>
      <c r="J104" s="11"/>
      <c r="N104" s="11"/>
      <c r="O104" s="11"/>
      <c r="P104" s="11"/>
      <c r="Q104" s="11"/>
      <c r="R104" s="11"/>
      <c r="CB104" s="11"/>
      <c r="CE104" s="11"/>
      <c r="CF104" s="11"/>
    </row>
    <row r="105" spans="4:84" x14ac:dyDescent="0.25">
      <c r="D105" s="11"/>
      <c r="E105" s="11"/>
      <c r="F105" s="11"/>
      <c r="G105" s="11"/>
      <c r="H105" s="11"/>
      <c r="I105" s="11"/>
      <c r="J105" s="11"/>
      <c r="N105" s="11"/>
      <c r="O105" s="11"/>
      <c r="P105" s="11"/>
      <c r="Q105" s="11"/>
      <c r="R105" s="11"/>
      <c r="CB105" s="11"/>
      <c r="CE105" s="11"/>
      <c r="CF105" s="11"/>
    </row>
    <row r="106" spans="4:84" x14ac:dyDescent="0.25">
      <c r="D106" s="11"/>
      <c r="E106" s="11"/>
      <c r="F106" s="11"/>
      <c r="G106" s="11"/>
      <c r="H106" s="11"/>
      <c r="I106" s="11"/>
      <c r="J106" s="11"/>
      <c r="N106" s="11"/>
      <c r="O106" s="11"/>
      <c r="P106" s="11"/>
      <c r="Q106" s="11"/>
      <c r="R106" s="11"/>
      <c r="CB106" s="11"/>
      <c r="CE106" s="11"/>
      <c r="CF106" s="11"/>
    </row>
    <row r="107" spans="4:84" x14ac:dyDescent="0.25">
      <c r="D107" s="11"/>
      <c r="E107" s="11"/>
      <c r="F107" s="11"/>
      <c r="G107" s="11"/>
      <c r="H107" s="11"/>
      <c r="I107" s="11"/>
      <c r="J107" s="11"/>
      <c r="N107" s="11"/>
      <c r="O107" s="11"/>
      <c r="P107" s="11"/>
      <c r="Q107" s="11"/>
      <c r="R107" s="11"/>
      <c r="CB107" s="11"/>
      <c r="CE107" s="11"/>
      <c r="CF107" s="11"/>
    </row>
    <row r="108" spans="4:84" x14ac:dyDescent="0.25">
      <c r="D108" s="11"/>
      <c r="E108" s="11"/>
      <c r="F108" s="11"/>
      <c r="G108" s="11"/>
      <c r="H108" s="11"/>
      <c r="I108" s="11"/>
      <c r="J108" s="11"/>
      <c r="N108" s="11"/>
      <c r="O108" s="11"/>
      <c r="P108" s="11"/>
      <c r="Q108" s="11"/>
      <c r="R108" s="11"/>
      <c r="CB108" s="11"/>
      <c r="CE108" s="11"/>
      <c r="CF108" s="11"/>
    </row>
    <row r="109" spans="4:84" x14ac:dyDescent="0.25">
      <c r="D109" s="11"/>
      <c r="E109" s="11"/>
      <c r="F109" s="11"/>
      <c r="G109" s="11"/>
      <c r="H109" s="11"/>
      <c r="I109" s="11"/>
      <c r="J109" s="11"/>
      <c r="N109" s="11"/>
      <c r="O109" s="11"/>
      <c r="P109" s="11"/>
      <c r="Q109" s="11"/>
      <c r="R109" s="11"/>
      <c r="CB109" s="11"/>
      <c r="CE109" s="11"/>
      <c r="CF109" s="11"/>
    </row>
    <row r="110" spans="4:84" x14ac:dyDescent="0.25">
      <c r="D110" s="11"/>
      <c r="E110" s="11"/>
      <c r="F110" s="11"/>
      <c r="G110" s="11"/>
      <c r="H110" s="11"/>
      <c r="I110" s="11"/>
      <c r="J110" s="11"/>
      <c r="N110" s="11"/>
      <c r="O110" s="11"/>
      <c r="P110" s="11"/>
      <c r="Q110" s="11"/>
      <c r="R110" s="11"/>
      <c r="CB110" s="11"/>
      <c r="CE110" s="11"/>
      <c r="CF110" s="11"/>
    </row>
    <row r="111" spans="4:84" x14ac:dyDescent="0.25">
      <c r="D111" s="11"/>
      <c r="E111" s="11"/>
      <c r="F111" s="11"/>
      <c r="G111" s="11"/>
      <c r="H111" s="11"/>
      <c r="I111" s="11"/>
      <c r="J111" s="11"/>
      <c r="N111" s="11"/>
      <c r="O111" s="11"/>
      <c r="P111" s="11"/>
      <c r="Q111" s="11"/>
      <c r="R111" s="11"/>
      <c r="CB111" s="11"/>
      <c r="CE111" s="11"/>
      <c r="CF111" s="11"/>
    </row>
    <row r="112" spans="4:84" x14ac:dyDescent="0.25">
      <c r="D112" s="11"/>
      <c r="E112" s="11"/>
      <c r="F112" s="11"/>
      <c r="G112" s="11"/>
      <c r="H112" s="11"/>
      <c r="I112" s="11"/>
      <c r="J112" s="11"/>
      <c r="N112" s="11"/>
      <c r="O112" s="11"/>
      <c r="P112" s="11"/>
      <c r="Q112" s="11"/>
      <c r="R112" s="11"/>
      <c r="CB112" s="11"/>
      <c r="CE112" s="11"/>
      <c r="CF112" s="11"/>
    </row>
    <row r="113" spans="4:84" x14ac:dyDescent="0.25">
      <c r="D113" s="11"/>
      <c r="E113" s="11"/>
      <c r="F113" s="11"/>
      <c r="G113" s="11"/>
      <c r="H113" s="11"/>
      <c r="I113" s="11"/>
      <c r="J113" s="11"/>
      <c r="N113" s="11"/>
      <c r="O113" s="11"/>
      <c r="P113" s="11"/>
      <c r="Q113" s="11"/>
      <c r="R113" s="11"/>
      <c r="CB113" s="11"/>
      <c r="CE113" s="11"/>
      <c r="CF113" s="11"/>
    </row>
    <row r="114" spans="4:84" x14ac:dyDescent="0.25">
      <c r="D114" s="11"/>
      <c r="E114" s="11"/>
      <c r="F114" s="11"/>
      <c r="G114" s="11"/>
      <c r="H114" s="11"/>
      <c r="I114" s="11"/>
      <c r="J114" s="11"/>
      <c r="N114" s="11"/>
      <c r="O114" s="11"/>
      <c r="P114" s="11"/>
      <c r="Q114" s="11"/>
      <c r="R114" s="11"/>
      <c r="CB114" s="11"/>
      <c r="CE114" s="11"/>
      <c r="CF114" s="11"/>
    </row>
    <row r="115" spans="4:84" x14ac:dyDescent="0.25">
      <c r="D115" s="11"/>
      <c r="E115" s="11"/>
      <c r="F115" s="11"/>
      <c r="G115" s="11"/>
      <c r="H115" s="11"/>
      <c r="I115" s="11"/>
      <c r="J115" s="11"/>
      <c r="N115" s="11"/>
      <c r="O115" s="11"/>
      <c r="P115" s="11"/>
      <c r="Q115" s="11"/>
      <c r="R115" s="11"/>
      <c r="CB115" s="11"/>
      <c r="CE115" s="11"/>
      <c r="CF115" s="11"/>
    </row>
    <row r="116" spans="4:84" x14ac:dyDescent="0.25">
      <c r="D116" s="11"/>
      <c r="E116" s="11"/>
      <c r="F116" s="11"/>
      <c r="G116" s="11"/>
      <c r="H116" s="11"/>
      <c r="I116" s="11"/>
      <c r="J116" s="11"/>
      <c r="N116" s="11"/>
      <c r="O116" s="11"/>
      <c r="P116" s="11"/>
      <c r="Q116" s="11"/>
      <c r="R116" s="11"/>
      <c r="CB116" s="11"/>
      <c r="CE116" s="11"/>
      <c r="CF116" s="11"/>
    </row>
    <row r="117" spans="4:84" x14ac:dyDescent="0.25">
      <c r="D117" s="11"/>
      <c r="E117" s="11"/>
      <c r="F117" s="11"/>
      <c r="G117" s="11"/>
      <c r="H117" s="11"/>
      <c r="I117" s="11"/>
      <c r="J117" s="11"/>
      <c r="N117" s="11"/>
      <c r="O117" s="11"/>
      <c r="P117" s="11"/>
      <c r="Q117" s="11"/>
      <c r="R117" s="11"/>
      <c r="CB117" s="11"/>
      <c r="CE117" s="11"/>
      <c r="CF117" s="11"/>
    </row>
    <row r="118" spans="4:84" x14ac:dyDescent="0.25">
      <c r="D118" s="11"/>
      <c r="E118" s="11"/>
      <c r="F118" s="11"/>
      <c r="G118" s="11"/>
      <c r="H118" s="11"/>
      <c r="I118" s="11"/>
      <c r="J118" s="11"/>
      <c r="N118" s="11"/>
      <c r="O118" s="11"/>
      <c r="P118" s="11"/>
      <c r="Q118" s="11"/>
      <c r="R118" s="11"/>
      <c r="CB118" s="11"/>
      <c r="CE118" s="11"/>
      <c r="CF118" s="11"/>
    </row>
    <row r="119" spans="4:84" x14ac:dyDescent="0.25">
      <c r="D119" s="11"/>
      <c r="E119" s="11"/>
      <c r="F119" s="11"/>
      <c r="G119" s="11"/>
      <c r="H119" s="11"/>
      <c r="I119" s="11"/>
      <c r="J119" s="11"/>
      <c r="N119" s="11"/>
      <c r="O119" s="11"/>
      <c r="P119" s="11"/>
      <c r="Q119" s="11"/>
      <c r="R119" s="11"/>
      <c r="CB119" s="11"/>
      <c r="CE119" s="11"/>
      <c r="CF119" s="11"/>
    </row>
    <row r="120" spans="4:84" x14ac:dyDescent="0.25">
      <c r="D120" s="11"/>
      <c r="E120" s="11"/>
      <c r="F120" s="11"/>
      <c r="G120" s="11"/>
      <c r="H120" s="11"/>
      <c r="I120" s="11"/>
      <c r="J120" s="11"/>
      <c r="N120" s="11"/>
      <c r="O120" s="11"/>
      <c r="P120" s="11"/>
      <c r="Q120" s="11"/>
      <c r="R120" s="11"/>
      <c r="CB120" s="11"/>
      <c r="CE120" s="11"/>
      <c r="CF120" s="11"/>
    </row>
    <row r="121" spans="4:84" x14ac:dyDescent="0.25">
      <c r="D121" s="11"/>
      <c r="E121" s="11"/>
      <c r="F121" s="11"/>
      <c r="G121" s="11"/>
      <c r="H121" s="11"/>
      <c r="I121" s="11"/>
      <c r="J121" s="11"/>
      <c r="N121" s="11"/>
      <c r="O121" s="11"/>
      <c r="P121" s="11"/>
      <c r="Q121" s="11"/>
      <c r="R121" s="11"/>
      <c r="CB121" s="11"/>
      <c r="CE121" s="11"/>
      <c r="CF121" s="11"/>
    </row>
    <row r="122" spans="4:84" x14ac:dyDescent="0.25">
      <c r="D122" s="11"/>
      <c r="E122" s="11"/>
      <c r="F122" s="11"/>
      <c r="G122" s="11"/>
      <c r="H122" s="11"/>
      <c r="I122" s="11"/>
      <c r="J122" s="11"/>
      <c r="N122" s="11"/>
      <c r="O122" s="11"/>
      <c r="P122" s="11"/>
      <c r="Q122" s="11"/>
      <c r="R122" s="11"/>
      <c r="CB122" s="11"/>
      <c r="CE122" s="11"/>
      <c r="CF122" s="11"/>
    </row>
    <row r="123" spans="4:84" x14ac:dyDescent="0.25">
      <c r="D123" s="11"/>
      <c r="E123" s="11"/>
      <c r="F123" s="11"/>
      <c r="G123" s="11"/>
      <c r="H123" s="11"/>
      <c r="I123" s="11"/>
      <c r="J123" s="11"/>
      <c r="N123" s="11"/>
      <c r="O123" s="11"/>
      <c r="P123" s="11"/>
      <c r="Q123" s="11"/>
      <c r="R123" s="11"/>
      <c r="CB123" s="11"/>
      <c r="CE123" s="11"/>
      <c r="CF123" s="11"/>
    </row>
    <row r="124" spans="4:84" x14ac:dyDescent="0.25">
      <c r="D124" s="11"/>
      <c r="E124" s="11"/>
      <c r="F124" s="11"/>
      <c r="G124" s="11"/>
      <c r="H124" s="11"/>
      <c r="I124" s="11"/>
      <c r="J124" s="11"/>
      <c r="N124" s="11"/>
      <c r="O124" s="11"/>
      <c r="P124" s="11"/>
      <c r="Q124" s="11"/>
      <c r="R124" s="11"/>
      <c r="CB124" s="11"/>
      <c r="CE124" s="11"/>
      <c r="CF124" s="11"/>
    </row>
    <row r="125" spans="4:84" x14ac:dyDescent="0.25">
      <c r="D125" s="11"/>
      <c r="E125" s="11"/>
      <c r="F125" s="11"/>
      <c r="G125" s="11"/>
      <c r="H125" s="11"/>
      <c r="I125" s="11"/>
      <c r="J125" s="11"/>
      <c r="N125" s="11"/>
      <c r="O125" s="11"/>
      <c r="P125" s="11"/>
      <c r="Q125" s="11"/>
      <c r="R125" s="11"/>
      <c r="CB125" s="11"/>
      <c r="CE125" s="11"/>
      <c r="CF125" s="11"/>
    </row>
    <row r="126" spans="4:84" x14ac:dyDescent="0.25">
      <c r="D126" s="11"/>
      <c r="E126" s="11"/>
      <c r="F126" s="11"/>
      <c r="G126" s="11"/>
      <c r="H126" s="11"/>
      <c r="I126" s="11"/>
      <c r="J126" s="11"/>
      <c r="N126" s="11"/>
      <c r="O126" s="11"/>
      <c r="P126" s="11"/>
      <c r="Q126" s="11"/>
      <c r="R126" s="11"/>
      <c r="CB126" s="11"/>
      <c r="CE126" s="11"/>
      <c r="CF126" s="11"/>
    </row>
    <row r="127" spans="4:84" x14ac:dyDescent="0.25">
      <c r="D127" s="11"/>
      <c r="E127" s="11"/>
      <c r="F127" s="11"/>
      <c r="G127" s="11"/>
      <c r="H127" s="11"/>
      <c r="I127" s="11"/>
      <c r="J127" s="11"/>
      <c r="N127" s="11"/>
      <c r="O127" s="11"/>
      <c r="P127" s="11"/>
      <c r="Q127" s="11"/>
      <c r="R127" s="11"/>
      <c r="CB127" s="11"/>
      <c r="CE127" s="11"/>
      <c r="CF127" s="11"/>
    </row>
    <row r="128" spans="4:84" x14ac:dyDescent="0.25">
      <c r="D128" s="11"/>
      <c r="E128" s="11"/>
      <c r="F128" s="11"/>
      <c r="G128" s="11"/>
      <c r="H128" s="11"/>
      <c r="I128" s="11"/>
      <c r="J128" s="11"/>
      <c r="N128" s="11"/>
      <c r="O128" s="11"/>
      <c r="P128" s="11"/>
      <c r="Q128" s="11"/>
      <c r="R128" s="11"/>
      <c r="CB128" s="11"/>
      <c r="CE128" s="11"/>
      <c r="CF128" s="11"/>
    </row>
    <row r="129" spans="4:84" x14ac:dyDescent="0.25">
      <c r="D129" s="11"/>
      <c r="E129" s="11"/>
      <c r="F129" s="11"/>
      <c r="G129" s="11"/>
      <c r="H129" s="11"/>
      <c r="I129" s="11"/>
      <c r="J129" s="11"/>
      <c r="N129" s="11"/>
      <c r="O129" s="11"/>
      <c r="P129" s="11"/>
      <c r="Q129" s="11"/>
      <c r="R129" s="11"/>
      <c r="CB129" s="11"/>
      <c r="CE129" s="11"/>
      <c r="CF129" s="11"/>
    </row>
    <row r="130" spans="4:84" x14ac:dyDescent="0.25">
      <c r="D130" s="11"/>
      <c r="E130" s="11"/>
      <c r="F130" s="11"/>
      <c r="G130" s="11"/>
      <c r="H130" s="11"/>
      <c r="I130" s="11"/>
      <c r="J130" s="11"/>
      <c r="N130" s="11"/>
      <c r="O130" s="11"/>
      <c r="P130" s="11"/>
      <c r="Q130" s="11"/>
      <c r="R130" s="11"/>
      <c r="CB130" s="11"/>
      <c r="CE130" s="11"/>
      <c r="CF130" s="11"/>
    </row>
    <row r="131" spans="4:84" x14ac:dyDescent="0.25">
      <c r="D131" s="11"/>
      <c r="E131" s="11"/>
      <c r="F131" s="11"/>
      <c r="G131" s="11"/>
      <c r="H131" s="11"/>
      <c r="I131" s="11"/>
      <c r="J131" s="11"/>
      <c r="N131" s="11"/>
      <c r="O131" s="11"/>
      <c r="P131" s="11"/>
      <c r="Q131" s="11"/>
      <c r="R131" s="11"/>
      <c r="CB131" s="11"/>
      <c r="CE131" s="11"/>
      <c r="CF131" s="11"/>
    </row>
    <row r="132" spans="4:84" x14ac:dyDescent="0.25">
      <c r="D132" s="11"/>
      <c r="E132" s="11"/>
      <c r="F132" s="11"/>
      <c r="G132" s="11"/>
      <c r="H132" s="11"/>
      <c r="I132" s="11"/>
      <c r="J132" s="11"/>
      <c r="N132" s="11"/>
      <c r="O132" s="11"/>
      <c r="P132" s="11"/>
      <c r="Q132" s="11"/>
      <c r="R132" s="11"/>
      <c r="CB132" s="11"/>
      <c r="CE132" s="11"/>
      <c r="CF132" s="11"/>
    </row>
    <row r="133" spans="4:84" x14ac:dyDescent="0.25">
      <c r="D133" s="11"/>
      <c r="E133" s="11"/>
      <c r="F133" s="11"/>
      <c r="G133" s="11"/>
      <c r="H133" s="11"/>
      <c r="I133" s="11"/>
      <c r="J133" s="11"/>
      <c r="N133" s="11"/>
      <c r="O133" s="11"/>
      <c r="P133" s="11"/>
      <c r="Q133" s="11"/>
      <c r="R133" s="11"/>
      <c r="CB133" s="11"/>
      <c r="CE133" s="11"/>
      <c r="CF133" s="11"/>
    </row>
    <row r="134" spans="4:84" x14ac:dyDescent="0.25">
      <c r="D134" s="11"/>
      <c r="E134" s="11"/>
      <c r="F134" s="11"/>
      <c r="G134" s="11"/>
      <c r="H134" s="11"/>
      <c r="I134" s="11"/>
      <c r="J134" s="11"/>
      <c r="N134" s="11"/>
      <c r="O134" s="11"/>
      <c r="P134" s="11"/>
      <c r="Q134" s="11"/>
      <c r="R134" s="11"/>
      <c r="CB134" s="11"/>
      <c r="CE134" s="11"/>
      <c r="CF134" s="11"/>
    </row>
    <row r="135" spans="4:84" x14ac:dyDescent="0.25">
      <c r="D135" s="11"/>
      <c r="E135" s="11"/>
      <c r="F135" s="11"/>
      <c r="G135" s="11"/>
      <c r="H135" s="11"/>
      <c r="I135" s="11"/>
      <c r="J135" s="11"/>
      <c r="N135" s="11"/>
      <c r="O135" s="11"/>
      <c r="P135" s="11"/>
      <c r="Q135" s="11"/>
      <c r="R135" s="11"/>
      <c r="CB135" s="11"/>
      <c r="CE135" s="11"/>
      <c r="CF135" s="11"/>
    </row>
    <row r="136" spans="4:84" x14ac:dyDescent="0.25">
      <c r="D136" s="11"/>
      <c r="E136" s="11"/>
      <c r="F136" s="11"/>
      <c r="G136" s="11"/>
      <c r="H136" s="11"/>
      <c r="I136" s="11"/>
      <c r="J136" s="11"/>
      <c r="N136" s="11"/>
      <c r="O136" s="11"/>
      <c r="P136" s="11"/>
      <c r="Q136" s="11"/>
      <c r="R136" s="11"/>
      <c r="CB136" s="11"/>
      <c r="CE136" s="11"/>
      <c r="CF136" s="11"/>
    </row>
    <row r="137" spans="4:84" x14ac:dyDescent="0.25">
      <c r="D137" s="11"/>
      <c r="E137" s="11"/>
      <c r="F137" s="11"/>
      <c r="G137" s="11"/>
      <c r="H137" s="11"/>
      <c r="I137" s="11"/>
      <c r="J137" s="11"/>
      <c r="N137" s="11"/>
      <c r="O137" s="11"/>
      <c r="P137" s="11"/>
      <c r="Q137" s="11"/>
      <c r="R137" s="11"/>
      <c r="CB137" s="11"/>
      <c r="CE137" s="11"/>
      <c r="CF137" s="11"/>
    </row>
    <row r="138" spans="4:84" x14ac:dyDescent="0.25">
      <c r="D138" s="11"/>
      <c r="E138" s="11"/>
      <c r="F138" s="11"/>
      <c r="G138" s="11"/>
      <c r="H138" s="11"/>
      <c r="I138" s="11"/>
      <c r="J138" s="11"/>
      <c r="N138" s="11"/>
      <c r="O138" s="11"/>
      <c r="P138" s="11"/>
      <c r="Q138" s="11"/>
      <c r="R138" s="11"/>
      <c r="CB138" s="11"/>
      <c r="CE138" s="11"/>
      <c r="CF138" s="11"/>
    </row>
    <row r="139" spans="4:84" x14ac:dyDescent="0.25">
      <c r="D139" s="11"/>
      <c r="E139" s="11"/>
      <c r="F139" s="11"/>
      <c r="G139" s="11"/>
      <c r="H139" s="11"/>
      <c r="I139" s="11"/>
      <c r="J139" s="11"/>
      <c r="N139" s="11"/>
      <c r="O139" s="11"/>
      <c r="P139" s="11"/>
      <c r="Q139" s="11"/>
      <c r="R139" s="11"/>
      <c r="CB139" s="11"/>
      <c r="CE139" s="11"/>
      <c r="CF139" s="11"/>
    </row>
    <row r="140" spans="4:84" x14ac:dyDescent="0.25">
      <c r="D140" s="11"/>
      <c r="E140" s="11"/>
      <c r="F140" s="11"/>
      <c r="G140" s="11"/>
      <c r="H140" s="11"/>
      <c r="I140" s="11"/>
      <c r="J140" s="11"/>
      <c r="N140" s="11"/>
      <c r="O140" s="11"/>
      <c r="P140" s="11"/>
      <c r="Q140" s="11"/>
      <c r="R140" s="11"/>
      <c r="CB140" s="11"/>
      <c r="CE140" s="11"/>
      <c r="CF140" s="11"/>
    </row>
    <row r="141" spans="4:84" x14ac:dyDescent="0.25">
      <c r="D141" s="11"/>
      <c r="E141" s="11"/>
      <c r="F141" s="11"/>
      <c r="G141" s="11"/>
      <c r="H141" s="11"/>
      <c r="I141" s="11"/>
      <c r="J141" s="11"/>
      <c r="N141" s="11"/>
      <c r="O141" s="11"/>
      <c r="P141" s="11"/>
      <c r="Q141" s="11"/>
      <c r="R141" s="11"/>
      <c r="CB141" s="11"/>
      <c r="CE141" s="11"/>
      <c r="CF141" s="11"/>
    </row>
    <row r="142" spans="4:84" x14ac:dyDescent="0.25">
      <c r="D142" s="11"/>
      <c r="E142" s="11"/>
      <c r="F142" s="11"/>
      <c r="G142" s="11"/>
      <c r="H142" s="11"/>
      <c r="I142" s="11"/>
      <c r="J142" s="11"/>
      <c r="N142" s="11"/>
      <c r="O142" s="11"/>
      <c r="P142" s="11"/>
      <c r="Q142" s="11"/>
      <c r="R142" s="11"/>
      <c r="CB142" s="11"/>
      <c r="CE142" s="11"/>
      <c r="CF142" s="11"/>
    </row>
    <row r="143" spans="4:84" x14ac:dyDescent="0.25">
      <c r="D143" s="11"/>
      <c r="E143" s="11"/>
      <c r="F143" s="11"/>
      <c r="G143" s="11"/>
      <c r="H143" s="11"/>
      <c r="I143" s="11"/>
      <c r="J143" s="11"/>
      <c r="N143" s="11"/>
      <c r="O143" s="11"/>
      <c r="P143" s="11"/>
      <c r="Q143" s="11"/>
      <c r="R143" s="11"/>
      <c r="CB143" s="11"/>
      <c r="CE143" s="11"/>
      <c r="CF143" s="11"/>
    </row>
    <row r="144" spans="4:84" x14ac:dyDescent="0.25">
      <c r="D144" s="11"/>
      <c r="E144" s="11"/>
      <c r="F144" s="11"/>
      <c r="G144" s="11"/>
      <c r="H144" s="11"/>
      <c r="I144" s="11"/>
      <c r="J144" s="11"/>
      <c r="N144" s="11"/>
      <c r="O144" s="11"/>
      <c r="P144" s="11"/>
      <c r="Q144" s="11"/>
      <c r="R144" s="11"/>
      <c r="CB144" s="11"/>
      <c r="CE144" s="11"/>
      <c r="CF144" s="11"/>
    </row>
    <row r="145" spans="4:84" x14ac:dyDescent="0.25">
      <c r="D145" s="11"/>
      <c r="E145" s="11"/>
      <c r="F145" s="11"/>
      <c r="G145" s="11"/>
      <c r="H145" s="11"/>
      <c r="I145" s="11"/>
      <c r="J145" s="11"/>
      <c r="N145" s="11"/>
      <c r="O145" s="11"/>
      <c r="P145" s="11"/>
      <c r="Q145" s="11"/>
      <c r="R145" s="11"/>
      <c r="CB145" s="11"/>
      <c r="CE145" s="11"/>
      <c r="CF145" s="11"/>
    </row>
    <row r="146" spans="4:84" x14ac:dyDescent="0.25">
      <c r="D146" s="11"/>
      <c r="E146" s="11"/>
      <c r="F146" s="11"/>
      <c r="G146" s="11"/>
      <c r="H146" s="11"/>
      <c r="I146" s="11"/>
      <c r="J146" s="11"/>
      <c r="N146" s="11"/>
      <c r="O146" s="11"/>
      <c r="P146" s="11"/>
      <c r="Q146" s="11"/>
      <c r="R146" s="11"/>
      <c r="CB146" s="11"/>
      <c r="CE146" s="11"/>
      <c r="CF146" s="11"/>
    </row>
    <row r="147" spans="4:84" x14ac:dyDescent="0.25">
      <c r="D147" s="11"/>
      <c r="E147" s="11"/>
      <c r="F147" s="11"/>
      <c r="G147" s="11"/>
      <c r="H147" s="11"/>
      <c r="I147" s="11"/>
      <c r="J147" s="11"/>
      <c r="N147" s="11"/>
      <c r="O147" s="11"/>
      <c r="P147" s="11"/>
      <c r="Q147" s="11"/>
      <c r="R147" s="11"/>
      <c r="CB147" s="11"/>
      <c r="CE147" s="11"/>
      <c r="CF147" s="11"/>
    </row>
    <row r="148" spans="4:84" x14ac:dyDescent="0.25">
      <c r="D148" s="11"/>
      <c r="E148" s="11"/>
      <c r="F148" s="11"/>
      <c r="G148" s="11"/>
      <c r="H148" s="11"/>
      <c r="I148" s="11"/>
      <c r="J148" s="11"/>
      <c r="N148" s="11"/>
      <c r="O148" s="11"/>
      <c r="P148" s="11"/>
      <c r="Q148" s="11"/>
      <c r="R148" s="11"/>
      <c r="CB148" s="11"/>
      <c r="CE148" s="11"/>
      <c r="CF148" s="11"/>
    </row>
    <row r="149" spans="4:84" x14ac:dyDescent="0.25">
      <c r="D149" s="11"/>
      <c r="E149" s="11"/>
      <c r="F149" s="11"/>
      <c r="G149" s="11"/>
      <c r="H149" s="11"/>
      <c r="I149" s="11"/>
      <c r="J149" s="11"/>
      <c r="N149" s="11"/>
      <c r="O149" s="11"/>
      <c r="P149" s="11"/>
      <c r="Q149" s="11"/>
      <c r="R149" s="11"/>
      <c r="CB149" s="11"/>
      <c r="CE149" s="11"/>
      <c r="CF149" s="11"/>
    </row>
    <row r="150" spans="4:84" x14ac:dyDescent="0.25">
      <c r="D150" s="11"/>
      <c r="E150" s="11"/>
      <c r="F150" s="11"/>
      <c r="G150" s="11"/>
      <c r="H150" s="11"/>
      <c r="I150" s="11"/>
      <c r="J150" s="11"/>
      <c r="N150" s="11"/>
      <c r="O150" s="11"/>
      <c r="P150" s="11"/>
      <c r="Q150" s="11"/>
      <c r="R150" s="11"/>
      <c r="CB150" s="11"/>
      <c r="CE150" s="11"/>
      <c r="CF150" s="11"/>
    </row>
    <row r="151" spans="4:84" x14ac:dyDescent="0.25">
      <c r="D151" s="11"/>
      <c r="E151" s="11"/>
      <c r="F151" s="11"/>
      <c r="G151" s="11"/>
      <c r="H151" s="11"/>
      <c r="I151" s="11"/>
      <c r="J151" s="11"/>
      <c r="N151" s="11"/>
      <c r="O151" s="11"/>
      <c r="P151" s="11"/>
      <c r="Q151" s="11"/>
      <c r="R151" s="11"/>
      <c r="CB151" s="11"/>
      <c r="CE151" s="11"/>
      <c r="CF151" s="11"/>
    </row>
    <row r="152" spans="4:84" x14ac:dyDescent="0.25">
      <c r="D152" s="11"/>
      <c r="E152" s="11"/>
      <c r="F152" s="11"/>
      <c r="G152" s="11"/>
      <c r="H152" s="11"/>
      <c r="I152" s="11"/>
      <c r="J152" s="11"/>
      <c r="N152" s="11"/>
      <c r="O152" s="11"/>
      <c r="P152" s="11"/>
      <c r="Q152" s="11"/>
      <c r="R152" s="11"/>
      <c r="CB152" s="11"/>
      <c r="CE152" s="11"/>
      <c r="CF152" s="11"/>
    </row>
    <row r="153" spans="4:84" x14ac:dyDescent="0.25">
      <c r="D153" s="11"/>
      <c r="E153" s="11"/>
      <c r="F153" s="11"/>
      <c r="G153" s="11"/>
      <c r="H153" s="11"/>
      <c r="I153" s="11"/>
      <c r="J153" s="11"/>
      <c r="N153" s="11"/>
      <c r="O153" s="11"/>
      <c r="P153" s="11"/>
      <c r="Q153" s="11"/>
      <c r="R153" s="11"/>
      <c r="CB153" s="11"/>
      <c r="CE153" s="11"/>
      <c r="CF153" s="11"/>
    </row>
    <row r="154" spans="4:84" x14ac:dyDescent="0.25">
      <c r="D154" s="11"/>
      <c r="E154" s="11"/>
      <c r="F154" s="11"/>
      <c r="G154" s="11"/>
      <c r="H154" s="11"/>
      <c r="I154" s="11"/>
      <c r="J154" s="11"/>
      <c r="N154" s="11"/>
      <c r="O154" s="11"/>
      <c r="P154" s="11"/>
      <c r="Q154" s="11"/>
      <c r="R154" s="11"/>
      <c r="CB154" s="11"/>
      <c r="CE154" s="11"/>
      <c r="CF154" s="11"/>
    </row>
    <row r="155" spans="4:84" x14ac:dyDescent="0.25">
      <c r="D155" s="11"/>
      <c r="E155" s="11"/>
      <c r="F155" s="11"/>
      <c r="G155" s="11"/>
      <c r="H155" s="11"/>
      <c r="I155" s="11"/>
      <c r="J155" s="11"/>
      <c r="N155" s="11"/>
      <c r="O155" s="11"/>
      <c r="P155" s="11"/>
      <c r="Q155" s="11"/>
      <c r="R155" s="11"/>
      <c r="CB155" s="11"/>
      <c r="CE155" s="11"/>
      <c r="CF155" s="11"/>
    </row>
    <row r="156" spans="4:84" x14ac:dyDescent="0.25">
      <c r="D156" s="11"/>
      <c r="E156" s="11"/>
      <c r="F156" s="11"/>
      <c r="G156" s="11"/>
      <c r="H156" s="11"/>
      <c r="I156" s="11"/>
      <c r="J156" s="11"/>
      <c r="N156" s="11"/>
      <c r="O156" s="11"/>
      <c r="P156" s="11"/>
      <c r="Q156" s="11"/>
      <c r="R156" s="11"/>
      <c r="CB156" s="11"/>
      <c r="CE156" s="11"/>
      <c r="CF156" s="11"/>
    </row>
    <row r="157" spans="4:84" x14ac:dyDescent="0.25">
      <c r="D157" s="11"/>
      <c r="E157" s="11"/>
      <c r="F157" s="11"/>
      <c r="G157" s="11"/>
      <c r="H157" s="11"/>
      <c r="I157" s="11"/>
      <c r="J157" s="11"/>
      <c r="N157" s="11"/>
      <c r="O157" s="11"/>
      <c r="P157" s="11"/>
      <c r="Q157" s="11"/>
      <c r="R157" s="11"/>
      <c r="CB157" s="11"/>
      <c r="CE157" s="11"/>
      <c r="CF157" s="11"/>
    </row>
    <row r="158" spans="4:84" x14ac:dyDescent="0.25">
      <c r="D158" s="11"/>
      <c r="E158" s="11"/>
      <c r="F158" s="11"/>
      <c r="G158" s="11"/>
      <c r="H158" s="11"/>
      <c r="I158" s="11"/>
      <c r="J158" s="11"/>
      <c r="N158" s="11"/>
      <c r="O158" s="11"/>
      <c r="P158" s="11"/>
      <c r="Q158" s="11"/>
      <c r="R158" s="11"/>
      <c r="CB158" s="11"/>
      <c r="CE158" s="11"/>
      <c r="CF158" s="11"/>
    </row>
    <row r="159" spans="4:84" x14ac:dyDescent="0.25">
      <c r="D159" s="11"/>
      <c r="E159" s="11"/>
      <c r="F159" s="11"/>
      <c r="G159" s="11"/>
      <c r="H159" s="11"/>
      <c r="I159" s="11"/>
      <c r="J159" s="11"/>
      <c r="N159" s="11"/>
      <c r="O159" s="11"/>
      <c r="P159" s="11"/>
      <c r="Q159" s="11"/>
      <c r="R159" s="11"/>
      <c r="CB159" s="11"/>
      <c r="CE159" s="11"/>
      <c r="CF159" s="11"/>
    </row>
    <row r="160" spans="4:84" x14ac:dyDescent="0.25">
      <c r="D160" s="11"/>
      <c r="E160" s="11"/>
      <c r="F160" s="11"/>
      <c r="G160" s="11"/>
      <c r="H160" s="11"/>
      <c r="I160" s="11"/>
      <c r="J160" s="11"/>
      <c r="N160" s="11"/>
      <c r="O160" s="11"/>
      <c r="P160" s="11"/>
      <c r="Q160" s="11"/>
      <c r="R160" s="11"/>
      <c r="CB160" s="11"/>
      <c r="CE160" s="11"/>
      <c r="CF160" s="11"/>
    </row>
    <row r="161" spans="4:84" x14ac:dyDescent="0.25">
      <c r="D161" s="11"/>
      <c r="E161" s="11"/>
      <c r="F161" s="11"/>
      <c r="G161" s="11"/>
      <c r="H161" s="11"/>
      <c r="I161" s="11"/>
      <c r="J161" s="11"/>
      <c r="N161" s="11"/>
      <c r="O161" s="11"/>
      <c r="P161" s="11"/>
      <c r="Q161" s="11"/>
      <c r="R161" s="11"/>
      <c r="CB161" s="11"/>
      <c r="CE161" s="11"/>
      <c r="CF161" s="11"/>
    </row>
    <row r="162" spans="4:84" x14ac:dyDescent="0.25">
      <c r="D162" s="11"/>
      <c r="E162" s="11"/>
      <c r="F162" s="11"/>
      <c r="G162" s="11"/>
      <c r="H162" s="11"/>
      <c r="I162" s="11"/>
      <c r="J162" s="11"/>
      <c r="N162" s="11"/>
      <c r="O162" s="11"/>
      <c r="P162" s="11"/>
      <c r="Q162" s="11"/>
      <c r="R162" s="11"/>
      <c r="CB162" s="11"/>
      <c r="CE162" s="11"/>
      <c r="CF162" s="11"/>
    </row>
    <row r="163" spans="4:84" x14ac:dyDescent="0.25">
      <c r="D163" s="11"/>
      <c r="E163" s="11"/>
      <c r="F163" s="11"/>
      <c r="G163" s="11"/>
      <c r="H163" s="11"/>
      <c r="I163" s="11"/>
      <c r="J163" s="11"/>
      <c r="N163" s="11"/>
      <c r="O163" s="11"/>
      <c r="P163" s="11"/>
      <c r="Q163" s="11"/>
      <c r="R163" s="11"/>
      <c r="CB163" s="11"/>
      <c r="CE163" s="11"/>
      <c r="CF163" s="11"/>
    </row>
    <row r="164" spans="4:84" x14ac:dyDescent="0.25">
      <c r="D164" s="11"/>
      <c r="E164" s="11"/>
      <c r="F164" s="11"/>
      <c r="G164" s="11"/>
      <c r="H164" s="11"/>
      <c r="I164" s="11"/>
      <c r="J164" s="11"/>
      <c r="N164" s="11"/>
      <c r="O164" s="11"/>
      <c r="P164" s="11"/>
      <c r="Q164" s="11"/>
      <c r="R164" s="11"/>
      <c r="CB164" s="11"/>
      <c r="CE164" s="11"/>
      <c r="CF164" s="11"/>
    </row>
    <row r="165" spans="4:84" x14ac:dyDescent="0.25">
      <c r="D165" s="11"/>
      <c r="E165" s="11"/>
      <c r="F165" s="11"/>
      <c r="G165" s="11"/>
      <c r="H165" s="11"/>
      <c r="I165" s="11"/>
      <c r="J165" s="11"/>
      <c r="N165" s="11"/>
      <c r="O165" s="11"/>
      <c r="P165" s="11"/>
      <c r="Q165" s="11"/>
      <c r="R165" s="11"/>
      <c r="CB165" s="11"/>
      <c r="CE165" s="11"/>
      <c r="CF165" s="11"/>
    </row>
    <row r="166" spans="4:84" x14ac:dyDescent="0.25">
      <c r="D166" s="11"/>
      <c r="E166" s="11"/>
      <c r="F166" s="11"/>
      <c r="G166" s="11"/>
      <c r="H166" s="11"/>
      <c r="I166" s="11"/>
      <c r="J166" s="11"/>
      <c r="N166" s="11"/>
      <c r="O166" s="11"/>
      <c r="P166" s="11"/>
      <c r="Q166" s="11"/>
      <c r="R166" s="11"/>
      <c r="CB166" s="11"/>
      <c r="CE166" s="11"/>
      <c r="CF166" s="11"/>
    </row>
    <row r="167" spans="4:84" x14ac:dyDescent="0.25">
      <c r="D167" s="11"/>
      <c r="E167" s="11"/>
      <c r="F167" s="11"/>
      <c r="G167" s="11"/>
      <c r="H167" s="11"/>
      <c r="I167" s="11"/>
      <c r="J167" s="11"/>
      <c r="N167" s="11"/>
      <c r="O167" s="11"/>
      <c r="P167" s="11"/>
      <c r="Q167" s="11"/>
      <c r="R167" s="11"/>
      <c r="CB167" s="11"/>
      <c r="CE167" s="11"/>
      <c r="CF167" s="11"/>
    </row>
    <row r="168" spans="4:84" x14ac:dyDescent="0.25">
      <c r="D168" s="11"/>
      <c r="E168" s="11"/>
      <c r="F168" s="11"/>
      <c r="G168" s="11"/>
      <c r="H168" s="11"/>
      <c r="I168" s="11"/>
      <c r="J168" s="11"/>
      <c r="N168" s="11"/>
      <c r="O168" s="11"/>
      <c r="P168" s="11"/>
      <c r="Q168" s="11"/>
      <c r="R168" s="11"/>
      <c r="CB168" s="11"/>
      <c r="CE168" s="11"/>
      <c r="CF168" s="11"/>
    </row>
    <row r="169" spans="4:84" x14ac:dyDescent="0.25">
      <c r="D169" s="11"/>
      <c r="E169" s="11"/>
      <c r="F169" s="11"/>
      <c r="G169" s="11"/>
      <c r="H169" s="11"/>
      <c r="I169" s="11"/>
      <c r="J169" s="11"/>
      <c r="N169" s="11"/>
      <c r="O169" s="11"/>
      <c r="P169" s="11"/>
      <c r="Q169" s="11"/>
      <c r="R169" s="11"/>
      <c r="CB169" s="11"/>
      <c r="CE169" s="11"/>
      <c r="CF169" s="11"/>
    </row>
    <row r="170" spans="4:84" x14ac:dyDescent="0.25">
      <c r="D170" s="11"/>
      <c r="E170" s="11"/>
      <c r="F170" s="11"/>
      <c r="G170" s="11"/>
      <c r="H170" s="11"/>
      <c r="I170" s="11"/>
      <c r="J170" s="11"/>
      <c r="N170" s="11"/>
      <c r="O170" s="11"/>
      <c r="P170" s="11"/>
      <c r="Q170" s="11"/>
      <c r="R170" s="11"/>
      <c r="CB170" s="11"/>
      <c r="CE170" s="11"/>
      <c r="CF170" s="11"/>
    </row>
    <row r="171" spans="4:84" x14ac:dyDescent="0.25">
      <c r="D171" s="11"/>
      <c r="E171" s="11"/>
      <c r="F171" s="11"/>
      <c r="G171" s="11"/>
      <c r="H171" s="11"/>
      <c r="I171" s="11"/>
      <c r="J171" s="11"/>
      <c r="N171" s="11"/>
      <c r="O171" s="11"/>
      <c r="P171" s="11"/>
      <c r="Q171" s="11"/>
      <c r="R171" s="11"/>
      <c r="CB171" s="11"/>
      <c r="CE171" s="11"/>
      <c r="CF171" s="11"/>
    </row>
    <row r="172" spans="4:84" x14ac:dyDescent="0.25">
      <c r="D172" s="11"/>
      <c r="E172" s="11"/>
      <c r="F172" s="11"/>
      <c r="G172" s="11"/>
      <c r="H172" s="11"/>
      <c r="I172" s="11"/>
      <c r="J172" s="11"/>
      <c r="N172" s="11"/>
      <c r="O172" s="11"/>
      <c r="P172" s="11"/>
      <c r="Q172" s="11"/>
      <c r="R172" s="11"/>
      <c r="CB172" s="11"/>
      <c r="CE172" s="11"/>
      <c r="CF172" s="11"/>
    </row>
    <row r="173" spans="4:84" x14ac:dyDescent="0.25">
      <c r="D173" s="11"/>
      <c r="E173" s="11"/>
      <c r="F173" s="11"/>
      <c r="G173" s="11"/>
      <c r="H173" s="11"/>
      <c r="I173" s="11"/>
      <c r="J173" s="11"/>
      <c r="N173" s="11"/>
      <c r="O173" s="11"/>
      <c r="P173" s="11"/>
      <c r="Q173" s="11"/>
      <c r="R173" s="11"/>
      <c r="CB173" s="11"/>
      <c r="CE173" s="11"/>
      <c r="CF173" s="11"/>
    </row>
    <row r="174" spans="4:84" x14ac:dyDescent="0.25">
      <c r="D174" s="11"/>
      <c r="E174" s="11"/>
      <c r="F174" s="11"/>
      <c r="G174" s="11"/>
      <c r="H174" s="11"/>
      <c r="I174" s="11"/>
      <c r="J174" s="11"/>
      <c r="N174" s="11"/>
      <c r="O174" s="11"/>
      <c r="P174" s="11"/>
      <c r="Q174" s="11"/>
      <c r="R174" s="11"/>
      <c r="CB174" s="11"/>
      <c r="CE174" s="11"/>
      <c r="CF174" s="11"/>
    </row>
    <row r="175" spans="4:84" x14ac:dyDescent="0.25">
      <c r="D175" s="11"/>
      <c r="E175" s="11"/>
      <c r="F175" s="11"/>
      <c r="G175" s="11"/>
      <c r="H175" s="11"/>
      <c r="I175" s="11"/>
      <c r="J175" s="11"/>
      <c r="N175" s="11"/>
      <c r="O175" s="11"/>
      <c r="P175" s="11"/>
      <c r="Q175" s="11"/>
      <c r="R175" s="11"/>
      <c r="CB175" s="11"/>
      <c r="CE175" s="11"/>
      <c r="CF175" s="11"/>
    </row>
    <row r="176" spans="4:84" x14ac:dyDescent="0.25">
      <c r="D176" s="11"/>
      <c r="E176" s="11"/>
      <c r="F176" s="11"/>
      <c r="G176" s="11"/>
      <c r="H176" s="11"/>
      <c r="I176" s="11"/>
      <c r="J176" s="11"/>
      <c r="N176" s="11"/>
      <c r="O176" s="11"/>
      <c r="P176" s="11"/>
      <c r="Q176" s="11"/>
      <c r="R176" s="11"/>
      <c r="CB176" s="11"/>
      <c r="CE176" s="11"/>
      <c r="CF176" s="11"/>
    </row>
    <row r="177" spans="4:84" x14ac:dyDescent="0.25">
      <c r="D177" s="11"/>
      <c r="E177" s="11"/>
      <c r="F177" s="11"/>
      <c r="G177" s="11"/>
      <c r="H177" s="11"/>
      <c r="I177" s="11"/>
      <c r="J177" s="11"/>
      <c r="N177" s="11"/>
      <c r="O177" s="11"/>
      <c r="P177" s="11"/>
      <c r="Q177" s="11"/>
      <c r="R177" s="11"/>
      <c r="CB177" s="11"/>
      <c r="CE177" s="11"/>
      <c r="CF177" s="11"/>
    </row>
    <row r="178" spans="4:84" x14ac:dyDescent="0.25">
      <c r="D178" s="11"/>
      <c r="E178" s="11"/>
      <c r="F178" s="11"/>
      <c r="G178" s="11"/>
      <c r="H178" s="11"/>
      <c r="I178" s="11"/>
      <c r="J178" s="11"/>
      <c r="N178" s="11"/>
      <c r="O178" s="11"/>
      <c r="P178" s="11"/>
      <c r="Q178" s="11"/>
      <c r="R178" s="11"/>
      <c r="CB178" s="11"/>
      <c r="CE178" s="11"/>
      <c r="CF178" s="11"/>
    </row>
    <row r="179" spans="4:84" x14ac:dyDescent="0.25">
      <c r="D179" s="11"/>
      <c r="E179" s="11"/>
      <c r="F179" s="11"/>
      <c r="G179" s="11"/>
      <c r="H179" s="11"/>
      <c r="I179" s="11"/>
      <c r="J179" s="11"/>
      <c r="N179" s="11"/>
      <c r="O179" s="11"/>
      <c r="P179" s="11"/>
      <c r="Q179" s="11"/>
      <c r="R179" s="11"/>
      <c r="CB179" s="11"/>
      <c r="CE179" s="11"/>
      <c r="CF179" s="11"/>
    </row>
    <row r="180" spans="4:84" x14ac:dyDescent="0.25">
      <c r="D180" s="11"/>
      <c r="E180" s="11"/>
      <c r="F180" s="11"/>
      <c r="G180" s="11"/>
      <c r="H180" s="11"/>
      <c r="I180" s="11"/>
      <c r="J180" s="11"/>
      <c r="N180" s="11"/>
      <c r="O180" s="11"/>
      <c r="P180" s="11"/>
      <c r="Q180" s="11"/>
      <c r="R180" s="11"/>
      <c r="CB180" s="11"/>
      <c r="CE180" s="11"/>
      <c r="CF180" s="11"/>
    </row>
    <row r="181" spans="4:84" x14ac:dyDescent="0.25">
      <c r="D181" s="11"/>
      <c r="E181" s="11"/>
      <c r="F181" s="11"/>
      <c r="G181" s="11"/>
      <c r="H181" s="11"/>
      <c r="I181" s="11"/>
      <c r="J181" s="11"/>
      <c r="N181" s="11"/>
      <c r="O181" s="11"/>
      <c r="P181" s="11"/>
      <c r="Q181" s="11"/>
      <c r="R181" s="11"/>
      <c r="CB181" s="11"/>
      <c r="CE181" s="11"/>
      <c r="CF181" s="11"/>
    </row>
    <row r="182" spans="4:84" x14ac:dyDescent="0.25">
      <c r="D182" s="11"/>
      <c r="E182" s="11"/>
      <c r="F182" s="11"/>
      <c r="G182" s="11"/>
      <c r="H182" s="11"/>
      <c r="I182" s="11"/>
      <c r="J182" s="11"/>
      <c r="N182" s="11"/>
      <c r="O182" s="11"/>
      <c r="P182" s="11"/>
      <c r="Q182" s="11"/>
      <c r="R182" s="11"/>
      <c r="CB182" s="11"/>
      <c r="CE182" s="11"/>
      <c r="CF182" s="11"/>
    </row>
    <row r="183" spans="4:84" x14ac:dyDescent="0.25">
      <c r="D183" s="11"/>
      <c r="E183" s="11"/>
      <c r="F183" s="11"/>
      <c r="G183" s="11"/>
      <c r="H183" s="11"/>
      <c r="I183" s="11"/>
      <c r="J183" s="11"/>
      <c r="N183" s="11"/>
      <c r="O183" s="11"/>
      <c r="P183" s="11"/>
      <c r="Q183" s="11"/>
      <c r="R183" s="11"/>
      <c r="CB183" s="11"/>
      <c r="CE183" s="11"/>
      <c r="CF183" s="11"/>
    </row>
    <row r="184" spans="4:84" x14ac:dyDescent="0.25">
      <c r="D184" s="11"/>
      <c r="E184" s="11"/>
      <c r="F184" s="11"/>
      <c r="G184" s="11"/>
      <c r="H184" s="11"/>
      <c r="I184" s="11"/>
      <c r="J184" s="11"/>
      <c r="N184" s="11"/>
      <c r="O184" s="11"/>
      <c r="P184" s="11"/>
      <c r="Q184" s="11"/>
      <c r="R184" s="11"/>
      <c r="CB184" s="11"/>
      <c r="CE184" s="11"/>
      <c r="CF184" s="11"/>
    </row>
    <row r="185" spans="4:84" x14ac:dyDescent="0.25">
      <c r="D185" s="11"/>
      <c r="E185" s="11"/>
      <c r="F185" s="11"/>
      <c r="G185" s="11"/>
      <c r="H185" s="11"/>
      <c r="I185" s="11"/>
      <c r="J185" s="11"/>
      <c r="N185" s="11"/>
      <c r="O185" s="11"/>
      <c r="P185" s="11"/>
      <c r="Q185" s="11"/>
      <c r="R185" s="11"/>
      <c r="CB185" s="11"/>
      <c r="CE185" s="11"/>
      <c r="CF185" s="11"/>
    </row>
    <row r="186" spans="4:84" x14ac:dyDescent="0.25">
      <c r="D186" s="11"/>
      <c r="E186" s="11"/>
      <c r="F186" s="11"/>
      <c r="G186" s="11"/>
      <c r="H186" s="11"/>
      <c r="I186" s="11"/>
      <c r="J186" s="11"/>
      <c r="N186" s="11"/>
      <c r="O186" s="11"/>
      <c r="P186" s="11"/>
      <c r="Q186" s="11"/>
      <c r="R186" s="11"/>
      <c r="CB186" s="11"/>
      <c r="CE186" s="11"/>
      <c r="CF186" s="11"/>
    </row>
    <row r="187" spans="4:84" x14ac:dyDescent="0.25">
      <c r="D187" s="11"/>
      <c r="E187" s="11"/>
      <c r="F187" s="11"/>
      <c r="G187" s="11"/>
      <c r="H187" s="11"/>
      <c r="I187" s="11"/>
      <c r="J187" s="11"/>
      <c r="N187" s="11"/>
      <c r="O187" s="11"/>
      <c r="P187" s="11"/>
      <c r="Q187" s="11"/>
      <c r="R187" s="11"/>
      <c r="CB187" s="11"/>
      <c r="CE187" s="11"/>
      <c r="CF187" s="11"/>
    </row>
    <row r="188" spans="4:84" x14ac:dyDescent="0.25">
      <c r="D188" s="11"/>
      <c r="E188" s="11"/>
      <c r="F188" s="11"/>
      <c r="G188" s="11"/>
      <c r="H188" s="11"/>
      <c r="I188" s="11"/>
      <c r="J188" s="11"/>
      <c r="N188" s="11"/>
      <c r="O188" s="11"/>
      <c r="P188" s="11"/>
      <c r="Q188" s="11"/>
      <c r="R188" s="11"/>
      <c r="CB188" s="11"/>
      <c r="CE188" s="11"/>
      <c r="CF188" s="11"/>
    </row>
    <row r="189" spans="4:84" x14ac:dyDescent="0.25">
      <c r="D189" s="11"/>
      <c r="E189" s="11"/>
      <c r="F189" s="11"/>
      <c r="G189" s="11"/>
      <c r="H189" s="11"/>
      <c r="I189" s="11"/>
      <c r="J189" s="11"/>
      <c r="N189" s="11"/>
      <c r="O189" s="11"/>
      <c r="P189" s="11"/>
      <c r="Q189" s="11"/>
      <c r="R189" s="11"/>
      <c r="CB189" s="11"/>
      <c r="CE189" s="11"/>
      <c r="CF189" s="11"/>
    </row>
    <row r="190" spans="4:84" x14ac:dyDescent="0.25">
      <c r="D190" s="11"/>
      <c r="E190" s="11"/>
      <c r="F190" s="11"/>
      <c r="G190" s="11"/>
      <c r="H190" s="11"/>
      <c r="I190" s="11"/>
      <c r="J190" s="11"/>
      <c r="N190" s="11"/>
      <c r="O190" s="11"/>
      <c r="P190" s="11"/>
      <c r="Q190" s="11"/>
      <c r="R190" s="11"/>
      <c r="CB190" s="11"/>
      <c r="CE190" s="11"/>
      <c r="CF190" s="11"/>
    </row>
    <row r="191" spans="4:84" x14ac:dyDescent="0.25">
      <c r="D191" s="11"/>
      <c r="E191" s="11"/>
      <c r="F191" s="11"/>
      <c r="G191" s="11"/>
      <c r="H191" s="11"/>
      <c r="I191" s="11"/>
      <c r="J191" s="11"/>
      <c r="N191" s="11"/>
      <c r="O191" s="11"/>
      <c r="P191" s="11"/>
      <c r="Q191" s="11"/>
      <c r="R191" s="11"/>
      <c r="CB191" s="11"/>
      <c r="CE191" s="11"/>
      <c r="CF191" s="11"/>
    </row>
    <row r="192" spans="4:84" x14ac:dyDescent="0.25">
      <c r="D192" s="11"/>
      <c r="E192" s="11"/>
      <c r="F192" s="11"/>
      <c r="G192" s="11"/>
      <c r="H192" s="11"/>
      <c r="I192" s="11"/>
      <c r="J192" s="11"/>
      <c r="N192" s="11"/>
      <c r="O192" s="11"/>
      <c r="P192" s="11"/>
      <c r="Q192" s="11"/>
      <c r="R192" s="11"/>
      <c r="CB192" s="11"/>
      <c r="CE192" s="11"/>
      <c r="CF192" s="11"/>
    </row>
    <row r="193" spans="4:84" x14ac:dyDescent="0.25">
      <c r="D193" s="11"/>
      <c r="E193" s="11"/>
      <c r="F193" s="11"/>
      <c r="G193" s="11"/>
      <c r="H193" s="11"/>
      <c r="I193" s="11"/>
      <c r="J193" s="11"/>
      <c r="N193" s="11"/>
      <c r="O193" s="11"/>
      <c r="P193" s="11"/>
      <c r="Q193" s="11"/>
      <c r="R193" s="11"/>
      <c r="CB193" s="11"/>
      <c r="CE193" s="11"/>
      <c r="CF193" s="11"/>
    </row>
    <row r="194" spans="4:84" x14ac:dyDescent="0.25">
      <c r="D194" s="11"/>
      <c r="E194" s="11"/>
      <c r="F194" s="11"/>
      <c r="G194" s="11"/>
      <c r="H194" s="11"/>
      <c r="I194" s="11"/>
      <c r="J194" s="11"/>
      <c r="N194" s="11"/>
      <c r="O194" s="11"/>
      <c r="P194" s="11"/>
      <c r="Q194" s="11"/>
      <c r="R194" s="11"/>
      <c r="CB194" s="11"/>
      <c r="CE194" s="11"/>
      <c r="CF194" s="11"/>
    </row>
    <row r="195" spans="4:84" x14ac:dyDescent="0.25">
      <c r="D195" s="11"/>
      <c r="E195" s="11"/>
      <c r="F195" s="11"/>
      <c r="G195" s="11"/>
      <c r="H195" s="11"/>
      <c r="I195" s="11"/>
      <c r="J195" s="11"/>
      <c r="N195" s="11"/>
      <c r="O195" s="11"/>
      <c r="P195" s="11"/>
      <c r="Q195" s="11"/>
      <c r="R195" s="11"/>
      <c r="CB195" s="11"/>
      <c r="CE195" s="11"/>
      <c r="CF195" s="11"/>
    </row>
    <row r="196" spans="4:84" x14ac:dyDescent="0.25">
      <c r="D196" s="11"/>
      <c r="E196" s="11"/>
      <c r="F196" s="11"/>
      <c r="G196" s="11"/>
      <c r="H196" s="11"/>
      <c r="I196" s="11"/>
      <c r="J196" s="11"/>
      <c r="N196" s="11"/>
      <c r="O196" s="11"/>
      <c r="P196" s="11"/>
      <c r="Q196" s="11"/>
      <c r="R196" s="11"/>
      <c r="CB196" s="11"/>
      <c r="CE196" s="11"/>
      <c r="CF196" s="11"/>
    </row>
    <row r="197" spans="4:84" x14ac:dyDescent="0.25">
      <c r="D197" s="11"/>
      <c r="E197" s="11"/>
      <c r="F197" s="11"/>
      <c r="G197" s="11"/>
      <c r="H197" s="11"/>
      <c r="I197" s="11"/>
      <c r="J197" s="11"/>
      <c r="N197" s="11"/>
      <c r="O197" s="11"/>
      <c r="P197" s="11"/>
      <c r="Q197" s="11"/>
      <c r="R197" s="11"/>
      <c r="CB197" s="11"/>
      <c r="CE197" s="11"/>
      <c r="CF197" s="11"/>
    </row>
    <row r="198" spans="4:84" x14ac:dyDescent="0.25">
      <c r="D198" s="11"/>
      <c r="E198" s="11"/>
      <c r="F198" s="11"/>
      <c r="G198" s="11"/>
      <c r="H198" s="11"/>
      <c r="I198" s="11"/>
      <c r="J198" s="11"/>
      <c r="N198" s="11"/>
      <c r="O198" s="11"/>
      <c r="P198" s="11"/>
      <c r="Q198" s="11"/>
      <c r="R198" s="11"/>
      <c r="CB198" s="11"/>
      <c r="CE198" s="11"/>
      <c r="CF198" s="11"/>
    </row>
    <row r="199" spans="4:84" x14ac:dyDescent="0.25">
      <c r="D199" s="11"/>
      <c r="E199" s="11"/>
      <c r="F199" s="11"/>
      <c r="G199" s="11"/>
      <c r="H199" s="11"/>
      <c r="I199" s="11"/>
      <c r="J199" s="11"/>
      <c r="N199" s="11"/>
      <c r="O199" s="11"/>
      <c r="P199" s="11"/>
      <c r="Q199" s="11"/>
      <c r="R199" s="11"/>
      <c r="CB199" s="11"/>
      <c r="CE199" s="11"/>
      <c r="CF199" s="11"/>
    </row>
    <row r="200" spans="4:84" x14ac:dyDescent="0.25">
      <c r="D200" s="11"/>
      <c r="E200" s="11"/>
      <c r="F200" s="11"/>
      <c r="G200" s="11"/>
      <c r="H200" s="11"/>
      <c r="I200" s="11"/>
      <c r="J200" s="11"/>
      <c r="N200" s="11"/>
      <c r="O200" s="11"/>
      <c r="P200" s="11"/>
      <c r="Q200" s="11"/>
      <c r="R200" s="11"/>
      <c r="CB200" s="11"/>
      <c r="CE200" s="11"/>
      <c r="CF200" s="11"/>
    </row>
    <row r="201" spans="4:84" x14ac:dyDescent="0.25">
      <c r="D201" s="11"/>
      <c r="E201" s="11"/>
      <c r="F201" s="11"/>
      <c r="G201" s="11"/>
      <c r="H201" s="11"/>
      <c r="I201" s="11"/>
      <c r="J201" s="11"/>
      <c r="N201" s="11"/>
      <c r="O201" s="11"/>
      <c r="P201" s="11"/>
      <c r="Q201" s="11"/>
      <c r="R201" s="11"/>
      <c r="CB201" s="11"/>
      <c r="CE201" s="11"/>
      <c r="CF201" s="11"/>
    </row>
    <row r="202" spans="4:84" x14ac:dyDescent="0.25">
      <c r="D202" s="11"/>
      <c r="E202" s="11"/>
      <c r="F202" s="11"/>
      <c r="G202" s="11"/>
      <c r="H202" s="11"/>
      <c r="I202" s="11"/>
      <c r="J202" s="11"/>
      <c r="N202" s="11"/>
      <c r="O202" s="11"/>
      <c r="P202" s="11"/>
      <c r="Q202" s="11"/>
      <c r="R202" s="11"/>
      <c r="CB202" s="11"/>
      <c r="CE202" s="11"/>
      <c r="CF202" s="11"/>
    </row>
    <row r="203" spans="4:84" x14ac:dyDescent="0.25">
      <c r="D203" s="11"/>
      <c r="E203" s="11"/>
      <c r="F203" s="11"/>
      <c r="G203" s="11"/>
      <c r="H203" s="11"/>
      <c r="I203" s="11"/>
      <c r="J203" s="11"/>
      <c r="N203" s="11"/>
      <c r="O203" s="11"/>
      <c r="P203" s="11"/>
      <c r="Q203" s="11"/>
      <c r="R203" s="11"/>
      <c r="CB203" s="11"/>
      <c r="CE203" s="11"/>
      <c r="CF203" s="11"/>
    </row>
    <row r="204" spans="4:84" x14ac:dyDescent="0.25">
      <c r="D204" s="11"/>
      <c r="E204" s="11"/>
      <c r="F204" s="11"/>
      <c r="G204" s="11"/>
      <c r="H204" s="11"/>
      <c r="I204" s="11"/>
      <c r="J204" s="11"/>
      <c r="N204" s="11"/>
      <c r="O204" s="11"/>
      <c r="P204" s="11"/>
      <c r="Q204" s="11"/>
      <c r="R204" s="11"/>
      <c r="CB204" s="11"/>
      <c r="CE204" s="11"/>
      <c r="CF204" s="11"/>
    </row>
    <row r="205" spans="4:84" x14ac:dyDescent="0.25">
      <c r="D205" s="11"/>
      <c r="E205" s="11"/>
      <c r="F205" s="11"/>
      <c r="G205" s="11"/>
      <c r="H205" s="11"/>
      <c r="I205" s="11"/>
      <c r="J205" s="11"/>
      <c r="N205" s="11"/>
      <c r="O205" s="11"/>
      <c r="P205" s="11"/>
      <c r="Q205" s="11"/>
      <c r="R205" s="11"/>
      <c r="CB205" s="11"/>
      <c r="CE205" s="11"/>
      <c r="CF205" s="11"/>
    </row>
    <row r="206" spans="4:84" x14ac:dyDescent="0.25">
      <c r="D206" s="11"/>
      <c r="E206" s="11"/>
      <c r="F206" s="11"/>
      <c r="G206" s="11"/>
      <c r="H206" s="11"/>
      <c r="I206" s="11"/>
      <c r="J206" s="11"/>
      <c r="N206" s="11"/>
      <c r="O206" s="11"/>
      <c r="P206" s="11"/>
      <c r="Q206" s="11"/>
      <c r="R206" s="11"/>
      <c r="CB206" s="11"/>
      <c r="CE206" s="11"/>
      <c r="CF206" s="11"/>
    </row>
    <row r="207" spans="4:84" x14ac:dyDescent="0.25">
      <c r="D207" s="11"/>
      <c r="E207" s="11"/>
      <c r="F207" s="11"/>
      <c r="G207" s="11"/>
      <c r="H207" s="11"/>
      <c r="I207" s="11"/>
      <c r="J207" s="11"/>
      <c r="N207" s="11"/>
      <c r="O207" s="11"/>
      <c r="P207" s="11"/>
      <c r="Q207" s="11"/>
      <c r="R207" s="11"/>
      <c r="CB207" s="11"/>
      <c r="CE207" s="11"/>
      <c r="CF207" s="11"/>
    </row>
    <row r="208" spans="4:84" x14ac:dyDescent="0.25">
      <c r="D208" s="11"/>
      <c r="E208" s="11"/>
      <c r="F208" s="11"/>
      <c r="G208" s="11"/>
      <c r="H208" s="11"/>
      <c r="I208" s="11"/>
      <c r="J208" s="11"/>
      <c r="N208" s="11"/>
      <c r="O208" s="11"/>
      <c r="P208" s="11"/>
      <c r="Q208" s="11"/>
      <c r="R208" s="11"/>
      <c r="CB208" s="11"/>
      <c r="CE208" s="11"/>
      <c r="CF208" s="11"/>
    </row>
    <row r="209" spans="4:84" x14ac:dyDescent="0.25">
      <c r="D209" s="11"/>
      <c r="E209" s="11"/>
      <c r="F209" s="11"/>
      <c r="G209" s="11"/>
      <c r="H209" s="11"/>
      <c r="I209" s="11"/>
      <c r="J209" s="11"/>
      <c r="N209" s="11"/>
      <c r="O209" s="11"/>
      <c r="P209" s="11"/>
      <c r="Q209" s="11"/>
      <c r="R209" s="11"/>
      <c r="CB209" s="11"/>
      <c r="CE209" s="11"/>
      <c r="CF209" s="11"/>
    </row>
    <row r="210" spans="4:84" x14ac:dyDescent="0.25">
      <c r="D210" s="11"/>
      <c r="E210" s="11"/>
      <c r="F210" s="11"/>
      <c r="G210" s="11"/>
      <c r="H210" s="11"/>
      <c r="I210" s="11"/>
      <c r="J210" s="11"/>
      <c r="N210" s="11"/>
      <c r="O210" s="11"/>
      <c r="P210" s="11"/>
      <c r="Q210" s="11"/>
      <c r="R210" s="11"/>
      <c r="CB210" s="11"/>
      <c r="CE210" s="11"/>
      <c r="CF210" s="11"/>
    </row>
    <row r="211" spans="4:84" x14ac:dyDescent="0.25">
      <c r="D211" s="11"/>
      <c r="E211" s="11"/>
      <c r="F211" s="11"/>
      <c r="G211" s="11"/>
      <c r="H211" s="11"/>
      <c r="I211" s="11"/>
      <c r="J211" s="11"/>
      <c r="N211" s="11"/>
      <c r="O211" s="11"/>
      <c r="P211" s="11"/>
      <c r="Q211" s="11"/>
      <c r="R211" s="11"/>
      <c r="CB211" s="11"/>
      <c r="CE211" s="11"/>
      <c r="CF211" s="11"/>
    </row>
    <row r="212" spans="4:84" x14ac:dyDescent="0.25">
      <c r="D212" s="11"/>
      <c r="E212" s="11"/>
      <c r="F212" s="11"/>
      <c r="G212" s="11"/>
      <c r="H212" s="11"/>
      <c r="I212" s="11"/>
      <c r="J212" s="11"/>
      <c r="N212" s="11"/>
      <c r="O212" s="11"/>
      <c r="P212" s="11"/>
      <c r="Q212" s="11"/>
      <c r="R212" s="11"/>
      <c r="CB212" s="11"/>
      <c r="CE212" s="11"/>
      <c r="CF212" s="11"/>
    </row>
    <row r="213" spans="4:84" x14ac:dyDescent="0.25">
      <c r="D213" s="11"/>
      <c r="E213" s="11"/>
      <c r="F213" s="11"/>
      <c r="G213" s="11"/>
      <c r="H213" s="11"/>
      <c r="I213" s="11"/>
      <c r="J213" s="11"/>
      <c r="N213" s="11"/>
      <c r="O213" s="11"/>
      <c r="P213" s="11"/>
      <c r="Q213" s="11"/>
      <c r="R213" s="11"/>
      <c r="CB213" s="11"/>
      <c r="CE213" s="11"/>
      <c r="CF213" s="11"/>
    </row>
    <row r="214" spans="4:84" x14ac:dyDescent="0.25">
      <c r="D214" s="11"/>
      <c r="E214" s="11"/>
      <c r="F214" s="11"/>
      <c r="G214" s="11"/>
      <c r="H214" s="11"/>
      <c r="I214" s="11"/>
      <c r="J214" s="11"/>
      <c r="N214" s="11"/>
      <c r="O214" s="11"/>
      <c r="P214" s="11"/>
      <c r="Q214" s="11"/>
      <c r="R214" s="11"/>
      <c r="CB214" s="11"/>
      <c r="CE214" s="11"/>
      <c r="CF214" s="11"/>
    </row>
    <row r="215" spans="4:84" x14ac:dyDescent="0.25">
      <c r="D215" s="11"/>
      <c r="E215" s="11"/>
      <c r="F215" s="11"/>
      <c r="G215" s="11"/>
      <c r="H215" s="11"/>
      <c r="I215" s="11"/>
      <c r="J215" s="11"/>
      <c r="N215" s="11"/>
      <c r="O215" s="11"/>
      <c r="P215" s="11"/>
      <c r="Q215" s="11"/>
      <c r="R215" s="11"/>
      <c r="CB215" s="11"/>
      <c r="CE215" s="11"/>
      <c r="CF215" s="11"/>
    </row>
    <row r="216" spans="4:84" x14ac:dyDescent="0.25">
      <c r="D216" s="11"/>
      <c r="E216" s="11"/>
      <c r="F216" s="11"/>
      <c r="G216" s="11"/>
      <c r="H216" s="11"/>
      <c r="I216" s="11"/>
      <c r="J216" s="11"/>
      <c r="N216" s="11"/>
      <c r="O216" s="11"/>
      <c r="P216" s="11"/>
      <c r="Q216" s="11"/>
      <c r="R216" s="11"/>
      <c r="CB216" s="11"/>
      <c r="CE216" s="11"/>
      <c r="CF216" s="11"/>
    </row>
    <row r="217" spans="4:84" x14ac:dyDescent="0.25">
      <c r="D217" s="11"/>
      <c r="E217" s="11"/>
      <c r="F217" s="11"/>
      <c r="G217" s="11"/>
      <c r="H217" s="11"/>
      <c r="I217" s="11"/>
      <c r="J217" s="11"/>
      <c r="N217" s="11"/>
      <c r="O217" s="11"/>
      <c r="P217" s="11"/>
      <c r="Q217" s="11"/>
      <c r="R217" s="11"/>
      <c r="CB217" s="11"/>
      <c r="CE217" s="11"/>
      <c r="CF217" s="11"/>
    </row>
    <row r="218" spans="4:84" x14ac:dyDescent="0.25">
      <c r="D218" s="11"/>
      <c r="E218" s="11"/>
      <c r="F218" s="11"/>
      <c r="G218" s="11"/>
      <c r="H218" s="11"/>
      <c r="I218" s="11"/>
      <c r="J218" s="11"/>
      <c r="N218" s="11"/>
      <c r="O218" s="11"/>
      <c r="P218" s="11"/>
      <c r="Q218" s="11"/>
      <c r="R218" s="11"/>
      <c r="CB218" s="11"/>
      <c r="CE218" s="11"/>
      <c r="CF218" s="11"/>
    </row>
    <row r="219" spans="4:84" x14ac:dyDescent="0.25">
      <c r="D219" s="11"/>
      <c r="E219" s="11"/>
      <c r="F219" s="11"/>
      <c r="G219" s="11"/>
      <c r="H219" s="11"/>
      <c r="I219" s="11"/>
      <c r="J219" s="11"/>
      <c r="N219" s="11"/>
      <c r="O219" s="11"/>
      <c r="P219" s="11"/>
      <c r="Q219" s="11"/>
      <c r="R219" s="11"/>
      <c r="CB219" s="11"/>
      <c r="CE219" s="11"/>
      <c r="CF219" s="11"/>
    </row>
    <row r="220" spans="4:84" x14ac:dyDescent="0.25">
      <c r="D220" s="11"/>
      <c r="E220" s="11"/>
      <c r="F220" s="11"/>
      <c r="G220" s="11"/>
      <c r="H220" s="11"/>
      <c r="I220" s="11"/>
      <c r="J220" s="11"/>
      <c r="N220" s="11"/>
      <c r="O220" s="11"/>
      <c r="P220" s="11"/>
      <c r="Q220" s="11"/>
      <c r="R220" s="11"/>
      <c r="CB220" s="11"/>
      <c r="CE220" s="11"/>
      <c r="CF220" s="11"/>
    </row>
    <row r="221" spans="4:84" x14ac:dyDescent="0.25">
      <c r="D221" s="11"/>
      <c r="E221" s="11"/>
      <c r="F221" s="11"/>
      <c r="G221" s="11"/>
      <c r="H221" s="11"/>
      <c r="I221" s="11"/>
      <c r="J221" s="11"/>
      <c r="N221" s="11"/>
      <c r="O221" s="11"/>
      <c r="P221" s="11"/>
      <c r="Q221" s="11"/>
      <c r="R221" s="11"/>
      <c r="CB221" s="11"/>
      <c r="CE221" s="11"/>
      <c r="CF221" s="11"/>
    </row>
    <row r="222" spans="4:84" x14ac:dyDescent="0.25">
      <c r="D222" s="11"/>
      <c r="E222" s="11"/>
      <c r="F222" s="11"/>
      <c r="G222" s="11"/>
      <c r="H222" s="11"/>
      <c r="I222" s="11"/>
      <c r="J222" s="11"/>
      <c r="N222" s="11"/>
      <c r="O222" s="11"/>
      <c r="P222" s="11"/>
      <c r="Q222" s="11"/>
      <c r="R222" s="11"/>
      <c r="CB222" s="11"/>
      <c r="CE222" s="11"/>
      <c r="CF222" s="11"/>
    </row>
    <row r="223" spans="4:84" x14ac:dyDescent="0.25">
      <c r="D223" s="11"/>
      <c r="E223" s="11"/>
      <c r="F223" s="11"/>
      <c r="G223" s="11"/>
      <c r="H223" s="11"/>
      <c r="I223" s="11"/>
      <c r="J223" s="11"/>
      <c r="N223" s="11"/>
      <c r="O223" s="11"/>
      <c r="P223" s="11"/>
      <c r="Q223" s="11"/>
      <c r="R223" s="11"/>
      <c r="CB223" s="11"/>
      <c r="CE223" s="11"/>
      <c r="CF223" s="11"/>
    </row>
    <row r="224" spans="4:84" x14ac:dyDescent="0.25">
      <c r="D224" s="11"/>
      <c r="E224" s="11"/>
      <c r="F224" s="11"/>
      <c r="G224" s="11"/>
      <c r="H224" s="11"/>
      <c r="I224" s="11"/>
      <c r="J224" s="11"/>
      <c r="N224" s="11"/>
      <c r="O224" s="11"/>
      <c r="P224" s="11"/>
      <c r="Q224" s="11"/>
      <c r="R224" s="11"/>
      <c r="CB224" s="11"/>
      <c r="CE224" s="11"/>
      <c r="CF224" s="11"/>
    </row>
    <row r="225" spans="4:84" x14ac:dyDescent="0.25">
      <c r="D225" s="11"/>
      <c r="E225" s="11"/>
      <c r="F225" s="11"/>
      <c r="G225" s="11"/>
      <c r="H225" s="11"/>
      <c r="I225" s="11"/>
      <c r="J225" s="11"/>
      <c r="N225" s="11"/>
      <c r="O225" s="11"/>
      <c r="P225" s="11"/>
      <c r="Q225" s="11"/>
      <c r="R225" s="11"/>
      <c r="CB225" s="11"/>
      <c r="CE225" s="11"/>
      <c r="CF225" s="11"/>
    </row>
    <row r="226" spans="4:84" x14ac:dyDescent="0.25">
      <c r="D226" s="11"/>
      <c r="E226" s="11"/>
      <c r="F226" s="11"/>
      <c r="G226" s="11"/>
      <c r="H226" s="11"/>
      <c r="I226" s="11"/>
      <c r="J226" s="11"/>
      <c r="N226" s="11"/>
      <c r="O226" s="11"/>
      <c r="P226" s="11"/>
      <c r="Q226" s="11"/>
      <c r="R226" s="11"/>
      <c r="CB226" s="11"/>
      <c r="CE226" s="11"/>
      <c r="CF226" s="11"/>
    </row>
    <row r="227" spans="4:84" x14ac:dyDescent="0.25">
      <c r="D227" s="11"/>
      <c r="E227" s="11"/>
      <c r="F227" s="11"/>
      <c r="G227" s="11"/>
      <c r="H227" s="11"/>
      <c r="I227" s="11"/>
      <c r="J227" s="11"/>
      <c r="N227" s="11"/>
      <c r="O227" s="11"/>
      <c r="P227" s="11"/>
      <c r="Q227" s="11"/>
      <c r="R227" s="11"/>
      <c r="CB227" s="11"/>
      <c r="CE227" s="11"/>
      <c r="CF227" s="11"/>
    </row>
    <row r="228" spans="4:84" x14ac:dyDescent="0.25">
      <c r="D228" s="11"/>
      <c r="E228" s="11"/>
      <c r="F228" s="11"/>
      <c r="G228" s="11"/>
      <c r="H228" s="11"/>
      <c r="I228" s="11"/>
      <c r="J228" s="11"/>
      <c r="N228" s="11"/>
      <c r="O228" s="11"/>
      <c r="P228" s="11"/>
      <c r="Q228" s="11"/>
      <c r="R228" s="11"/>
      <c r="CB228" s="11"/>
      <c r="CE228" s="11"/>
      <c r="CF228" s="11"/>
    </row>
    <row r="229" spans="4:84" x14ac:dyDescent="0.25">
      <c r="D229" s="11"/>
      <c r="E229" s="11"/>
      <c r="F229" s="11"/>
      <c r="G229" s="11"/>
      <c r="H229" s="11"/>
      <c r="I229" s="11"/>
      <c r="J229" s="11"/>
      <c r="N229" s="11"/>
      <c r="O229" s="11"/>
      <c r="P229" s="11"/>
      <c r="Q229" s="11"/>
      <c r="R229" s="11"/>
      <c r="CB229" s="11"/>
      <c r="CE229" s="11"/>
      <c r="CF229" s="11"/>
    </row>
    <row r="230" spans="4:84" x14ac:dyDescent="0.25">
      <c r="D230" s="11"/>
      <c r="E230" s="11"/>
      <c r="F230" s="11"/>
      <c r="G230" s="11"/>
      <c r="H230" s="11"/>
      <c r="I230" s="11"/>
      <c r="J230" s="11"/>
      <c r="N230" s="11"/>
      <c r="O230" s="11"/>
      <c r="P230" s="11"/>
      <c r="Q230" s="11"/>
      <c r="R230" s="11"/>
      <c r="CB230" s="11"/>
      <c r="CE230" s="11"/>
      <c r="CF230" s="11"/>
    </row>
    <row r="231" spans="4:84" x14ac:dyDescent="0.25">
      <c r="D231" s="11"/>
      <c r="E231" s="11"/>
      <c r="F231" s="11"/>
      <c r="G231" s="11"/>
      <c r="H231" s="11"/>
      <c r="I231" s="11"/>
      <c r="J231" s="11"/>
      <c r="N231" s="11"/>
      <c r="O231" s="11"/>
      <c r="P231" s="11"/>
      <c r="Q231" s="11"/>
      <c r="R231" s="11"/>
      <c r="CB231" s="11"/>
      <c r="CE231" s="11"/>
      <c r="CF231" s="11"/>
    </row>
    <row r="232" spans="4:84" x14ac:dyDescent="0.25">
      <c r="D232" s="11"/>
      <c r="E232" s="11"/>
      <c r="F232" s="11"/>
      <c r="G232" s="11"/>
      <c r="H232" s="11"/>
      <c r="I232" s="11"/>
      <c r="J232" s="11"/>
      <c r="N232" s="11"/>
      <c r="O232" s="11"/>
      <c r="P232" s="11"/>
      <c r="Q232" s="11"/>
      <c r="R232" s="11"/>
      <c r="CB232" s="11"/>
      <c r="CE232" s="11"/>
      <c r="CF232" s="11"/>
    </row>
    <row r="233" spans="4:84" x14ac:dyDescent="0.25">
      <c r="D233" s="11"/>
      <c r="E233" s="11"/>
      <c r="F233" s="11"/>
      <c r="G233" s="11"/>
      <c r="H233" s="11"/>
      <c r="I233" s="11"/>
      <c r="J233" s="11"/>
      <c r="N233" s="11"/>
      <c r="O233" s="11"/>
      <c r="P233" s="11"/>
      <c r="Q233" s="11"/>
      <c r="R233" s="11"/>
      <c r="CB233" s="11"/>
      <c r="CE233" s="11"/>
      <c r="CF233" s="11"/>
    </row>
    <row r="234" spans="4:84" x14ac:dyDescent="0.25">
      <c r="D234" s="11"/>
      <c r="E234" s="11"/>
      <c r="F234" s="11"/>
      <c r="G234" s="11"/>
      <c r="H234" s="11"/>
      <c r="I234" s="11"/>
      <c r="J234" s="11"/>
      <c r="N234" s="11"/>
      <c r="O234" s="11"/>
      <c r="P234" s="11"/>
      <c r="Q234" s="11"/>
      <c r="R234" s="11"/>
      <c r="CB234" s="11"/>
      <c r="CE234" s="11"/>
      <c r="CF234" s="11"/>
    </row>
    <row r="235" spans="4:84" x14ac:dyDescent="0.25">
      <c r="D235" s="11"/>
      <c r="E235" s="11"/>
      <c r="F235" s="11"/>
      <c r="G235" s="11"/>
      <c r="H235" s="11"/>
      <c r="I235" s="11"/>
      <c r="J235" s="11"/>
      <c r="N235" s="11"/>
      <c r="O235" s="11"/>
      <c r="P235" s="11"/>
      <c r="Q235" s="11"/>
      <c r="R235" s="11"/>
      <c r="CB235" s="11"/>
      <c r="CE235" s="11"/>
      <c r="CF235" s="11"/>
    </row>
    <row r="236" spans="4:84" x14ac:dyDescent="0.25">
      <c r="D236" s="11"/>
      <c r="E236" s="11"/>
      <c r="F236" s="11"/>
      <c r="G236" s="11"/>
      <c r="H236" s="11"/>
      <c r="I236" s="11"/>
      <c r="J236" s="11"/>
      <c r="N236" s="11"/>
      <c r="O236" s="11"/>
      <c r="P236" s="11"/>
      <c r="Q236" s="11"/>
      <c r="R236" s="11"/>
      <c r="CB236" s="11"/>
      <c r="CE236" s="11"/>
      <c r="CF236" s="11"/>
    </row>
    <row r="237" spans="4:84" x14ac:dyDescent="0.25">
      <c r="D237" s="11"/>
      <c r="E237" s="11"/>
      <c r="F237" s="11"/>
      <c r="G237" s="11"/>
      <c r="H237" s="11"/>
      <c r="I237" s="11"/>
      <c r="J237" s="11"/>
      <c r="N237" s="11"/>
      <c r="O237" s="11"/>
      <c r="P237" s="11"/>
      <c r="Q237" s="11"/>
      <c r="R237" s="11"/>
      <c r="CB237" s="11"/>
      <c r="CE237" s="11"/>
      <c r="CF237" s="11"/>
    </row>
    <row r="238" spans="4:84" x14ac:dyDescent="0.25">
      <c r="D238" s="11"/>
      <c r="E238" s="11"/>
      <c r="F238" s="11"/>
      <c r="G238" s="11"/>
      <c r="H238" s="11"/>
      <c r="I238" s="11"/>
      <c r="J238" s="11"/>
      <c r="N238" s="11"/>
      <c r="O238" s="11"/>
      <c r="P238" s="11"/>
      <c r="Q238" s="11"/>
      <c r="R238" s="11"/>
      <c r="CB238" s="11"/>
      <c r="CE238" s="11"/>
      <c r="CF238" s="11"/>
    </row>
    <row r="239" spans="4:84" x14ac:dyDescent="0.25">
      <c r="D239" s="11"/>
      <c r="E239" s="11"/>
      <c r="F239" s="11"/>
      <c r="G239" s="11"/>
      <c r="H239" s="11"/>
      <c r="I239" s="11"/>
      <c r="J239" s="11"/>
      <c r="N239" s="11"/>
      <c r="O239" s="11"/>
      <c r="P239" s="11"/>
      <c r="Q239" s="11"/>
      <c r="R239" s="11"/>
      <c r="CB239" s="11"/>
      <c r="CE239" s="11"/>
      <c r="CF239" s="11"/>
    </row>
    <row r="240" spans="4:84" x14ac:dyDescent="0.25">
      <c r="D240" s="11"/>
      <c r="E240" s="11"/>
      <c r="F240" s="11"/>
      <c r="G240" s="11"/>
      <c r="H240" s="11"/>
      <c r="I240" s="11"/>
      <c r="J240" s="11"/>
      <c r="N240" s="11"/>
      <c r="O240" s="11"/>
      <c r="P240" s="11"/>
      <c r="Q240" s="11"/>
      <c r="R240" s="11"/>
      <c r="CB240" s="11"/>
      <c r="CE240" s="11"/>
      <c r="CF240" s="11"/>
    </row>
    <row r="241" spans="4:84" x14ac:dyDescent="0.25">
      <c r="D241" s="11"/>
      <c r="E241" s="11"/>
      <c r="F241" s="11"/>
      <c r="G241" s="11"/>
      <c r="H241" s="11"/>
      <c r="I241" s="11"/>
      <c r="J241" s="11"/>
      <c r="N241" s="11"/>
      <c r="O241" s="11"/>
      <c r="P241" s="11"/>
      <c r="Q241" s="11"/>
      <c r="R241" s="11"/>
      <c r="CB241" s="11"/>
      <c r="CE241" s="11"/>
      <c r="CF241" s="11"/>
    </row>
    <row r="242" spans="4:84" x14ac:dyDescent="0.25">
      <c r="D242" s="11"/>
      <c r="E242" s="11"/>
      <c r="F242" s="11"/>
      <c r="G242" s="11"/>
      <c r="H242" s="11"/>
      <c r="I242" s="11"/>
      <c r="J242" s="11"/>
      <c r="N242" s="11"/>
      <c r="O242" s="11"/>
      <c r="P242" s="11"/>
      <c r="Q242" s="11"/>
      <c r="R242" s="11"/>
      <c r="CB242" s="11"/>
      <c r="CE242" s="11"/>
      <c r="CF242" s="11"/>
    </row>
    <row r="243" spans="4:84" x14ac:dyDescent="0.25">
      <c r="D243" s="11"/>
      <c r="E243" s="11"/>
      <c r="F243" s="11"/>
      <c r="G243" s="11"/>
      <c r="H243" s="11"/>
      <c r="I243" s="11"/>
      <c r="J243" s="11"/>
      <c r="N243" s="11"/>
      <c r="O243" s="11"/>
      <c r="P243" s="11"/>
      <c r="Q243" s="11"/>
      <c r="R243" s="11"/>
      <c r="CB243" s="11"/>
      <c r="CE243" s="11"/>
      <c r="CF243" s="11"/>
    </row>
    <row r="244" spans="4:84" x14ac:dyDescent="0.25">
      <c r="D244" s="11"/>
      <c r="E244" s="11"/>
      <c r="F244" s="11"/>
      <c r="G244" s="11"/>
      <c r="H244" s="11"/>
      <c r="I244" s="11"/>
      <c r="J244" s="11"/>
      <c r="N244" s="11"/>
      <c r="O244" s="11"/>
      <c r="P244" s="11"/>
      <c r="Q244" s="11"/>
      <c r="R244" s="11"/>
      <c r="CB244" s="11"/>
      <c r="CE244" s="11"/>
      <c r="CF244" s="11"/>
    </row>
    <row r="245" spans="4:84" x14ac:dyDescent="0.25">
      <c r="D245" s="11"/>
      <c r="E245" s="11"/>
      <c r="F245" s="11"/>
      <c r="G245" s="11"/>
      <c r="H245" s="11"/>
      <c r="I245" s="11"/>
      <c r="J245" s="11"/>
      <c r="N245" s="11"/>
      <c r="O245" s="11"/>
      <c r="P245" s="11"/>
      <c r="Q245" s="11"/>
      <c r="R245" s="11"/>
      <c r="CB245" s="11"/>
      <c r="CE245" s="11"/>
      <c r="CF245" s="11"/>
    </row>
    <row r="246" spans="4:84" x14ac:dyDescent="0.25">
      <c r="D246" s="11"/>
      <c r="E246" s="11"/>
      <c r="F246" s="11"/>
      <c r="G246" s="11"/>
      <c r="H246" s="11"/>
      <c r="I246" s="11"/>
      <c r="J246" s="11"/>
      <c r="N246" s="11"/>
      <c r="O246" s="11"/>
      <c r="P246" s="11"/>
      <c r="Q246" s="11"/>
      <c r="R246" s="11"/>
      <c r="CB246" s="11"/>
      <c r="CE246" s="11"/>
      <c r="CF246" s="11"/>
    </row>
    <row r="247" spans="4:84" x14ac:dyDescent="0.25">
      <c r="D247" s="11"/>
      <c r="E247" s="11"/>
      <c r="F247" s="11"/>
      <c r="G247" s="11"/>
      <c r="H247" s="11"/>
      <c r="I247" s="11"/>
      <c r="J247" s="11"/>
      <c r="N247" s="11"/>
      <c r="O247" s="11"/>
      <c r="P247" s="11"/>
      <c r="Q247" s="11"/>
      <c r="R247" s="11"/>
      <c r="CB247" s="11"/>
      <c r="CE247" s="11"/>
      <c r="CF247" s="11"/>
    </row>
    <row r="248" spans="4:84" x14ac:dyDescent="0.25">
      <c r="D248" s="11"/>
      <c r="E248" s="11"/>
      <c r="F248" s="11"/>
      <c r="G248" s="11"/>
      <c r="H248" s="11"/>
      <c r="I248" s="11"/>
      <c r="J248" s="11"/>
      <c r="N248" s="11"/>
      <c r="O248" s="11"/>
      <c r="P248" s="11"/>
      <c r="Q248" s="11"/>
      <c r="R248" s="11"/>
      <c r="CB248" s="11"/>
      <c r="CE248" s="11"/>
      <c r="CF248" s="11"/>
    </row>
    <row r="249" spans="4:84" x14ac:dyDescent="0.25">
      <c r="D249" s="11"/>
      <c r="E249" s="11"/>
      <c r="F249" s="11"/>
      <c r="G249" s="11"/>
      <c r="H249" s="11"/>
      <c r="I249" s="11"/>
      <c r="J249" s="11"/>
      <c r="N249" s="11"/>
      <c r="O249" s="11"/>
      <c r="P249" s="11"/>
      <c r="Q249" s="11"/>
      <c r="R249" s="11"/>
      <c r="CB249" s="11"/>
      <c r="CE249" s="11"/>
      <c r="CF249" s="11"/>
    </row>
    <row r="250" spans="4:84" x14ac:dyDescent="0.25">
      <c r="D250" s="11"/>
      <c r="E250" s="11"/>
      <c r="F250" s="11"/>
      <c r="G250" s="11"/>
      <c r="H250" s="11"/>
      <c r="I250" s="11"/>
      <c r="J250" s="11"/>
      <c r="N250" s="11"/>
      <c r="O250" s="11"/>
      <c r="P250" s="11"/>
      <c r="Q250" s="11"/>
      <c r="R250" s="11"/>
      <c r="CB250" s="11"/>
      <c r="CE250" s="11"/>
      <c r="CF250" s="11"/>
    </row>
    <row r="251" spans="4:84" x14ac:dyDescent="0.25">
      <c r="D251" s="11"/>
      <c r="E251" s="11"/>
      <c r="F251" s="11"/>
      <c r="G251" s="11"/>
      <c r="H251" s="11"/>
      <c r="I251" s="11"/>
      <c r="J251" s="11"/>
      <c r="N251" s="11"/>
      <c r="O251" s="11"/>
      <c r="P251" s="11"/>
      <c r="Q251" s="11"/>
      <c r="R251" s="11"/>
      <c r="CB251" s="11"/>
      <c r="CE251" s="11"/>
      <c r="CF251" s="11"/>
    </row>
    <row r="252" spans="4:84" x14ac:dyDescent="0.25">
      <c r="D252" s="11"/>
      <c r="E252" s="11"/>
      <c r="F252" s="11"/>
      <c r="G252" s="11"/>
      <c r="H252" s="11"/>
      <c r="I252" s="11"/>
      <c r="J252" s="11"/>
      <c r="N252" s="11"/>
      <c r="O252" s="11"/>
      <c r="P252" s="11"/>
      <c r="Q252" s="11"/>
      <c r="R252" s="11"/>
      <c r="CB252" s="11"/>
      <c r="CE252" s="11"/>
      <c r="CF252" s="11"/>
    </row>
    <row r="253" spans="4:84" x14ac:dyDescent="0.25">
      <c r="D253" s="11"/>
      <c r="E253" s="11"/>
      <c r="F253" s="11"/>
      <c r="G253" s="11"/>
      <c r="H253" s="11"/>
      <c r="I253" s="11"/>
      <c r="J253" s="11"/>
      <c r="N253" s="11"/>
      <c r="O253" s="11"/>
      <c r="P253" s="11"/>
      <c r="Q253" s="11"/>
      <c r="R253" s="11"/>
      <c r="CB253" s="11"/>
      <c r="CE253" s="11"/>
      <c r="CF253" s="11"/>
    </row>
    <row r="254" spans="4:84" x14ac:dyDescent="0.25">
      <c r="D254" s="11"/>
      <c r="E254" s="11"/>
      <c r="F254" s="11"/>
      <c r="G254" s="11"/>
      <c r="H254" s="11"/>
      <c r="I254" s="11"/>
      <c r="J254" s="11"/>
      <c r="N254" s="11"/>
      <c r="O254" s="11"/>
      <c r="P254" s="11"/>
      <c r="Q254" s="11"/>
      <c r="R254" s="11"/>
      <c r="CB254" s="11"/>
      <c r="CE254" s="11"/>
      <c r="CF254" s="11"/>
    </row>
    <row r="255" spans="4:84" x14ac:dyDescent="0.25">
      <c r="D255" s="11"/>
      <c r="E255" s="11"/>
      <c r="F255" s="11"/>
      <c r="G255" s="11"/>
      <c r="H255" s="11"/>
      <c r="I255" s="11"/>
      <c r="J255" s="11"/>
      <c r="N255" s="11"/>
      <c r="O255" s="11"/>
      <c r="P255" s="11"/>
      <c r="Q255" s="11"/>
      <c r="R255" s="11"/>
      <c r="CB255" s="11"/>
      <c r="CE255" s="11"/>
      <c r="CF255" s="11"/>
    </row>
    <row r="256" spans="4:84" x14ac:dyDescent="0.25">
      <c r="D256" s="11"/>
      <c r="E256" s="11"/>
      <c r="F256" s="11"/>
      <c r="G256" s="11"/>
      <c r="H256" s="11"/>
      <c r="I256" s="11"/>
      <c r="J256" s="11"/>
      <c r="N256" s="11"/>
      <c r="O256" s="11"/>
      <c r="P256" s="11"/>
      <c r="Q256" s="11"/>
      <c r="R256" s="11"/>
      <c r="CB256" s="11"/>
      <c r="CE256" s="11"/>
      <c r="CF256" s="11"/>
    </row>
    <row r="257" spans="4:84" x14ac:dyDescent="0.25">
      <c r="D257" s="11"/>
      <c r="E257" s="11"/>
      <c r="F257" s="11"/>
      <c r="G257" s="11"/>
      <c r="H257" s="11"/>
      <c r="I257" s="11"/>
      <c r="J257" s="11"/>
      <c r="N257" s="11"/>
      <c r="O257" s="11"/>
      <c r="P257" s="11"/>
      <c r="Q257" s="11"/>
      <c r="R257" s="11"/>
      <c r="CB257" s="11"/>
      <c r="CE257" s="11"/>
      <c r="CF257" s="11"/>
    </row>
    <row r="258" spans="4:84" x14ac:dyDescent="0.25">
      <c r="D258" s="11"/>
      <c r="E258" s="11"/>
      <c r="F258" s="11"/>
      <c r="G258" s="11"/>
      <c r="H258" s="11"/>
      <c r="I258" s="11"/>
      <c r="J258" s="11"/>
      <c r="N258" s="11"/>
      <c r="O258" s="11"/>
      <c r="P258" s="11"/>
      <c r="Q258" s="11"/>
      <c r="R258" s="11"/>
      <c r="CB258" s="11"/>
      <c r="CE258" s="11"/>
      <c r="CF258" s="11"/>
    </row>
    <row r="259" spans="4:84" x14ac:dyDescent="0.25">
      <c r="D259" s="11"/>
      <c r="E259" s="11"/>
      <c r="F259" s="11"/>
      <c r="G259" s="11"/>
      <c r="H259" s="11"/>
      <c r="I259" s="11"/>
      <c r="J259" s="11"/>
      <c r="N259" s="11"/>
      <c r="O259" s="11"/>
      <c r="P259" s="11"/>
      <c r="Q259" s="11"/>
      <c r="R259" s="11"/>
      <c r="CB259" s="11"/>
      <c r="CE259" s="11"/>
      <c r="CF259" s="11"/>
    </row>
    <row r="260" spans="4:84" x14ac:dyDescent="0.25">
      <c r="D260" s="11"/>
      <c r="E260" s="11"/>
      <c r="F260" s="11"/>
      <c r="G260" s="11"/>
      <c r="H260" s="11"/>
      <c r="I260" s="11"/>
      <c r="J260" s="11"/>
      <c r="N260" s="11"/>
      <c r="O260" s="11"/>
      <c r="P260" s="11"/>
      <c r="Q260" s="11"/>
      <c r="R260" s="11"/>
      <c r="CB260" s="11"/>
      <c r="CE260" s="11"/>
      <c r="CF260" s="11"/>
    </row>
    <row r="261" spans="4:84" x14ac:dyDescent="0.25">
      <c r="D261" s="11"/>
      <c r="E261" s="11"/>
      <c r="F261" s="11"/>
      <c r="G261" s="11"/>
      <c r="H261" s="11"/>
      <c r="I261" s="11"/>
      <c r="J261" s="11"/>
      <c r="N261" s="11"/>
      <c r="O261" s="11"/>
      <c r="P261" s="11"/>
      <c r="Q261" s="11"/>
      <c r="R261" s="11"/>
      <c r="CB261" s="11"/>
      <c r="CE261" s="11"/>
      <c r="CF261" s="11"/>
    </row>
    <row r="262" spans="4:84" x14ac:dyDescent="0.25">
      <c r="D262" s="11"/>
      <c r="E262" s="11"/>
      <c r="F262" s="11"/>
      <c r="G262" s="11"/>
      <c r="H262" s="11"/>
      <c r="I262" s="11"/>
      <c r="J262" s="11"/>
      <c r="N262" s="11"/>
      <c r="O262" s="11"/>
      <c r="P262" s="11"/>
      <c r="Q262" s="11"/>
      <c r="R262" s="11"/>
      <c r="CB262" s="11"/>
      <c r="CE262" s="11"/>
      <c r="CF262" s="11"/>
    </row>
    <row r="263" spans="4:84" x14ac:dyDescent="0.25">
      <c r="D263" s="11"/>
      <c r="E263" s="11"/>
      <c r="F263" s="11"/>
      <c r="G263" s="11"/>
      <c r="H263" s="11"/>
      <c r="I263" s="11"/>
      <c r="J263" s="11"/>
      <c r="N263" s="11"/>
      <c r="O263" s="11"/>
      <c r="P263" s="11"/>
      <c r="Q263" s="11"/>
      <c r="R263" s="11"/>
      <c r="CB263" s="11"/>
      <c r="CE263" s="11"/>
      <c r="CF263" s="11"/>
    </row>
    <row r="264" spans="4:84" x14ac:dyDescent="0.25">
      <c r="D264" s="11"/>
      <c r="E264" s="11"/>
      <c r="F264" s="11"/>
      <c r="G264" s="11"/>
      <c r="H264" s="11"/>
      <c r="I264" s="11"/>
      <c r="J264" s="11"/>
      <c r="N264" s="11"/>
      <c r="O264" s="11"/>
      <c r="P264" s="11"/>
      <c r="Q264" s="11"/>
      <c r="R264" s="11"/>
      <c r="CB264" s="11"/>
      <c r="CE264" s="11"/>
      <c r="CF264" s="11"/>
    </row>
    <row r="265" spans="4:84" x14ac:dyDescent="0.25">
      <c r="D265" s="11"/>
      <c r="E265" s="11"/>
      <c r="F265" s="11"/>
      <c r="G265" s="11"/>
      <c r="H265" s="11"/>
      <c r="I265" s="11"/>
      <c r="J265" s="11"/>
      <c r="N265" s="11"/>
      <c r="O265" s="11"/>
      <c r="P265" s="11"/>
      <c r="Q265" s="11"/>
      <c r="R265" s="11"/>
      <c r="CB265" s="11"/>
      <c r="CE265" s="11"/>
      <c r="CF265" s="11"/>
    </row>
    <row r="266" spans="4:84" x14ac:dyDescent="0.25">
      <c r="D266" s="11"/>
      <c r="E266" s="11"/>
      <c r="F266" s="11"/>
      <c r="G266" s="11"/>
      <c r="H266" s="11"/>
      <c r="I266" s="11"/>
      <c r="J266" s="11"/>
      <c r="N266" s="11"/>
      <c r="O266" s="11"/>
      <c r="P266" s="11"/>
      <c r="Q266" s="11"/>
      <c r="R266" s="11"/>
      <c r="CB266" s="11"/>
      <c r="CE266" s="11"/>
      <c r="CF266" s="11"/>
    </row>
    <row r="267" spans="4:84" x14ac:dyDescent="0.25">
      <c r="D267" s="11"/>
      <c r="E267" s="11"/>
      <c r="F267" s="11"/>
      <c r="G267" s="11"/>
      <c r="H267" s="11"/>
      <c r="I267" s="11"/>
      <c r="J267" s="11"/>
      <c r="N267" s="11"/>
      <c r="O267" s="11"/>
      <c r="P267" s="11"/>
      <c r="Q267" s="11"/>
      <c r="R267" s="11"/>
      <c r="CB267" s="11"/>
      <c r="CE267" s="11"/>
      <c r="CF267" s="11"/>
    </row>
    <row r="268" spans="4:84" x14ac:dyDescent="0.25">
      <c r="D268" s="11"/>
      <c r="E268" s="11"/>
      <c r="F268" s="11"/>
      <c r="G268" s="11"/>
      <c r="H268" s="11"/>
      <c r="I268" s="11"/>
      <c r="J268" s="11"/>
      <c r="N268" s="11"/>
      <c r="O268" s="11"/>
      <c r="P268" s="11"/>
      <c r="Q268" s="11"/>
      <c r="R268" s="11"/>
      <c r="CB268" s="11"/>
      <c r="CE268" s="11"/>
      <c r="CF268" s="11"/>
    </row>
    <row r="269" spans="4:84" x14ac:dyDescent="0.25">
      <c r="D269" s="11"/>
      <c r="E269" s="11"/>
      <c r="F269" s="11"/>
      <c r="G269" s="11"/>
      <c r="H269" s="11"/>
      <c r="I269" s="11"/>
      <c r="J269" s="11"/>
      <c r="N269" s="11"/>
      <c r="O269" s="11"/>
      <c r="P269" s="11"/>
      <c r="Q269" s="11"/>
      <c r="R269" s="11"/>
      <c r="CB269" s="11"/>
      <c r="CE269" s="11"/>
      <c r="CF269" s="11"/>
    </row>
    <row r="270" spans="4:84" x14ac:dyDescent="0.25">
      <c r="D270" s="11"/>
      <c r="E270" s="11"/>
      <c r="F270" s="11"/>
      <c r="G270" s="11"/>
      <c r="H270" s="11"/>
      <c r="I270" s="11"/>
      <c r="J270" s="11"/>
      <c r="N270" s="11"/>
      <c r="O270" s="11"/>
      <c r="P270" s="11"/>
      <c r="Q270" s="11"/>
      <c r="R270" s="11"/>
      <c r="CB270" s="11"/>
      <c r="CE270" s="11"/>
      <c r="CF270" s="11"/>
    </row>
    <row r="271" spans="4:84" x14ac:dyDescent="0.25">
      <c r="D271" s="11"/>
      <c r="E271" s="11"/>
      <c r="F271" s="11"/>
      <c r="G271" s="11"/>
      <c r="H271" s="11"/>
      <c r="I271" s="11"/>
      <c r="J271" s="11"/>
      <c r="N271" s="11"/>
      <c r="O271" s="11"/>
      <c r="P271" s="11"/>
      <c r="Q271" s="11"/>
      <c r="R271" s="11"/>
      <c r="CB271" s="11"/>
      <c r="CE271" s="11"/>
      <c r="CF271" s="11"/>
    </row>
    <row r="272" spans="4:84" x14ac:dyDescent="0.25">
      <c r="D272" s="11"/>
      <c r="E272" s="11"/>
      <c r="F272" s="11"/>
      <c r="G272" s="11"/>
      <c r="H272" s="11"/>
      <c r="I272" s="11"/>
      <c r="J272" s="11"/>
      <c r="N272" s="11"/>
      <c r="O272" s="11"/>
      <c r="P272" s="11"/>
      <c r="Q272" s="11"/>
      <c r="R272" s="11"/>
      <c r="CB272" s="11"/>
      <c r="CE272" s="11"/>
      <c r="CF272" s="11"/>
    </row>
    <row r="273" spans="4:84" x14ac:dyDescent="0.25">
      <c r="D273" s="11"/>
      <c r="E273" s="11"/>
      <c r="F273" s="11"/>
      <c r="G273" s="11"/>
      <c r="H273" s="11"/>
      <c r="I273" s="11"/>
      <c r="J273" s="11"/>
      <c r="N273" s="11"/>
      <c r="O273" s="11"/>
      <c r="P273" s="11"/>
      <c r="Q273" s="11"/>
      <c r="R273" s="11"/>
      <c r="CB273" s="11"/>
      <c r="CE273" s="11"/>
      <c r="CF273" s="11"/>
    </row>
    <row r="274" spans="4:84" x14ac:dyDescent="0.25">
      <c r="D274" s="11"/>
      <c r="E274" s="11"/>
      <c r="F274" s="11"/>
      <c r="G274" s="11"/>
      <c r="H274" s="11"/>
      <c r="I274" s="11"/>
      <c r="J274" s="11"/>
      <c r="N274" s="11"/>
      <c r="O274" s="11"/>
      <c r="P274" s="11"/>
      <c r="Q274" s="11"/>
      <c r="R274" s="11"/>
      <c r="CB274" s="11"/>
      <c r="CE274" s="11"/>
      <c r="CF274" s="11"/>
    </row>
    <row r="275" spans="4:84" x14ac:dyDescent="0.25">
      <c r="D275" s="11"/>
      <c r="E275" s="11"/>
      <c r="F275" s="11"/>
      <c r="G275" s="11"/>
      <c r="H275" s="11"/>
      <c r="I275" s="11"/>
      <c r="J275" s="11"/>
      <c r="N275" s="11"/>
      <c r="O275" s="11"/>
      <c r="P275" s="11"/>
      <c r="Q275" s="11"/>
      <c r="R275" s="11"/>
      <c r="CB275" s="11"/>
      <c r="CE275" s="11"/>
      <c r="CF275" s="11"/>
    </row>
    <row r="276" spans="4:84" x14ac:dyDescent="0.25">
      <c r="D276" s="11"/>
      <c r="E276" s="11"/>
      <c r="F276" s="11"/>
      <c r="G276" s="11"/>
      <c r="H276" s="11"/>
      <c r="I276" s="11"/>
      <c r="J276" s="11"/>
      <c r="N276" s="11"/>
      <c r="O276" s="11"/>
      <c r="P276" s="11"/>
      <c r="Q276" s="11"/>
      <c r="R276" s="11"/>
      <c r="CB276" s="11"/>
      <c r="CE276" s="11"/>
      <c r="CF276" s="11"/>
    </row>
    <row r="277" spans="4:84" x14ac:dyDescent="0.25">
      <c r="D277" s="11"/>
      <c r="E277" s="11"/>
      <c r="F277" s="11"/>
      <c r="G277" s="11"/>
      <c r="H277" s="11"/>
      <c r="I277" s="11"/>
      <c r="J277" s="11"/>
      <c r="N277" s="11"/>
      <c r="O277" s="11"/>
      <c r="P277" s="11"/>
      <c r="Q277" s="11"/>
      <c r="R277" s="11"/>
      <c r="CB277" s="11"/>
      <c r="CE277" s="11"/>
      <c r="CF277" s="11"/>
    </row>
    <row r="278" spans="4:84" x14ac:dyDescent="0.25">
      <c r="D278" s="11"/>
      <c r="E278" s="11"/>
      <c r="F278" s="11"/>
      <c r="G278" s="11"/>
      <c r="H278" s="11"/>
      <c r="I278" s="11"/>
      <c r="J278" s="11"/>
      <c r="N278" s="11"/>
      <c r="O278" s="11"/>
      <c r="P278" s="11"/>
      <c r="Q278" s="11"/>
      <c r="R278" s="11"/>
      <c r="CB278" s="11"/>
      <c r="CE278" s="11"/>
      <c r="CF278" s="11"/>
    </row>
    <row r="279" spans="4:84" x14ac:dyDescent="0.25">
      <c r="D279" s="11"/>
      <c r="E279" s="11"/>
      <c r="F279" s="11"/>
      <c r="G279" s="11"/>
      <c r="H279" s="11"/>
      <c r="I279" s="11"/>
      <c r="J279" s="11"/>
      <c r="N279" s="11"/>
      <c r="O279" s="11"/>
      <c r="P279" s="11"/>
      <c r="Q279" s="11"/>
      <c r="R279" s="11"/>
      <c r="CB279" s="11"/>
      <c r="CE279" s="11"/>
      <c r="CF279" s="11"/>
    </row>
    <row r="280" spans="4:84" x14ac:dyDescent="0.25">
      <c r="D280" s="11"/>
      <c r="E280" s="11"/>
      <c r="F280" s="11"/>
      <c r="G280" s="11"/>
      <c r="H280" s="11"/>
      <c r="I280" s="11"/>
      <c r="J280" s="11"/>
      <c r="N280" s="11"/>
      <c r="O280" s="11"/>
      <c r="P280" s="11"/>
      <c r="Q280" s="11"/>
      <c r="R280" s="11"/>
      <c r="CB280" s="11"/>
      <c r="CE280" s="11"/>
      <c r="CF280" s="11"/>
    </row>
    <row r="281" spans="4:84" x14ac:dyDescent="0.25">
      <c r="D281" s="11"/>
      <c r="E281" s="11"/>
      <c r="F281" s="11"/>
      <c r="G281" s="11"/>
      <c r="H281" s="11"/>
      <c r="I281" s="11"/>
      <c r="J281" s="11"/>
      <c r="N281" s="11"/>
      <c r="O281" s="11"/>
      <c r="P281" s="11"/>
      <c r="Q281" s="11"/>
      <c r="R281" s="11"/>
      <c r="CB281" s="11"/>
      <c r="CE281" s="11"/>
      <c r="CF281" s="11"/>
    </row>
    <row r="282" spans="4:84" x14ac:dyDescent="0.25">
      <c r="D282" s="11"/>
      <c r="E282" s="11"/>
      <c r="F282" s="11"/>
      <c r="G282" s="11"/>
      <c r="H282" s="11"/>
      <c r="I282" s="11"/>
      <c r="J282" s="11"/>
      <c r="N282" s="11"/>
      <c r="O282" s="11"/>
      <c r="P282" s="11"/>
      <c r="Q282" s="11"/>
      <c r="R282" s="11"/>
      <c r="CB282" s="11"/>
      <c r="CE282" s="11"/>
      <c r="CF282" s="11"/>
    </row>
    <row r="283" spans="4:84" x14ac:dyDescent="0.25">
      <c r="D283" s="11"/>
      <c r="E283" s="11"/>
      <c r="F283" s="11"/>
      <c r="G283" s="11"/>
      <c r="H283" s="11"/>
      <c r="I283" s="11"/>
      <c r="J283" s="11"/>
      <c r="N283" s="11"/>
      <c r="O283" s="11"/>
      <c r="P283" s="11"/>
      <c r="Q283" s="11"/>
      <c r="R283" s="11"/>
      <c r="CB283" s="11"/>
      <c r="CE283" s="11"/>
      <c r="CF283" s="11"/>
    </row>
    <row r="284" spans="4:84" x14ac:dyDescent="0.25">
      <c r="D284" s="11"/>
      <c r="E284" s="11"/>
      <c r="F284" s="11"/>
      <c r="G284" s="11"/>
      <c r="H284" s="11"/>
      <c r="I284" s="11"/>
      <c r="J284" s="11"/>
      <c r="N284" s="11"/>
      <c r="O284" s="11"/>
      <c r="P284" s="11"/>
      <c r="Q284" s="11"/>
      <c r="R284" s="11"/>
      <c r="CB284" s="11"/>
      <c r="CE284" s="11"/>
      <c r="CF284" s="11"/>
    </row>
    <row r="285" spans="4:84" x14ac:dyDescent="0.25">
      <c r="D285" s="11"/>
      <c r="E285" s="11"/>
      <c r="F285" s="11"/>
      <c r="G285" s="11"/>
      <c r="H285" s="11"/>
      <c r="I285" s="11"/>
      <c r="J285" s="11"/>
      <c r="N285" s="11"/>
      <c r="O285" s="11"/>
      <c r="P285" s="11"/>
      <c r="Q285" s="11"/>
      <c r="R285" s="11"/>
      <c r="CB285" s="11"/>
      <c r="CE285" s="11"/>
      <c r="CF285" s="11"/>
    </row>
    <row r="286" spans="4:84" x14ac:dyDescent="0.25">
      <c r="D286" s="11"/>
      <c r="E286" s="11"/>
      <c r="F286" s="11"/>
      <c r="G286" s="11"/>
      <c r="H286" s="11"/>
      <c r="I286" s="11"/>
      <c r="J286" s="11"/>
      <c r="N286" s="11"/>
      <c r="O286" s="11"/>
      <c r="P286" s="11"/>
      <c r="Q286" s="11"/>
      <c r="R286" s="11"/>
      <c r="CB286" s="11"/>
      <c r="CE286" s="11"/>
      <c r="CF286" s="11"/>
    </row>
    <row r="287" spans="4:84" x14ac:dyDescent="0.25">
      <c r="D287" s="11"/>
      <c r="E287" s="11"/>
      <c r="F287" s="11"/>
      <c r="G287" s="11"/>
      <c r="H287" s="11"/>
      <c r="I287" s="11"/>
      <c r="J287" s="11"/>
      <c r="N287" s="11"/>
      <c r="O287" s="11"/>
      <c r="P287" s="11"/>
      <c r="Q287" s="11"/>
      <c r="R287" s="11"/>
      <c r="CB287" s="11"/>
      <c r="CE287" s="11"/>
      <c r="CF287" s="11"/>
    </row>
    <row r="288" spans="4:84" x14ac:dyDescent="0.25">
      <c r="D288" s="11"/>
      <c r="E288" s="11"/>
      <c r="F288" s="11"/>
      <c r="G288" s="11"/>
      <c r="H288" s="11"/>
      <c r="I288" s="11"/>
      <c r="J288" s="11"/>
      <c r="N288" s="11"/>
      <c r="O288" s="11"/>
      <c r="P288" s="11"/>
      <c r="Q288" s="11"/>
      <c r="R288" s="11"/>
      <c r="CB288" s="11"/>
      <c r="CE288" s="11"/>
      <c r="CF288" s="11"/>
    </row>
    <row r="289" spans="4:84" x14ac:dyDescent="0.25">
      <c r="D289" s="11"/>
      <c r="E289" s="11"/>
      <c r="F289" s="11"/>
      <c r="G289" s="11"/>
      <c r="H289" s="11"/>
      <c r="I289" s="11"/>
      <c r="J289" s="11"/>
      <c r="N289" s="11"/>
      <c r="O289" s="11"/>
      <c r="P289" s="11"/>
      <c r="Q289" s="11"/>
      <c r="R289" s="11"/>
      <c r="CB289" s="11"/>
      <c r="CE289" s="11"/>
      <c r="CF289" s="11"/>
    </row>
    <row r="290" spans="4:84" x14ac:dyDescent="0.25">
      <c r="D290" s="11"/>
      <c r="E290" s="11"/>
      <c r="F290" s="11"/>
      <c r="G290" s="11"/>
      <c r="H290" s="11"/>
      <c r="I290" s="11"/>
      <c r="J290" s="11"/>
      <c r="N290" s="11"/>
      <c r="O290" s="11"/>
      <c r="P290" s="11"/>
      <c r="Q290" s="11"/>
      <c r="R290" s="11"/>
      <c r="CB290" s="11"/>
      <c r="CE290" s="11"/>
      <c r="CF290" s="11"/>
    </row>
    <row r="291" spans="4:84" x14ac:dyDescent="0.25">
      <c r="D291" s="11"/>
      <c r="E291" s="11"/>
      <c r="F291" s="11"/>
      <c r="G291" s="11"/>
      <c r="H291" s="11"/>
      <c r="I291" s="11"/>
      <c r="J291" s="11"/>
      <c r="N291" s="11"/>
      <c r="O291" s="11"/>
      <c r="P291" s="11"/>
      <c r="Q291" s="11"/>
      <c r="R291" s="11"/>
      <c r="CB291" s="11"/>
      <c r="CE291" s="11"/>
      <c r="CF291" s="11"/>
    </row>
    <row r="292" spans="4:84" x14ac:dyDescent="0.25">
      <c r="D292" s="11"/>
      <c r="E292" s="11"/>
      <c r="F292" s="11"/>
      <c r="G292" s="11"/>
      <c r="H292" s="11"/>
      <c r="I292" s="11"/>
      <c r="J292" s="11"/>
      <c r="N292" s="11"/>
      <c r="O292" s="11"/>
      <c r="P292" s="11"/>
      <c r="Q292" s="11"/>
      <c r="R292" s="11"/>
      <c r="CB292" s="11"/>
      <c r="CE292" s="11"/>
      <c r="CF292" s="11"/>
    </row>
    <row r="293" spans="4:84" x14ac:dyDescent="0.25">
      <c r="D293" s="11"/>
      <c r="E293" s="11"/>
      <c r="F293" s="11"/>
      <c r="G293" s="11"/>
      <c r="H293" s="11"/>
      <c r="I293" s="11"/>
      <c r="J293" s="11"/>
      <c r="N293" s="11"/>
      <c r="O293" s="11"/>
      <c r="P293" s="11"/>
      <c r="Q293" s="11"/>
      <c r="R293" s="11"/>
      <c r="CB293" s="11"/>
      <c r="CE293" s="11"/>
      <c r="CF293" s="11"/>
    </row>
    <row r="294" spans="4:84" x14ac:dyDescent="0.25">
      <c r="D294" s="11"/>
      <c r="E294" s="11"/>
      <c r="F294" s="11"/>
      <c r="G294" s="11"/>
      <c r="H294" s="11"/>
      <c r="I294" s="11"/>
      <c r="J294" s="11"/>
      <c r="N294" s="11"/>
      <c r="O294" s="11"/>
      <c r="P294" s="11"/>
      <c r="Q294" s="11"/>
      <c r="R294" s="11"/>
      <c r="CB294" s="11"/>
      <c r="CE294" s="11"/>
      <c r="CF294" s="11"/>
    </row>
    <row r="295" spans="4:84" x14ac:dyDescent="0.25">
      <c r="D295" s="11"/>
      <c r="E295" s="11"/>
      <c r="F295" s="11"/>
      <c r="G295" s="11"/>
      <c r="H295" s="11"/>
      <c r="I295" s="11"/>
      <c r="J295" s="11"/>
      <c r="N295" s="11"/>
      <c r="O295" s="11"/>
      <c r="P295" s="11"/>
      <c r="Q295" s="11"/>
      <c r="R295" s="11"/>
      <c r="CB295" s="11"/>
      <c r="CE295" s="11"/>
      <c r="CF295" s="11"/>
    </row>
    <row r="296" spans="4:84" x14ac:dyDescent="0.25">
      <c r="D296" s="11"/>
      <c r="E296" s="11"/>
      <c r="F296" s="11"/>
      <c r="G296" s="11"/>
      <c r="H296" s="11"/>
      <c r="I296" s="11"/>
      <c r="J296" s="11"/>
      <c r="N296" s="11"/>
      <c r="O296" s="11"/>
      <c r="P296" s="11"/>
      <c r="Q296" s="11"/>
      <c r="R296" s="11"/>
      <c r="CB296" s="11"/>
      <c r="CE296" s="11"/>
      <c r="CF296" s="11"/>
    </row>
    <row r="297" spans="4:84" x14ac:dyDescent="0.25">
      <c r="D297" s="11"/>
      <c r="E297" s="11"/>
      <c r="F297" s="11"/>
      <c r="G297" s="11"/>
      <c r="H297" s="11"/>
      <c r="I297" s="11"/>
      <c r="J297" s="11"/>
      <c r="N297" s="11"/>
      <c r="O297" s="11"/>
      <c r="P297" s="11"/>
      <c r="Q297" s="11"/>
      <c r="R297" s="11"/>
      <c r="CB297" s="11"/>
      <c r="CE297" s="11"/>
      <c r="CF297" s="11"/>
    </row>
    <row r="298" spans="4:84" x14ac:dyDescent="0.25">
      <c r="D298" s="11"/>
      <c r="E298" s="11"/>
      <c r="F298" s="11"/>
      <c r="G298" s="11"/>
      <c r="H298" s="11"/>
      <c r="I298" s="11"/>
      <c r="J298" s="11"/>
      <c r="N298" s="11"/>
      <c r="O298" s="11"/>
      <c r="P298" s="11"/>
      <c r="Q298" s="11"/>
      <c r="R298" s="11"/>
      <c r="CB298" s="11"/>
      <c r="CE298" s="11"/>
      <c r="CF298" s="11"/>
    </row>
    <row r="299" spans="4:84" x14ac:dyDescent="0.25">
      <c r="D299" s="11"/>
      <c r="E299" s="11"/>
      <c r="F299" s="11"/>
      <c r="G299" s="11"/>
      <c r="H299" s="11"/>
      <c r="I299" s="11"/>
      <c r="J299" s="11"/>
      <c r="N299" s="11"/>
      <c r="O299" s="11"/>
      <c r="P299" s="11"/>
      <c r="Q299" s="11"/>
      <c r="R299" s="11"/>
      <c r="CB299" s="11"/>
      <c r="CE299" s="11"/>
      <c r="CF299" s="11"/>
    </row>
    <row r="300" spans="4:84" x14ac:dyDescent="0.25">
      <c r="D300" s="11"/>
      <c r="E300" s="11"/>
      <c r="F300" s="11"/>
      <c r="G300" s="11"/>
      <c r="H300" s="11"/>
      <c r="I300" s="11"/>
      <c r="J300" s="11"/>
      <c r="N300" s="11"/>
      <c r="O300" s="11"/>
      <c r="P300" s="11"/>
      <c r="Q300" s="11"/>
      <c r="R300" s="11"/>
      <c r="CB300" s="11"/>
      <c r="CE300" s="11"/>
      <c r="CF300" s="11"/>
    </row>
    <row r="301" spans="4:84" x14ac:dyDescent="0.25">
      <c r="D301" s="11"/>
      <c r="E301" s="11"/>
      <c r="F301" s="11"/>
      <c r="G301" s="11"/>
      <c r="H301" s="11"/>
      <c r="I301" s="11"/>
      <c r="J301" s="11"/>
      <c r="N301" s="11"/>
      <c r="O301" s="11"/>
      <c r="P301" s="11"/>
      <c r="Q301" s="11"/>
      <c r="R301" s="11"/>
      <c r="CB301" s="11"/>
      <c r="CE301" s="11"/>
      <c r="CF301" s="11"/>
    </row>
    <row r="302" spans="4:84" x14ac:dyDescent="0.25">
      <c r="D302" s="11"/>
      <c r="E302" s="11"/>
      <c r="F302" s="11"/>
      <c r="G302" s="11"/>
      <c r="H302" s="11"/>
      <c r="I302" s="11"/>
      <c r="J302" s="11"/>
      <c r="N302" s="11"/>
      <c r="O302" s="11"/>
      <c r="P302" s="11"/>
      <c r="Q302" s="11"/>
      <c r="R302" s="11"/>
      <c r="CB302" s="11"/>
      <c r="CE302" s="11"/>
      <c r="CF302" s="11"/>
    </row>
    <row r="303" spans="4:84" x14ac:dyDescent="0.25">
      <c r="D303" s="11"/>
      <c r="E303" s="11"/>
      <c r="F303" s="11"/>
      <c r="G303" s="11"/>
      <c r="H303" s="11"/>
      <c r="I303" s="11"/>
      <c r="J303" s="11"/>
      <c r="N303" s="11"/>
      <c r="O303" s="11"/>
      <c r="P303" s="11"/>
      <c r="Q303" s="11"/>
      <c r="R303" s="11"/>
      <c r="CB303" s="11"/>
      <c r="CE303" s="11"/>
      <c r="CF303" s="11"/>
    </row>
    <row r="304" spans="4:84" x14ac:dyDescent="0.25">
      <c r="D304" s="11"/>
      <c r="E304" s="11"/>
      <c r="F304" s="11"/>
      <c r="G304" s="11"/>
      <c r="H304" s="11"/>
      <c r="I304" s="11"/>
      <c r="J304" s="11"/>
      <c r="N304" s="11"/>
      <c r="O304" s="11"/>
      <c r="P304" s="11"/>
      <c r="Q304" s="11"/>
      <c r="R304" s="11"/>
      <c r="CB304" s="11"/>
      <c r="CE304" s="11"/>
      <c r="CF304" s="11"/>
    </row>
    <row r="305" spans="4:84" x14ac:dyDescent="0.25">
      <c r="D305" s="11"/>
      <c r="E305" s="11"/>
      <c r="F305" s="11"/>
      <c r="G305" s="11"/>
      <c r="H305" s="11"/>
      <c r="I305" s="11"/>
      <c r="J305" s="11"/>
      <c r="N305" s="11"/>
      <c r="O305" s="11"/>
      <c r="P305" s="11"/>
      <c r="Q305" s="11"/>
      <c r="R305" s="11"/>
      <c r="CB305" s="11"/>
      <c r="CE305" s="11"/>
      <c r="CF305" s="11"/>
    </row>
    <row r="306" spans="4:84" x14ac:dyDescent="0.25">
      <c r="D306" s="11"/>
      <c r="E306" s="11"/>
      <c r="F306" s="11"/>
      <c r="G306" s="11"/>
      <c r="H306" s="11"/>
      <c r="I306" s="11"/>
      <c r="J306" s="11"/>
      <c r="N306" s="11"/>
      <c r="O306" s="11"/>
      <c r="P306" s="11"/>
      <c r="Q306" s="11"/>
      <c r="R306" s="11"/>
      <c r="CB306" s="11"/>
      <c r="CE306" s="11"/>
      <c r="CF306" s="11"/>
    </row>
    <row r="307" spans="4:84" x14ac:dyDescent="0.25">
      <c r="D307" s="11"/>
      <c r="E307" s="11"/>
      <c r="F307" s="11"/>
      <c r="G307" s="11"/>
      <c r="H307" s="11"/>
      <c r="I307" s="11"/>
      <c r="J307" s="11"/>
      <c r="N307" s="11"/>
      <c r="O307" s="11"/>
      <c r="P307" s="11"/>
      <c r="Q307" s="11"/>
      <c r="R307" s="11"/>
      <c r="CB307" s="11"/>
      <c r="CE307" s="11"/>
      <c r="CF307" s="11"/>
    </row>
    <row r="308" spans="4:84" x14ac:dyDescent="0.25">
      <c r="D308" s="11"/>
      <c r="E308" s="11"/>
      <c r="F308" s="11"/>
      <c r="G308" s="11"/>
      <c r="H308" s="11"/>
      <c r="I308" s="11"/>
      <c r="J308" s="11"/>
      <c r="N308" s="11"/>
      <c r="O308" s="11"/>
      <c r="P308" s="11"/>
      <c r="Q308" s="11"/>
      <c r="R308" s="11"/>
      <c r="CB308" s="11"/>
      <c r="CE308" s="11"/>
      <c r="CF308" s="11"/>
    </row>
    <row r="309" spans="4:84" x14ac:dyDescent="0.25">
      <c r="D309" s="11"/>
      <c r="E309" s="11"/>
      <c r="F309" s="11"/>
      <c r="G309" s="11"/>
      <c r="H309" s="11"/>
      <c r="I309" s="11"/>
      <c r="J309" s="11"/>
      <c r="N309" s="11"/>
      <c r="O309" s="11"/>
      <c r="P309" s="11"/>
      <c r="Q309" s="11"/>
      <c r="R309" s="11"/>
      <c r="CB309" s="11"/>
      <c r="CE309" s="11"/>
      <c r="CF309" s="11"/>
    </row>
    <row r="310" spans="4:84" x14ac:dyDescent="0.25">
      <c r="D310" s="11"/>
      <c r="E310" s="11"/>
      <c r="F310" s="11"/>
      <c r="G310" s="11"/>
      <c r="H310" s="11"/>
      <c r="I310" s="11"/>
      <c r="J310" s="11"/>
      <c r="N310" s="11"/>
      <c r="O310" s="11"/>
      <c r="P310" s="11"/>
      <c r="Q310" s="11"/>
      <c r="R310" s="11"/>
      <c r="CB310" s="11"/>
      <c r="CE310" s="11"/>
      <c r="CF310" s="11"/>
    </row>
    <row r="311" spans="4:84" x14ac:dyDescent="0.25">
      <c r="D311" s="11"/>
      <c r="E311" s="11"/>
      <c r="F311" s="11"/>
      <c r="G311" s="11"/>
      <c r="H311" s="11"/>
      <c r="I311" s="11"/>
      <c r="J311" s="11"/>
      <c r="N311" s="11"/>
      <c r="O311" s="11"/>
      <c r="P311" s="11"/>
      <c r="Q311" s="11"/>
      <c r="R311" s="11"/>
      <c r="CB311" s="11"/>
      <c r="CE311" s="11"/>
      <c r="CF311" s="11"/>
    </row>
    <row r="312" spans="4:84" x14ac:dyDescent="0.25">
      <c r="D312" s="11"/>
      <c r="E312" s="11"/>
      <c r="F312" s="11"/>
      <c r="G312" s="11"/>
      <c r="H312" s="11"/>
      <c r="I312" s="11"/>
      <c r="J312" s="11"/>
      <c r="N312" s="11"/>
      <c r="O312" s="11"/>
      <c r="P312" s="11"/>
      <c r="Q312" s="11"/>
      <c r="R312" s="11"/>
      <c r="CB312" s="11"/>
      <c r="CE312" s="11"/>
      <c r="CF312" s="11"/>
    </row>
    <row r="313" spans="4:84" x14ac:dyDescent="0.25">
      <c r="D313" s="11"/>
      <c r="E313" s="11"/>
      <c r="F313" s="11"/>
      <c r="G313" s="11"/>
      <c r="H313" s="11"/>
      <c r="I313" s="11"/>
      <c r="J313" s="11"/>
      <c r="N313" s="11"/>
      <c r="O313" s="11"/>
      <c r="P313" s="11"/>
      <c r="Q313" s="11"/>
      <c r="R313" s="11"/>
      <c r="CB313" s="11"/>
      <c r="CE313" s="11"/>
      <c r="CF313" s="11"/>
    </row>
    <row r="314" spans="4:84" x14ac:dyDescent="0.25">
      <c r="D314" s="11"/>
      <c r="E314" s="11"/>
      <c r="F314" s="11"/>
      <c r="G314" s="11"/>
      <c r="H314" s="11"/>
      <c r="I314" s="11"/>
      <c r="J314" s="11"/>
      <c r="N314" s="11"/>
      <c r="O314" s="11"/>
      <c r="P314" s="11"/>
      <c r="Q314" s="11"/>
      <c r="R314" s="11"/>
      <c r="CB314" s="11"/>
      <c r="CE314" s="11"/>
      <c r="CF314" s="11"/>
    </row>
    <row r="315" spans="4:84" x14ac:dyDescent="0.25">
      <c r="D315" s="11"/>
      <c r="E315" s="11"/>
      <c r="F315" s="11"/>
      <c r="G315" s="11"/>
      <c r="H315" s="11"/>
      <c r="I315" s="11"/>
      <c r="J315" s="11"/>
      <c r="N315" s="11"/>
      <c r="O315" s="11"/>
      <c r="P315" s="11"/>
      <c r="Q315" s="11"/>
      <c r="R315" s="11"/>
      <c r="CB315" s="11"/>
      <c r="CE315" s="11"/>
      <c r="CF315" s="11"/>
    </row>
    <row r="316" spans="4:84" x14ac:dyDescent="0.25">
      <c r="D316" s="11"/>
      <c r="E316" s="11"/>
      <c r="F316" s="11"/>
      <c r="G316" s="11"/>
      <c r="H316" s="11"/>
      <c r="I316" s="11"/>
      <c r="J316" s="11"/>
      <c r="N316" s="11"/>
      <c r="O316" s="11"/>
      <c r="P316" s="11"/>
      <c r="Q316" s="11"/>
      <c r="R316" s="11"/>
      <c r="CB316" s="11"/>
      <c r="CE316" s="11"/>
      <c r="CF316" s="11"/>
    </row>
    <row r="317" spans="4:84" x14ac:dyDescent="0.25">
      <c r="D317" s="11"/>
      <c r="E317" s="11"/>
      <c r="F317" s="11"/>
      <c r="G317" s="11"/>
      <c r="H317" s="11"/>
      <c r="I317" s="11"/>
      <c r="J317" s="11"/>
      <c r="N317" s="11"/>
      <c r="O317" s="11"/>
      <c r="P317" s="11"/>
      <c r="Q317" s="11"/>
      <c r="R317" s="11"/>
      <c r="CB317" s="11"/>
      <c r="CE317" s="11"/>
      <c r="CF317" s="11"/>
    </row>
    <row r="318" spans="4:84" x14ac:dyDescent="0.25">
      <c r="D318" s="11"/>
      <c r="E318" s="11"/>
      <c r="F318" s="11"/>
      <c r="G318" s="11"/>
      <c r="H318" s="11"/>
      <c r="I318" s="11"/>
      <c r="J318" s="11"/>
      <c r="N318" s="11"/>
      <c r="O318" s="11"/>
      <c r="P318" s="11"/>
      <c r="Q318" s="11"/>
      <c r="R318" s="11"/>
      <c r="CB318" s="11"/>
      <c r="CE318" s="11"/>
      <c r="CF318" s="11"/>
    </row>
    <row r="319" spans="4:84" x14ac:dyDescent="0.25">
      <c r="D319" s="11"/>
      <c r="E319" s="11"/>
      <c r="F319" s="11"/>
      <c r="G319" s="11"/>
      <c r="H319" s="11"/>
      <c r="I319" s="11"/>
      <c r="J319" s="11"/>
      <c r="N319" s="11"/>
      <c r="O319" s="11"/>
      <c r="P319" s="11"/>
      <c r="Q319" s="11"/>
      <c r="R319" s="11"/>
      <c r="CB319" s="11"/>
      <c r="CE319" s="11"/>
      <c r="CF319" s="11"/>
    </row>
    <row r="320" spans="4:84" x14ac:dyDescent="0.25">
      <c r="D320" s="11"/>
      <c r="E320" s="11"/>
      <c r="F320" s="11"/>
      <c r="G320" s="11"/>
      <c r="H320" s="11"/>
      <c r="I320" s="11"/>
      <c r="J320" s="11"/>
      <c r="N320" s="11"/>
      <c r="O320" s="11"/>
      <c r="P320" s="11"/>
      <c r="Q320" s="11"/>
      <c r="R320" s="11"/>
      <c r="CB320" s="11"/>
      <c r="CE320" s="11"/>
      <c r="CF320" s="11"/>
    </row>
    <row r="321" spans="4:84" x14ac:dyDescent="0.25">
      <c r="D321" s="11"/>
      <c r="E321" s="11"/>
      <c r="F321" s="11"/>
      <c r="G321" s="11"/>
      <c r="H321" s="11"/>
      <c r="I321" s="11"/>
      <c r="J321" s="11"/>
      <c r="N321" s="11"/>
      <c r="O321" s="11"/>
      <c r="P321" s="11"/>
      <c r="Q321" s="11"/>
      <c r="R321" s="11"/>
      <c r="CB321" s="11"/>
      <c r="CE321" s="11"/>
      <c r="CF321" s="11"/>
    </row>
    <row r="322" spans="4:84" x14ac:dyDescent="0.25">
      <c r="D322" s="11"/>
      <c r="E322" s="11"/>
      <c r="F322" s="11"/>
      <c r="G322" s="11"/>
      <c r="H322" s="11"/>
      <c r="I322" s="11"/>
      <c r="J322" s="11"/>
      <c r="N322" s="11"/>
      <c r="O322" s="11"/>
      <c r="P322" s="11"/>
      <c r="Q322" s="11"/>
      <c r="R322" s="11"/>
      <c r="CB322" s="11"/>
      <c r="CE322" s="11"/>
      <c r="CF322" s="11"/>
    </row>
    <row r="323" spans="4:84" x14ac:dyDescent="0.25">
      <c r="D323" s="11"/>
      <c r="E323" s="11"/>
      <c r="F323" s="11"/>
      <c r="G323" s="11"/>
      <c r="H323" s="11"/>
      <c r="I323" s="11"/>
      <c r="J323" s="11"/>
      <c r="N323" s="11"/>
      <c r="O323" s="11"/>
      <c r="P323" s="11"/>
      <c r="Q323" s="11"/>
      <c r="R323" s="11"/>
      <c r="CB323" s="11"/>
      <c r="CE323" s="11"/>
      <c r="CF323" s="11"/>
    </row>
    <row r="324" spans="4:84" x14ac:dyDescent="0.25">
      <c r="D324" s="11"/>
      <c r="E324" s="11"/>
      <c r="F324" s="11"/>
      <c r="G324" s="11"/>
      <c r="H324" s="11"/>
      <c r="I324" s="11"/>
      <c r="J324" s="11"/>
      <c r="N324" s="11"/>
      <c r="O324" s="11"/>
      <c r="P324" s="11"/>
      <c r="Q324" s="11"/>
      <c r="R324" s="11"/>
      <c r="CB324" s="11"/>
      <c r="CE324" s="11"/>
      <c r="CF324" s="11"/>
    </row>
    <row r="325" spans="4:84" x14ac:dyDescent="0.25">
      <c r="D325" s="11"/>
      <c r="E325" s="11"/>
      <c r="F325" s="11"/>
      <c r="G325" s="11"/>
      <c r="H325" s="11"/>
      <c r="I325" s="11"/>
      <c r="J325" s="11"/>
      <c r="N325" s="11"/>
      <c r="O325" s="11"/>
      <c r="P325" s="11"/>
      <c r="Q325" s="11"/>
      <c r="R325" s="11"/>
      <c r="CB325" s="11"/>
      <c r="CE325" s="11"/>
      <c r="CF325" s="11"/>
    </row>
    <row r="326" spans="4:84" x14ac:dyDescent="0.25">
      <c r="D326" s="11"/>
      <c r="E326" s="11"/>
      <c r="F326" s="11"/>
      <c r="G326" s="11"/>
      <c r="H326" s="11"/>
      <c r="I326" s="11"/>
      <c r="J326" s="11"/>
      <c r="N326" s="11"/>
      <c r="O326" s="11"/>
      <c r="P326" s="11"/>
      <c r="Q326" s="11"/>
      <c r="R326" s="11"/>
      <c r="CB326" s="11"/>
      <c r="CE326" s="11"/>
      <c r="CF326" s="11"/>
    </row>
    <row r="327" spans="4:84" x14ac:dyDescent="0.25">
      <c r="D327" s="11"/>
      <c r="E327" s="11"/>
      <c r="F327" s="11"/>
      <c r="G327" s="11"/>
      <c r="H327" s="11"/>
      <c r="I327" s="11"/>
      <c r="J327" s="11"/>
      <c r="N327" s="11"/>
      <c r="O327" s="11"/>
      <c r="P327" s="11"/>
      <c r="Q327" s="11"/>
      <c r="R327" s="11"/>
      <c r="CB327" s="11"/>
      <c r="CE327" s="11"/>
      <c r="CF327" s="11"/>
    </row>
    <row r="328" spans="4:84" x14ac:dyDescent="0.25">
      <c r="D328" s="11"/>
      <c r="E328" s="11"/>
      <c r="F328" s="11"/>
      <c r="G328" s="11"/>
      <c r="H328" s="11"/>
      <c r="I328" s="11"/>
      <c r="J328" s="11"/>
      <c r="N328" s="11"/>
      <c r="O328" s="11"/>
      <c r="P328" s="11"/>
      <c r="Q328" s="11"/>
      <c r="R328" s="11"/>
      <c r="CB328" s="11"/>
      <c r="CE328" s="11"/>
      <c r="CF328" s="11"/>
    </row>
    <row r="329" spans="4:84" x14ac:dyDescent="0.25">
      <c r="D329" s="11"/>
      <c r="E329" s="11"/>
      <c r="F329" s="11"/>
      <c r="G329" s="11"/>
      <c r="H329" s="11"/>
      <c r="I329" s="11"/>
      <c r="J329" s="11"/>
      <c r="N329" s="11"/>
      <c r="O329" s="11"/>
      <c r="P329" s="11"/>
      <c r="Q329" s="11"/>
      <c r="R329" s="11"/>
      <c r="CB329" s="11"/>
      <c r="CE329" s="11"/>
      <c r="CF329" s="11"/>
    </row>
    <row r="330" spans="4:84" x14ac:dyDescent="0.25">
      <c r="D330" s="11"/>
      <c r="E330" s="11"/>
      <c r="F330" s="11"/>
      <c r="G330" s="11"/>
      <c r="H330" s="11"/>
      <c r="I330" s="11"/>
      <c r="J330" s="11"/>
      <c r="N330" s="11"/>
      <c r="O330" s="11"/>
      <c r="P330" s="11"/>
      <c r="Q330" s="11"/>
      <c r="R330" s="11"/>
      <c r="CB330" s="11"/>
      <c r="CE330" s="11"/>
      <c r="CF330" s="11"/>
    </row>
    <row r="331" spans="4:84" x14ac:dyDescent="0.25">
      <c r="D331" s="11"/>
      <c r="E331" s="11"/>
      <c r="F331" s="11"/>
      <c r="G331" s="11"/>
      <c r="H331" s="11"/>
      <c r="I331" s="11"/>
      <c r="J331" s="11"/>
      <c r="N331" s="11"/>
      <c r="O331" s="11"/>
      <c r="P331" s="11"/>
      <c r="Q331" s="11"/>
      <c r="R331" s="11"/>
      <c r="CB331" s="11"/>
      <c r="CE331" s="11"/>
      <c r="CF331" s="11"/>
    </row>
    <row r="332" spans="4:84" x14ac:dyDescent="0.25">
      <c r="D332" s="11"/>
      <c r="E332" s="11"/>
      <c r="F332" s="11"/>
      <c r="G332" s="11"/>
      <c r="H332" s="11"/>
      <c r="I332" s="11"/>
      <c r="J332" s="11"/>
      <c r="N332" s="11"/>
      <c r="O332" s="11"/>
      <c r="P332" s="11"/>
      <c r="Q332" s="11"/>
      <c r="R332" s="11"/>
      <c r="CB332" s="11"/>
      <c r="CE332" s="11"/>
      <c r="CF332" s="11"/>
    </row>
    <row r="333" spans="4:84" x14ac:dyDescent="0.25">
      <c r="D333" s="11"/>
      <c r="E333" s="11"/>
      <c r="F333" s="11"/>
      <c r="G333" s="11"/>
      <c r="H333" s="11"/>
      <c r="I333" s="11"/>
      <c r="J333" s="11"/>
      <c r="N333" s="11"/>
      <c r="O333" s="11"/>
      <c r="P333" s="11"/>
      <c r="Q333" s="11"/>
      <c r="R333" s="11"/>
      <c r="CB333" s="11"/>
      <c r="CE333" s="11"/>
      <c r="CF333" s="11"/>
    </row>
    <row r="334" spans="4:84" x14ac:dyDescent="0.25">
      <c r="D334" s="11"/>
      <c r="E334" s="11"/>
      <c r="F334" s="11"/>
      <c r="G334" s="11"/>
      <c r="H334" s="11"/>
      <c r="I334" s="11"/>
      <c r="J334" s="11"/>
      <c r="N334" s="11"/>
      <c r="O334" s="11"/>
      <c r="P334" s="11"/>
      <c r="Q334" s="11"/>
      <c r="R334" s="11"/>
      <c r="CB334" s="11"/>
      <c r="CE334" s="11"/>
      <c r="CF334" s="11"/>
    </row>
    <row r="335" spans="4:84" x14ac:dyDescent="0.25">
      <c r="D335" s="11"/>
      <c r="E335" s="11"/>
      <c r="F335" s="11"/>
      <c r="G335" s="11"/>
      <c r="H335" s="11"/>
      <c r="I335" s="11"/>
      <c r="J335" s="11"/>
      <c r="N335" s="11"/>
      <c r="O335" s="11"/>
      <c r="P335" s="11"/>
      <c r="Q335" s="11"/>
      <c r="R335" s="11"/>
      <c r="CB335" s="11"/>
      <c r="CE335" s="11"/>
      <c r="CF335" s="11"/>
    </row>
    <row r="336" spans="4:84" x14ac:dyDescent="0.25">
      <c r="D336" s="11"/>
      <c r="E336" s="11"/>
      <c r="F336" s="11"/>
      <c r="G336" s="11"/>
      <c r="H336" s="11"/>
      <c r="I336" s="11"/>
      <c r="J336" s="11"/>
      <c r="N336" s="11"/>
      <c r="O336" s="11"/>
      <c r="P336" s="11"/>
      <c r="Q336" s="11"/>
      <c r="R336" s="11"/>
      <c r="CB336" s="11"/>
      <c r="CE336" s="11"/>
      <c r="CF336" s="11"/>
    </row>
    <row r="337" spans="4:84" x14ac:dyDescent="0.25">
      <c r="D337" s="11"/>
      <c r="E337" s="11"/>
      <c r="F337" s="11"/>
      <c r="G337" s="11"/>
      <c r="H337" s="11"/>
      <c r="I337" s="11"/>
      <c r="J337" s="11"/>
      <c r="N337" s="11"/>
      <c r="O337" s="11"/>
      <c r="P337" s="11"/>
      <c r="Q337" s="11"/>
      <c r="R337" s="11"/>
      <c r="CB337" s="11"/>
      <c r="CE337" s="11"/>
      <c r="CF337" s="11"/>
    </row>
    <row r="338" spans="4:84" x14ac:dyDescent="0.25">
      <c r="D338" s="11"/>
      <c r="E338" s="11"/>
      <c r="F338" s="11"/>
      <c r="G338" s="11"/>
      <c r="H338" s="11"/>
      <c r="I338" s="11"/>
      <c r="J338" s="11"/>
      <c r="N338" s="11"/>
      <c r="O338" s="11"/>
      <c r="P338" s="11"/>
      <c r="Q338" s="11"/>
      <c r="R338" s="11"/>
      <c r="CB338" s="11"/>
      <c r="CE338" s="11"/>
      <c r="CF338" s="11"/>
    </row>
    <row r="339" spans="4:84" x14ac:dyDescent="0.25">
      <c r="D339" s="11"/>
      <c r="E339" s="11"/>
      <c r="F339" s="11"/>
      <c r="G339" s="11"/>
      <c r="H339" s="11"/>
      <c r="I339" s="11"/>
      <c r="J339" s="11"/>
      <c r="N339" s="11"/>
      <c r="O339" s="11"/>
      <c r="P339" s="11"/>
      <c r="Q339" s="11"/>
      <c r="R339" s="11"/>
      <c r="CB339" s="11"/>
      <c r="CE339" s="11"/>
      <c r="CF339" s="11"/>
    </row>
    <row r="340" spans="4:84" x14ac:dyDescent="0.25">
      <c r="D340" s="11"/>
      <c r="E340" s="11"/>
      <c r="F340" s="11"/>
      <c r="G340" s="11"/>
      <c r="H340" s="11"/>
      <c r="I340" s="11"/>
      <c r="J340" s="11"/>
      <c r="N340" s="11"/>
      <c r="O340" s="11"/>
      <c r="P340" s="11"/>
      <c r="Q340" s="11"/>
      <c r="R340" s="11"/>
      <c r="CB340" s="11"/>
      <c r="CE340" s="11"/>
      <c r="CF340" s="11"/>
    </row>
    <row r="341" spans="4:84" x14ac:dyDescent="0.25">
      <c r="D341" s="11"/>
      <c r="E341" s="11"/>
      <c r="F341" s="11"/>
      <c r="G341" s="11"/>
      <c r="H341" s="11"/>
      <c r="I341" s="11"/>
      <c r="J341" s="11"/>
      <c r="N341" s="11"/>
      <c r="O341" s="11"/>
      <c r="P341" s="11"/>
      <c r="Q341" s="11"/>
      <c r="R341" s="11"/>
      <c r="CB341" s="11"/>
      <c r="CE341" s="11"/>
      <c r="CF341" s="11"/>
    </row>
    <row r="342" spans="4:84" x14ac:dyDescent="0.25">
      <c r="D342" s="11"/>
      <c r="E342" s="11"/>
      <c r="F342" s="11"/>
      <c r="G342" s="11"/>
      <c r="H342" s="11"/>
      <c r="I342" s="11"/>
      <c r="J342" s="11"/>
      <c r="N342" s="11"/>
      <c r="O342" s="11"/>
      <c r="P342" s="11"/>
      <c r="Q342" s="11"/>
      <c r="R342" s="11"/>
      <c r="CB342" s="11"/>
      <c r="CE342" s="11"/>
      <c r="CF342" s="11"/>
    </row>
    <row r="343" spans="4:84" x14ac:dyDescent="0.25">
      <c r="D343" s="11"/>
      <c r="E343" s="11"/>
      <c r="F343" s="11"/>
      <c r="G343" s="11"/>
      <c r="H343" s="11"/>
      <c r="I343" s="11"/>
      <c r="J343" s="11"/>
      <c r="N343" s="11"/>
      <c r="O343" s="11"/>
      <c r="P343" s="11"/>
      <c r="Q343" s="11"/>
      <c r="R343" s="11"/>
      <c r="CB343" s="11"/>
      <c r="CE343" s="11"/>
      <c r="CF343" s="11"/>
    </row>
    <row r="344" spans="4:84" x14ac:dyDescent="0.25">
      <c r="D344" s="11"/>
      <c r="E344" s="11"/>
      <c r="F344" s="11"/>
      <c r="G344" s="11"/>
      <c r="H344" s="11"/>
      <c r="I344" s="11"/>
      <c r="J344" s="11"/>
      <c r="N344" s="11"/>
      <c r="O344" s="11"/>
      <c r="P344" s="11"/>
      <c r="Q344" s="11"/>
      <c r="R344" s="11"/>
      <c r="CB344" s="11"/>
      <c r="CE344" s="11"/>
      <c r="CF344" s="11"/>
    </row>
    <row r="345" spans="4:84" x14ac:dyDescent="0.25">
      <c r="D345" s="11"/>
      <c r="E345" s="11"/>
      <c r="F345" s="11"/>
      <c r="G345" s="11"/>
      <c r="H345" s="11"/>
      <c r="I345" s="11"/>
      <c r="J345" s="11"/>
      <c r="N345" s="11"/>
      <c r="O345" s="11"/>
      <c r="P345" s="11"/>
      <c r="Q345" s="11"/>
      <c r="R345" s="11"/>
      <c r="CB345" s="11"/>
      <c r="CE345" s="11"/>
      <c r="CF345" s="11"/>
    </row>
    <row r="346" spans="4:84" x14ac:dyDescent="0.25">
      <c r="D346" s="11"/>
      <c r="E346" s="11"/>
      <c r="F346" s="11"/>
      <c r="G346" s="11"/>
      <c r="H346" s="11"/>
      <c r="I346" s="11"/>
      <c r="J346" s="11"/>
      <c r="N346" s="11"/>
      <c r="O346" s="11"/>
      <c r="P346" s="11"/>
      <c r="Q346" s="11"/>
      <c r="R346" s="11"/>
      <c r="CB346" s="11"/>
      <c r="CE346" s="11"/>
      <c r="CF346" s="11"/>
    </row>
    <row r="347" spans="4:84" x14ac:dyDescent="0.25">
      <c r="D347" s="11"/>
      <c r="E347" s="11"/>
      <c r="F347" s="11"/>
      <c r="G347" s="11"/>
      <c r="H347" s="11"/>
      <c r="I347" s="11"/>
      <c r="J347" s="11"/>
      <c r="N347" s="11"/>
      <c r="O347" s="11"/>
      <c r="P347" s="11"/>
      <c r="Q347" s="11"/>
      <c r="R347" s="11"/>
      <c r="CB347" s="11"/>
      <c r="CE347" s="11"/>
      <c r="CF347" s="11"/>
    </row>
    <row r="348" spans="4:84" x14ac:dyDescent="0.25">
      <c r="D348" s="11"/>
      <c r="E348" s="11"/>
      <c r="F348" s="11"/>
      <c r="G348" s="11"/>
      <c r="H348" s="11"/>
      <c r="I348" s="11"/>
      <c r="J348" s="11"/>
      <c r="N348" s="11"/>
      <c r="O348" s="11"/>
      <c r="P348" s="11"/>
      <c r="Q348" s="11"/>
      <c r="R348" s="11"/>
      <c r="CB348" s="11"/>
      <c r="CE348" s="11"/>
      <c r="CF348" s="11"/>
    </row>
    <row r="349" spans="4:84" x14ac:dyDescent="0.25">
      <c r="D349" s="11"/>
      <c r="E349" s="11"/>
      <c r="F349" s="11"/>
      <c r="G349" s="11"/>
      <c r="H349" s="11"/>
      <c r="I349" s="11"/>
      <c r="J349" s="11"/>
      <c r="N349" s="11"/>
      <c r="O349" s="11"/>
      <c r="P349" s="11"/>
      <c r="Q349" s="11"/>
      <c r="R349" s="11"/>
      <c r="CB349" s="11"/>
      <c r="CE349" s="11"/>
      <c r="CF349" s="11"/>
    </row>
    <row r="350" spans="4:84" x14ac:dyDescent="0.25">
      <c r="D350" s="11"/>
      <c r="E350" s="11"/>
      <c r="F350" s="11"/>
      <c r="G350" s="11"/>
      <c r="H350" s="11"/>
      <c r="I350" s="11"/>
      <c r="J350" s="11"/>
      <c r="N350" s="11"/>
      <c r="O350" s="11"/>
      <c r="P350" s="11"/>
      <c r="Q350" s="11"/>
      <c r="R350" s="11"/>
      <c r="CB350" s="11"/>
      <c r="CE350" s="11"/>
      <c r="CF350" s="11"/>
    </row>
    <row r="351" spans="4:84" x14ac:dyDescent="0.25">
      <c r="D351" s="11"/>
      <c r="E351" s="11"/>
      <c r="F351" s="11"/>
      <c r="G351" s="11"/>
      <c r="H351" s="11"/>
      <c r="I351" s="11"/>
      <c r="J351" s="11"/>
      <c r="N351" s="11"/>
      <c r="O351" s="11"/>
      <c r="P351" s="11"/>
      <c r="Q351" s="11"/>
      <c r="R351" s="11"/>
      <c r="CB351" s="11"/>
      <c r="CE351" s="11"/>
      <c r="CF351" s="11"/>
    </row>
    <row r="352" spans="4:84" x14ac:dyDescent="0.25">
      <c r="D352" s="11"/>
      <c r="E352" s="11"/>
      <c r="F352" s="11"/>
      <c r="G352" s="11"/>
      <c r="H352" s="11"/>
      <c r="I352" s="11"/>
      <c r="J352" s="11"/>
      <c r="N352" s="11"/>
      <c r="O352" s="11"/>
      <c r="P352" s="11"/>
      <c r="Q352" s="11"/>
      <c r="R352" s="11"/>
      <c r="CB352" s="11"/>
      <c r="CE352" s="11"/>
      <c r="CF352" s="11"/>
    </row>
    <row r="353" spans="4:84" x14ac:dyDescent="0.25">
      <c r="D353" s="11"/>
      <c r="E353" s="11"/>
      <c r="F353" s="11"/>
      <c r="G353" s="11"/>
      <c r="H353" s="11"/>
      <c r="I353" s="11"/>
      <c r="J353" s="11"/>
      <c r="N353" s="11"/>
      <c r="O353" s="11"/>
      <c r="P353" s="11"/>
      <c r="Q353" s="11"/>
      <c r="R353" s="11"/>
      <c r="CB353" s="11"/>
      <c r="CE353" s="11"/>
      <c r="CF353" s="11"/>
    </row>
    <row r="354" spans="4:84" x14ac:dyDescent="0.25">
      <c r="D354" s="11"/>
      <c r="E354" s="11"/>
      <c r="F354" s="11"/>
      <c r="G354" s="11"/>
      <c r="H354" s="11"/>
      <c r="I354" s="11"/>
      <c r="J354" s="11"/>
      <c r="N354" s="11"/>
      <c r="O354" s="11"/>
      <c r="P354" s="11"/>
      <c r="Q354" s="11"/>
      <c r="R354" s="11"/>
      <c r="CB354" s="11"/>
      <c r="CE354" s="11"/>
      <c r="CF354" s="11"/>
    </row>
    <row r="355" spans="4:84" x14ac:dyDescent="0.25">
      <c r="D355" s="11"/>
      <c r="E355" s="11"/>
      <c r="F355" s="11"/>
      <c r="G355" s="11"/>
      <c r="H355" s="11"/>
      <c r="I355" s="11"/>
      <c r="J355" s="11"/>
      <c r="N355" s="11"/>
      <c r="O355" s="11"/>
      <c r="P355" s="11"/>
      <c r="Q355" s="11"/>
      <c r="R355" s="11"/>
      <c r="CB355" s="11"/>
      <c r="CE355" s="11"/>
      <c r="CF355" s="11"/>
    </row>
    <row r="356" spans="4:84" x14ac:dyDescent="0.25">
      <c r="D356" s="11"/>
      <c r="E356" s="11"/>
      <c r="F356" s="11"/>
      <c r="G356" s="11"/>
      <c r="H356" s="11"/>
      <c r="I356" s="11"/>
      <c r="J356" s="11"/>
      <c r="N356" s="11"/>
      <c r="O356" s="11"/>
      <c r="P356" s="11"/>
      <c r="Q356" s="11"/>
      <c r="R356" s="11"/>
      <c r="CB356" s="11"/>
      <c r="CE356" s="11"/>
      <c r="CF356" s="11"/>
    </row>
    <row r="357" spans="4:84" x14ac:dyDescent="0.25">
      <c r="D357" s="11"/>
      <c r="E357" s="11"/>
      <c r="F357" s="11"/>
      <c r="G357" s="11"/>
      <c r="H357" s="11"/>
      <c r="I357" s="11"/>
      <c r="J357" s="11"/>
      <c r="N357" s="11"/>
      <c r="O357" s="11"/>
      <c r="P357" s="11"/>
      <c r="Q357" s="11"/>
      <c r="R357" s="11"/>
      <c r="CB357" s="11"/>
      <c r="CE357" s="11"/>
      <c r="CF357" s="11"/>
    </row>
    <row r="358" spans="4:84" x14ac:dyDescent="0.25">
      <c r="D358" s="11"/>
      <c r="E358" s="11"/>
      <c r="F358" s="11"/>
      <c r="G358" s="11"/>
      <c r="H358" s="11"/>
      <c r="I358" s="11"/>
      <c r="J358" s="11"/>
      <c r="N358" s="11"/>
      <c r="O358" s="11"/>
      <c r="P358" s="11"/>
      <c r="Q358" s="11"/>
      <c r="R358" s="11"/>
      <c r="CB358" s="11"/>
      <c r="CE358" s="11"/>
      <c r="CF358" s="11"/>
    </row>
    <row r="359" spans="4:84" x14ac:dyDescent="0.25">
      <c r="D359" s="11"/>
      <c r="E359" s="11"/>
      <c r="F359" s="11"/>
      <c r="G359" s="11"/>
      <c r="H359" s="11"/>
      <c r="I359" s="11"/>
      <c r="J359" s="11"/>
      <c r="N359" s="11"/>
      <c r="O359" s="11"/>
      <c r="P359" s="11"/>
      <c r="Q359" s="11"/>
      <c r="R359" s="11"/>
      <c r="CB359" s="11"/>
      <c r="CE359" s="11"/>
      <c r="CF359" s="11"/>
    </row>
    <row r="360" spans="4:84" x14ac:dyDescent="0.25">
      <c r="D360" s="11"/>
      <c r="E360" s="11"/>
      <c r="F360" s="11"/>
      <c r="G360" s="11"/>
      <c r="H360" s="11"/>
      <c r="I360" s="11"/>
      <c r="J360" s="11"/>
      <c r="N360" s="11"/>
      <c r="O360" s="11"/>
      <c r="P360" s="11"/>
      <c r="Q360" s="11"/>
      <c r="R360" s="11"/>
      <c r="CB360" s="11"/>
      <c r="CE360" s="11"/>
      <c r="CF360" s="11"/>
    </row>
    <row r="361" spans="4:84" x14ac:dyDescent="0.25">
      <c r="D361" s="11"/>
      <c r="E361" s="11"/>
      <c r="F361" s="11"/>
      <c r="G361" s="11"/>
      <c r="H361" s="11"/>
      <c r="I361" s="11"/>
      <c r="J361" s="11"/>
      <c r="N361" s="11"/>
      <c r="O361" s="11"/>
      <c r="P361" s="11"/>
      <c r="Q361" s="11"/>
      <c r="R361" s="11"/>
      <c r="CB361" s="11"/>
      <c r="CE361" s="11"/>
      <c r="CF361" s="11"/>
    </row>
    <row r="362" spans="4:84" x14ac:dyDescent="0.25">
      <c r="D362" s="11"/>
      <c r="E362" s="11"/>
      <c r="F362" s="11"/>
      <c r="G362" s="11"/>
      <c r="H362" s="11"/>
      <c r="I362" s="11"/>
      <c r="J362" s="11"/>
      <c r="N362" s="11"/>
      <c r="O362" s="11"/>
      <c r="P362" s="11"/>
      <c r="Q362" s="11"/>
      <c r="R362" s="11"/>
      <c r="CB362" s="11"/>
      <c r="CE362" s="11"/>
      <c r="CF362" s="11"/>
    </row>
    <row r="363" spans="4:84" x14ac:dyDescent="0.25">
      <c r="D363" s="11"/>
      <c r="E363" s="11"/>
      <c r="F363" s="11"/>
      <c r="G363" s="11"/>
      <c r="H363" s="11"/>
      <c r="I363" s="11"/>
      <c r="J363" s="11"/>
      <c r="N363" s="11"/>
      <c r="O363" s="11"/>
      <c r="P363" s="11"/>
      <c r="Q363" s="11"/>
      <c r="R363" s="11"/>
      <c r="CB363" s="11"/>
      <c r="CE363" s="11"/>
      <c r="CF363" s="11"/>
    </row>
    <row r="364" spans="4:84" x14ac:dyDescent="0.25">
      <c r="D364" s="11"/>
      <c r="E364" s="11"/>
      <c r="F364" s="11"/>
      <c r="G364" s="11"/>
      <c r="H364" s="11"/>
      <c r="I364" s="11"/>
      <c r="J364" s="11"/>
      <c r="N364" s="11"/>
      <c r="O364" s="11"/>
      <c r="P364" s="11"/>
      <c r="Q364" s="11"/>
      <c r="R364" s="11"/>
      <c r="CB364" s="11"/>
      <c r="CE364" s="11"/>
      <c r="CF364" s="11"/>
    </row>
    <row r="365" spans="4:84" x14ac:dyDescent="0.25">
      <c r="D365" s="11"/>
      <c r="E365" s="11"/>
      <c r="F365" s="11"/>
      <c r="G365" s="11"/>
      <c r="H365" s="11"/>
      <c r="I365" s="11"/>
      <c r="J365" s="11"/>
      <c r="N365" s="11"/>
      <c r="O365" s="11"/>
      <c r="P365" s="11"/>
      <c r="Q365" s="11"/>
      <c r="R365" s="11"/>
      <c r="CB365" s="11"/>
      <c r="CE365" s="11"/>
      <c r="CF365" s="11"/>
    </row>
    <row r="366" spans="4:84" x14ac:dyDescent="0.25">
      <c r="D366" s="11"/>
      <c r="E366" s="11"/>
      <c r="F366" s="11"/>
      <c r="G366" s="11"/>
      <c r="H366" s="11"/>
      <c r="I366" s="11"/>
      <c r="J366" s="11"/>
      <c r="N366" s="11"/>
      <c r="O366" s="11"/>
      <c r="P366" s="11"/>
      <c r="Q366" s="11"/>
      <c r="R366" s="11"/>
      <c r="CB366" s="11"/>
      <c r="CE366" s="11"/>
      <c r="CF366" s="11"/>
    </row>
    <row r="367" spans="4:84" x14ac:dyDescent="0.25">
      <c r="D367" s="11"/>
      <c r="E367" s="11"/>
      <c r="F367" s="11"/>
      <c r="G367" s="11"/>
      <c r="H367" s="11"/>
      <c r="I367" s="11"/>
      <c r="J367" s="11"/>
      <c r="N367" s="11"/>
      <c r="O367" s="11"/>
      <c r="P367" s="11"/>
      <c r="Q367" s="11"/>
      <c r="R367" s="11"/>
      <c r="CB367" s="11"/>
      <c r="CE367" s="11"/>
      <c r="CF367" s="11"/>
    </row>
    <row r="368" spans="4:84" x14ac:dyDescent="0.25">
      <c r="D368" s="11"/>
      <c r="E368" s="11"/>
      <c r="F368" s="11"/>
      <c r="G368" s="11"/>
      <c r="H368" s="11"/>
      <c r="I368" s="11"/>
      <c r="J368" s="11"/>
      <c r="N368" s="11"/>
      <c r="O368" s="11"/>
      <c r="P368" s="11"/>
      <c r="Q368" s="11"/>
      <c r="R368" s="11"/>
      <c r="CB368" s="11"/>
      <c r="CE368" s="11"/>
      <c r="CF368" s="11"/>
    </row>
    <row r="369" spans="4:84" x14ac:dyDescent="0.25">
      <c r="D369" s="11"/>
      <c r="E369" s="11"/>
      <c r="F369" s="11"/>
      <c r="G369" s="11"/>
      <c r="H369" s="11"/>
      <c r="I369" s="11"/>
      <c r="J369" s="11"/>
      <c r="N369" s="11"/>
      <c r="O369" s="11"/>
      <c r="P369" s="11"/>
      <c r="Q369" s="11"/>
      <c r="R369" s="11"/>
      <c r="CB369" s="11"/>
      <c r="CE369" s="11"/>
      <c r="CF369" s="11"/>
    </row>
    <row r="370" spans="4:84" x14ac:dyDescent="0.25">
      <c r="D370" s="11"/>
      <c r="E370" s="11"/>
      <c r="F370" s="11"/>
      <c r="G370" s="11"/>
      <c r="H370" s="11"/>
      <c r="I370" s="11"/>
      <c r="J370" s="11"/>
      <c r="N370" s="11"/>
      <c r="O370" s="11"/>
      <c r="P370" s="11"/>
      <c r="Q370" s="11"/>
      <c r="R370" s="11"/>
      <c r="CB370" s="11"/>
      <c r="CE370" s="11"/>
      <c r="CF370" s="11"/>
    </row>
    <row r="371" spans="4:84" x14ac:dyDescent="0.25">
      <c r="D371" s="11"/>
      <c r="E371" s="11"/>
      <c r="F371" s="11"/>
      <c r="G371" s="11"/>
      <c r="H371" s="11"/>
      <c r="I371" s="11"/>
      <c r="J371" s="11"/>
      <c r="N371" s="11"/>
      <c r="O371" s="11"/>
      <c r="P371" s="11"/>
      <c r="Q371" s="11"/>
      <c r="R371" s="11"/>
      <c r="CB371" s="11"/>
      <c r="CE371" s="11"/>
      <c r="CF371" s="11"/>
    </row>
    <row r="372" spans="4:84" x14ac:dyDescent="0.25">
      <c r="D372" s="11"/>
      <c r="E372" s="11"/>
      <c r="F372" s="11"/>
      <c r="G372" s="11"/>
      <c r="H372" s="11"/>
      <c r="I372" s="11"/>
      <c r="J372" s="11"/>
      <c r="N372" s="11"/>
      <c r="O372" s="11"/>
      <c r="P372" s="11"/>
      <c r="Q372" s="11"/>
      <c r="R372" s="11"/>
      <c r="CB372" s="11"/>
      <c r="CE372" s="11"/>
      <c r="CF372" s="11"/>
    </row>
    <row r="373" spans="4:84" x14ac:dyDescent="0.25">
      <c r="D373" s="11"/>
      <c r="E373" s="11"/>
      <c r="F373" s="11"/>
      <c r="G373" s="11"/>
      <c r="H373" s="11"/>
      <c r="I373" s="11"/>
      <c r="J373" s="11"/>
      <c r="N373" s="11"/>
      <c r="O373" s="11"/>
      <c r="P373" s="11"/>
      <c r="Q373" s="11"/>
      <c r="R373" s="11"/>
      <c r="CB373" s="11"/>
      <c r="CE373" s="11"/>
      <c r="CF373" s="11"/>
    </row>
    <row r="374" spans="4:84" x14ac:dyDescent="0.25">
      <c r="D374" s="11"/>
      <c r="E374" s="11"/>
      <c r="F374" s="11"/>
      <c r="G374" s="11"/>
      <c r="H374" s="11"/>
      <c r="I374" s="11"/>
      <c r="J374" s="11"/>
      <c r="N374" s="11"/>
      <c r="O374" s="11"/>
      <c r="P374" s="11"/>
      <c r="Q374" s="11"/>
      <c r="R374" s="11"/>
      <c r="CB374" s="11"/>
      <c r="CE374" s="11"/>
      <c r="CF374" s="11"/>
    </row>
    <row r="375" spans="4:84" x14ac:dyDescent="0.25">
      <c r="D375" s="11"/>
      <c r="E375" s="11"/>
      <c r="F375" s="11"/>
      <c r="G375" s="11"/>
      <c r="H375" s="11"/>
      <c r="I375" s="11"/>
      <c r="J375" s="11"/>
      <c r="N375" s="11"/>
      <c r="O375" s="11"/>
      <c r="P375" s="11"/>
      <c r="Q375" s="11"/>
      <c r="R375" s="11"/>
      <c r="CB375" s="11"/>
      <c r="CE375" s="11"/>
      <c r="CF375" s="11"/>
    </row>
    <row r="376" spans="4:84" x14ac:dyDescent="0.25">
      <c r="D376" s="11"/>
      <c r="E376" s="11"/>
      <c r="F376" s="11"/>
      <c r="G376" s="11"/>
      <c r="H376" s="11"/>
      <c r="I376" s="11"/>
      <c r="J376" s="11"/>
      <c r="N376" s="11"/>
      <c r="O376" s="11"/>
      <c r="P376" s="11"/>
      <c r="Q376" s="11"/>
      <c r="R376" s="11"/>
      <c r="CB376" s="11"/>
      <c r="CE376" s="11"/>
      <c r="CF376" s="11"/>
    </row>
    <row r="377" spans="4:84" x14ac:dyDescent="0.25">
      <c r="D377" s="11"/>
      <c r="E377" s="11"/>
      <c r="F377" s="11"/>
      <c r="G377" s="11"/>
      <c r="H377" s="11"/>
      <c r="I377" s="11"/>
      <c r="J377" s="11"/>
      <c r="N377" s="11"/>
      <c r="O377" s="11"/>
      <c r="P377" s="11"/>
      <c r="Q377" s="11"/>
      <c r="R377" s="11"/>
      <c r="CB377" s="11"/>
      <c r="CE377" s="11"/>
      <c r="CF377" s="11"/>
    </row>
    <row r="378" spans="4:84" x14ac:dyDescent="0.25">
      <c r="D378" s="11"/>
      <c r="E378" s="11"/>
      <c r="F378" s="11"/>
      <c r="G378" s="11"/>
      <c r="H378" s="11"/>
      <c r="I378" s="11"/>
      <c r="J378" s="11"/>
      <c r="N378" s="11"/>
      <c r="O378" s="11"/>
      <c r="P378" s="11"/>
      <c r="Q378" s="11"/>
      <c r="R378" s="11"/>
      <c r="CB378" s="11"/>
      <c r="CE378" s="11"/>
      <c r="CF378" s="11"/>
    </row>
    <row r="379" spans="4:84" x14ac:dyDescent="0.25">
      <c r="D379" s="11"/>
      <c r="E379" s="11"/>
      <c r="F379" s="11"/>
      <c r="G379" s="11"/>
      <c r="H379" s="11"/>
      <c r="I379" s="11"/>
      <c r="J379" s="11"/>
      <c r="N379" s="11"/>
      <c r="O379" s="11"/>
      <c r="P379" s="11"/>
      <c r="Q379" s="11"/>
      <c r="R379" s="11"/>
      <c r="CB379" s="11"/>
      <c r="CE379" s="11"/>
      <c r="CF379" s="11"/>
    </row>
    <row r="380" spans="4:84" x14ac:dyDescent="0.25">
      <c r="D380" s="11"/>
      <c r="E380" s="11"/>
      <c r="F380" s="11"/>
      <c r="G380" s="11"/>
      <c r="H380" s="11"/>
      <c r="I380" s="11"/>
      <c r="J380" s="11"/>
      <c r="N380" s="11"/>
      <c r="O380" s="11"/>
      <c r="P380" s="11"/>
      <c r="Q380" s="11"/>
      <c r="R380" s="11"/>
      <c r="CB380" s="11"/>
      <c r="CE380" s="11"/>
      <c r="CF380" s="11"/>
    </row>
    <row r="381" spans="4:84" x14ac:dyDescent="0.25">
      <c r="D381" s="11"/>
      <c r="E381" s="11"/>
      <c r="F381" s="11"/>
      <c r="G381" s="11"/>
      <c r="H381" s="11"/>
      <c r="I381" s="11"/>
      <c r="J381" s="11"/>
      <c r="N381" s="11"/>
      <c r="O381" s="11"/>
      <c r="P381" s="11"/>
      <c r="Q381" s="11"/>
      <c r="R381" s="11"/>
      <c r="CB381" s="11"/>
      <c r="CE381" s="11"/>
      <c r="CF381" s="11"/>
    </row>
    <row r="382" spans="4:84" x14ac:dyDescent="0.25">
      <c r="D382" s="11"/>
      <c r="E382" s="11"/>
      <c r="F382" s="11"/>
      <c r="G382" s="11"/>
      <c r="H382" s="11"/>
      <c r="I382" s="11"/>
      <c r="J382" s="11"/>
      <c r="N382" s="11"/>
      <c r="O382" s="11"/>
      <c r="P382" s="11"/>
      <c r="Q382" s="11"/>
      <c r="R382" s="11"/>
      <c r="CB382" s="11"/>
      <c r="CE382" s="11"/>
      <c r="CF382" s="11"/>
    </row>
    <row r="383" spans="4:84" x14ac:dyDescent="0.25">
      <c r="D383" s="11"/>
      <c r="E383" s="11"/>
      <c r="F383" s="11"/>
      <c r="G383" s="11"/>
      <c r="H383" s="11"/>
      <c r="I383" s="11"/>
      <c r="J383" s="11"/>
      <c r="N383" s="11"/>
      <c r="O383" s="11"/>
      <c r="P383" s="11"/>
      <c r="Q383" s="11"/>
      <c r="R383" s="11"/>
      <c r="CB383" s="11"/>
      <c r="CE383" s="11"/>
      <c r="CF383" s="11"/>
    </row>
    <row r="384" spans="4:84" x14ac:dyDescent="0.25">
      <c r="D384" s="11"/>
      <c r="E384" s="11"/>
      <c r="F384" s="11"/>
      <c r="G384" s="11"/>
      <c r="H384" s="11"/>
      <c r="I384" s="11"/>
      <c r="J384" s="11"/>
      <c r="N384" s="11"/>
      <c r="O384" s="11"/>
      <c r="P384" s="11"/>
      <c r="Q384" s="11"/>
      <c r="R384" s="11"/>
      <c r="CB384" s="11"/>
      <c r="CE384" s="11"/>
      <c r="CF384" s="11"/>
    </row>
    <row r="385" spans="4:84" x14ac:dyDescent="0.25">
      <c r="D385" s="11"/>
      <c r="E385" s="11"/>
      <c r="F385" s="11"/>
      <c r="G385" s="11"/>
      <c r="H385" s="11"/>
      <c r="I385" s="11"/>
      <c r="J385" s="11"/>
      <c r="N385" s="11"/>
      <c r="O385" s="11"/>
      <c r="P385" s="11"/>
      <c r="Q385" s="11"/>
      <c r="R385" s="11"/>
      <c r="CB385" s="11"/>
      <c r="CE385" s="11"/>
      <c r="CF385" s="11"/>
    </row>
    <row r="386" spans="4:84" x14ac:dyDescent="0.25">
      <c r="D386" s="11"/>
      <c r="E386" s="11"/>
      <c r="F386" s="11"/>
      <c r="G386" s="11"/>
      <c r="H386" s="11"/>
      <c r="I386" s="11"/>
      <c r="J386" s="11"/>
      <c r="N386" s="11"/>
      <c r="O386" s="11"/>
      <c r="P386" s="11"/>
      <c r="Q386" s="11"/>
      <c r="R386" s="11"/>
      <c r="CB386" s="11"/>
      <c r="CE386" s="11"/>
      <c r="CF386" s="11"/>
    </row>
    <row r="387" spans="4:84" x14ac:dyDescent="0.25">
      <c r="D387" s="11"/>
      <c r="E387" s="11"/>
      <c r="F387" s="11"/>
      <c r="G387" s="11"/>
      <c r="H387" s="11"/>
      <c r="I387" s="11"/>
      <c r="J387" s="11"/>
      <c r="N387" s="11"/>
      <c r="O387" s="11"/>
      <c r="P387" s="11"/>
      <c r="Q387" s="11"/>
      <c r="R387" s="11"/>
      <c r="CB387" s="11"/>
      <c r="CE387" s="11"/>
      <c r="CF387" s="11"/>
    </row>
    <row r="388" spans="4:84" x14ac:dyDescent="0.25">
      <c r="D388" s="11"/>
      <c r="E388" s="11"/>
      <c r="F388" s="11"/>
      <c r="G388" s="11"/>
      <c r="H388" s="11"/>
      <c r="I388" s="11"/>
      <c r="J388" s="11"/>
      <c r="N388" s="11"/>
      <c r="O388" s="11"/>
      <c r="P388" s="11"/>
      <c r="Q388" s="11"/>
      <c r="R388" s="11"/>
      <c r="CB388" s="11"/>
      <c r="CE388" s="11"/>
      <c r="CF388" s="11"/>
    </row>
    <row r="389" spans="4:84" x14ac:dyDescent="0.25">
      <c r="D389" s="11"/>
      <c r="E389" s="11"/>
      <c r="F389" s="11"/>
      <c r="G389" s="11"/>
      <c r="H389" s="11"/>
      <c r="I389" s="11"/>
      <c r="J389" s="11"/>
      <c r="N389" s="11"/>
      <c r="O389" s="11"/>
      <c r="P389" s="11"/>
      <c r="Q389" s="11"/>
      <c r="R389" s="11"/>
      <c r="CB389" s="11"/>
      <c r="CE389" s="11"/>
      <c r="CF389" s="11"/>
    </row>
    <row r="390" spans="4:84" x14ac:dyDescent="0.25">
      <c r="D390" s="11"/>
      <c r="E390" s="11"/>
      <c r="F390" s="11"/>
      <c r="G390" s="11"/>
      <c r="H390" s="11"/>
      <c r="I390" s="11"/>
      <c r="J390" s="11"/>
      <c r="N390" s="11"/>
      <c r="O390" s="11"/>
      <c r="P390" s="11"/>
      <c r="Q390" s="11"/>
      <c r="R390" s="11"/>
      <c r="CB390" s="11"/>
      <c r="CE390" s="11"/>
      <c r="CF390" s="11"/>
    </row>
    <row r="391" spans="4:84" x14ac:dyDescent="0.25">
      <c r="D391" s="11"/>
      <c r="E391" s="11"/>
      <c r="F391" s="11"/>
      <c r="G391" s="11"/>
      <c r="H391" s="11"/>
      <c r="I391" s="11"/>
      <c r="J391" s="11"/>
      <c r="N391" s="11"/>
      <c r="O391" s="11"/>
      <c r="P391" s="11"/>
      <c r="Q391" s="11"/>
      <c r="R391" s="11"/>
      <c r="CB391" s="11"/>
      <c r="CE391" s="11"/>
      <c r="CF391" s="11"/>
    </row>
    <row r="392" spans="4:84" x14ac:dyDescent="0.25">
      <c r="D392" s="11"/>
      <c r="E392" s="11"/>
      <c r="F392" s="11"/>
      <c r="G392" s="11"/>
      <c r="H392" s="11"/>
      <c r="I392" s="11"/>
      <c r="J392" s="11"/>
      <c r="N392" s="11"/>
      <c r="O392" s="11"/>
      <c r="P392" s="11"/>
      <c r="Q392" s="11"/>
      <c r="R392" s="11"/>
      <c r="CB392" s="11"/>
      <c r="CE392" s="11"/>
      <c r="CF392" s="11"/>
    </row>
    <row r="393" spans="4:84" x14ac:dyDescent="0.25">
      <c r="D393" s="11"/>
      <c r="E393" s="11"/>
      <c r="F393" s="11"/>
      <c r="G393" s="11"/>
      <c r="H393" s="11"/>
      <c r="I393" s="11"/>
      <c r="J393" s="11"/>
      <c r="N393" s="11"/>
      <c r="O393" s="11"/>
      <c r="P393" s="11"/>
      <c r="Q393" s="11"/>
      <c r="R393" s="11"/>
      <c r="CB393" s="11"/>
      <c r="CE393" s="11"/>
      <c r="CF393" s="11"/>
    </row>
    <row r="394" spans="4:84" x14ac:dyDescent="0.25">
      <c r="D394" s="11"/>
      <c r="E394" s="11"/>
      <c r="F394" s="11"/>
      <c r="G394" s="11"/>
      <c r="H394" s="11"/>
      <c r="I394" s="11"/>
      <c r="J394" s="11"/>
      <c r="N394" s="11"/>
      <c r="O394" s="11"/>
      <c r="P394" s="11"/>
      <c r="Q394" s="11"/>
      <c r="R394" s="11"/>
      <c r="CB394" s="11"/>
      <c r="CE394" s="11"/>
      <c r="CF394" s="11"/>
    </row>
    <row r="395" spans="4:84" x14ac:dyDescent="0.25">
      <c r="D395" s="11"/>
      <c r="E395" s="11"/>
      <c r="F395" s="11"/>
      <c r="G395" s="11"/>
      <c r="H395" s="11"/>
      <c r="I395" s="11"/>
      <c r="J395" s="11"/>
      <c r="N395" s="11"/>
      <c r="O395" s="11"/>
      <c r="P395" s="11"/>
      <c r="Q395" s="11"/>
      <c r="R395" s="11"/>
      <c r="CB395" s="11"/>
      <c r="CE395" s="11"/>
      <c r="CF395" s="11"/>
    </row>
    <row r="396" spans="4:84" x14ac:dyDescent="0.25">
      <c r="D396" s="11"/>
      <c r="E396" s="11"/>
      <c r="F396" s="11"/>
      <c r="G396" s="11"/>
      <c r="H396" s="11"/>
      <c r="I396" s="11"/>
      <c r="J396" s="11"/>
      <c r="N396" s="11"/>
      <c r="O396" s="11"/>
      <c r="P396" s="11"/>
      <c r="Q396" s="11"/>
      <c r="R396" s="11"/>
      <c r="CB396" s="11"/>
      <c r="CE396" s="11"/>
      <c r="CF396" s="11"/>
    </row>
    <row r="397" spans="4:84" x14ac:dyDescent="0.25">
      <c r="D397" s="11"/>
      <c r="E397" s="11"/>
      <c r="F397" s="11"/>
      <c r="G397" s="11"/>
      <c r="H397" s="11"/>
      <c r="I397" s="11"/>
      <c r="J397" s="11"/>
      <c r="N397" s="11"/>
      <c r="O397" s="11"/>
      <c r="P397" s="11"/>
      <c r="Q397" s="11"/>
      <c r="R397" s="11"/>
      <c r="CB397" s="11"/>
      <c r="CE397" s="11"/>
      <c r="CF397" s="11"/>
    </row>
    <row r="398" spans="4:84" x14ac:dyDescent="0.25">
      <c r="D398" s="11"/>
      <c r="E398" s="11"/>
      <c r="F398" s="11"/>
      <c r="G398" s="11"/>
      <c r="H398" s="11"/>
      <c r="I398" s="11"/>
      <c r="J398" s="11"/>
      <c r="N398" s="11"/>
      <c r="O398" s="11"/>
      <c r="P398" s="11"/>
      <c r="Q398" s="11"/>
      <c r="R398" s="11"/>
      <c r="CB398" s="11"/>
      <c r="CE398" s="11"/>
      <c r="CF398" s="11"/>
    </row>
    <row r="399" spans="4:84" x14ac:dyDescent="0.25">
      <c r="D399" s="11"/>
      <c r="E399" s="11"/>
      <c r="F399" s="11"/>
      <c r="G399" s="11"/>
      <c r="H399" s="11"/>
      <c r="I399" s="11"/>
      <c r="J399" s="11"/>
      <c r="N399" s="11"/>
      <c r="O399" s="11"/>
      <c r="P399" s="11"/>
      <c r="Q399" s="11"/>
      <c r="R399" s="11"/>
      <c r="CB399" s="11"/>
      <c r="CE399" s="11"/>
      <c r="CF399" s="11"/>
    </row>
    <row r="400" spans="4:84" x14ac:dyDescent="0.25">
      <c r="D400" s="11"/>
      <c r="E400" s="11"/>
      <c r="F400" s="11"/>
      <c r="G400" s="11"/>
      <c r="H400" s="11"/>
      <c r="I400" s="11"/>
      <c r="J400" s="11"/>
      <c r="N400" s="11"/>
      <c r="O400" s="11"/>
      <c r="P400" s="11"/>
      <c r="Q400" s="11"/>
      <c r="R400" s="11"/>
      <c r="CB400" s="11"/>
      <c r="CE400" s="11"/>
      <c r="CF400" s="11"/>
    </row>
    <row r="401" spans="4:84" x14ac:dyDescent="0.25">
      <c r="D401" s="11"/>
      <c r="E401" s="11"/>
      <c r="F401" s="11"/>
      <c r="G401" s="11"/>
      <c r="H401" s="11"/>
      <c r="I401" s="11"/>
      <c r="J401" s="11"/>
      <c r="N401" s="11"/>
      <c r="O401" s="11"/>
      <c r="P401" s="11"/>
      <c r="Q401" s="11"/>
      <c r="R401" s="11"/>
      <c r="CB401" s="11"/>
      <c r="CE401" s="11"/>
      <c r="CF401" s="11"/>
    </row>
    <row r="402" spans="4:84" x14ac:dyDescent="0.25">
      <c r="D402" s="11"/>
      <c r="E402" s="11"/>
      <c r="F402" s="11"/>
      <c r="G402" s="11"/>
      <c r="H402" s="11"/>
      <c r="I402" s="11"/>
      <c r="J402" s="11"/>
      <c r="N402" s="11"/>
      <c r="O402" s="11"/>
      <c r="P402" s="11"/>
      <c r="Q402" s="11"/>
      <c r="R402" s="11"/>
      <c r="CB402" s="11"/>
      <c r="CE402" s="11"/>
      <c r="CF402" s="11"/>
    </row>
    <row r="403" spans="4:84" x14ac:dyDescent="0.25">
      <c r="D403" s="11"/>
      <c r="E403" s="11"/>
      <c r="F403" s="11"/>
      <c r="G403" s="11"/>
      <c r="H403" s="11"/>
      <c r="I403" s="11"/>
      <c r="J403" s="11"/>
      <c r="N403" s="11"/>
      <c r="O403" s="11"/>
      <c r="P403" s="11"/>
      <c r="Q403" s="11"/>
      <c r="R403" s="11"/>
      <c r="CB403" s="11"/>
      <c r="CE403" s="11"/>
      <c r="CF403" s="11"/>
    </row>
    <row r="404" spans="4:84" x14ac:dyDescent="0.25">
      <c r="D404" s="11"/>
      <c r="E404" s="11"/>
      <c r="F404" s="11"/>
      <c r="G404" s="11"/>
      <c r="H404" s="11"/>
      <c r="I404" s="11"/>
      <c r="J404" s="11"/>
      <c r="N404" s="11"/>
      <c r="O404" s="11"/>
      <c r="P404" s="11"/>
      <c r="Q404" s="11"/>
      <c r="R404" s="11"/>
      <c r="CB404" s="11"/>
      <c r="CE404" s="11"/>
      <c r="CF404" s="11"/>
    </row>
    <row r="405" spans="4:84" x14ac:dyDescent="0.25">
      <c r="D405" s="11"/>
      <c r="E405" s="11"/>
      <c r="F405" s="11"/>
      <c r="G405" s="11"/>
      <c r="H405" s="11"/>
      <c r="I405" s="11"/>
      <c r="J405" s="11"/>
      <c r="N405" s="11"/>
      <c r="O405" s="11"/>
      <c r="P405" s="11"/>
      <c r="Q405" s="11"/>
      <c r="R405" s="11"/>
      <c r="CB405" s="11"/>
      <c r="CE405" s="11"/>
      <c r="CF405" s="11"/>
    </row>
    <row r="406" spans="4:84" x14ac:dyDescent="0.25">
      <c r="D406" s="11"/>
      <c r="E406" s="11"/>
      <c r="F406" s="11"/>
      <c r="G406" s="11"/>
      <c r="H406" s="11"/>
      <c r="I406" s="11"/>
      <c r="J406" s="11"/>
      <c r="N406" s="11"/>
      <c r="O406" s="11"/>
      <c r="P406" s="11"/>
      <c r="Q406" s="11"/>
      <c r="R406" s="11"/>
      <c r="CB406" s="11"/>
      <c r="CE406" s="11"/>
      <c r="CF406" s="11"/>
    </row>
    <row r="407" spans="4:84" x14ac:dyDescent="0.25">
      <c r="D407" s="11"/>
      <c r="E407" s="11"/>
      <c r="F407" s="11"/>
      <c r="G407" s="11"/>
      <c r="H407" s="11"/>
      <c r="I407" s="11"/>
      <c r="J407" s="11"/>
      <c r="N407" s="11"/>
      <c r="O407" s="11"/>
      <c r="P407" s="11"/>
      <c r="Q407" s="11"/>
      <c r="R407" s="11"/>
      <c r="CB407" s="11"/>
      <c r="CE407" s="11"/>
      <c r="CF407" s="11"/>
    </row>
    <row r="408" spans="4:84" x14ac:dyDescent="0.25">
      <c r="D408" s="11"/>
      <c r="E408" s="11"/>
      <c r="F408" s="11"/>
      <c r="G408" s="11"/>
      <c r="H408" s="11"/>
      <c r="I408" s="11"/>
      <c r="J408" s="11"/>
      <c r="N408" s="11"/>
      <c r="O408" s="11"/>
      <c r="P408" s="11"/>
      <c r="Q408" s="11"/>
      <c r="R408" s="11"/>
      <c r="CB408" s="11"/>
      <c r="CE408" s="11"/>
      <c r="CF408" s="11"/>
    </row>
    <row r="409" spans="4:84" x14ac:dyDescent="0.25">
      <c r="D409" s="11"/>
      <c r="E409" s="11"/>
      <c r="F409" s="11"/>
      <c r="G409" s="11"/>
      <c r="H409" s="11"/>
      <c r="I409" s="11"/>
      <c r="J409" s="11"/>
      <c r="N409" s="11"/>
      <c r="O409" s="11"/>
      <c r="P409" s="11"/>
      <c r="Q409" s="11"/>
      <c r="R409" s="11"/>
      <c r="CB409" s="11"/>
      <c r="CE409" s="11"/>
      <c r="CF409" s="11"/>
    </row>
    <row r="410" spans="4:84" x14ac:dyDescent="0.25">
      <c r="D410" s="11"/>
      <c r="E410" s="11"/>
      <c r="F410" s="11"/>
      <c r="G410" s="11"/>
      <c r="H410" s="11"/>
      <c r="I410" s="11"/>
      <c r="J410" s="11"/>
      <c r="N410" s="11"/>
      <c r="O410" s="11"/>
      <c r="P410" s="11"/>
      <c r="Q410" s="11"/>
      <c r="R410" s="11"/>
      <c r="CB410" s="11"/>
      <c r="CE410" s="11"/>
      <c r="CF410" s="11"/>
    </row>
    <row r="411" spans="4:84" x14ac:dyDescent="0.25">
      <c r="D411" s="11"/>
      <c r="E411" s="11"/>
      <c r="F411" s="11"/>
      <c r="G411" s="11"/>
      <c r="H411" s="11"/>
      <c r="I411" s="11"/>
      <c r="J411" s="11"/>
      <c r="N411" s="11"/>
      <c r="O411" s="11"/>
      <c r="P411" s="11"/>
      <c r="Q411" s="11"/>
      <c r="R411" s="11"/>
      <c r="CB411" s="11"/>
      <c r="CE411" s="11"/>
      <c r="CF411" s="11"/>
    </row>
    <row r="412" spans="4:84" x14ac:dyDescent="0.25">
      <c r="D412" s="11"/>
      <c r="E412" s="11"/>
      <c r="F412" s="11"/>
      <c r="G412" s="11"/>
      <c r="H412" s="11"/>
      <c r="I412" s="11"/>
      <c r="J412" s="11"/>
      <c r="N412" s="11"/>
      <c r="O412" s="11"/>
      <c r="P412" s="11"/>
      <c r="Q412" s="11"/>
      <c r="R412" s="11"/>
      <c r="CB412" s="11"/>
      <c r="CE412" s="11"/>
      <c r="CF412" s="11"/>
    </row>
    <row r="413" spans="4:84" x14ac:dyDescent="0.25">
      <c r="D413" s="11"/>
      <c r="E413" s="11"/>
      <c r="F413" s="11"/>
      <c r="G413" s="11"/>
      <c r="H413" s="11"/>
      <c r="I413" s="11"/>
      <c r="J413" s="11"/>
      <c r="N413" s="11"/>
      <c r="O413" s="11"/>
      <c r="P413" s="11"/>
      <c r="Q413" s="11"/>
      <c r="R413" s="11"/>
      <c r="CB413" s="11"/>
      <c r="CE413" s="11"/>
      <c r="CF413" s="11"/>
    </row>
    <row r="414" spans="4:84" x14ac:dyDescent="0.25">
      <c r="D414" s="11"/>
      <c r="E414" s="11"/>
      <c r="F414" s="11"/>
      <c r="G414" s="11"/>
      <c r="H414" s="11"/>
      <c r="I414" s="11"/>
      <c r="J414" s="11"/>
      <c r="N414" s="11"/>
      <c r="O414" s="11"/>
      <c r="P414" s="11"/>
      <c r="Q414" s="11"/>
      <c r="R414" s="11"/>
      <c r="CB414" s="11"/>
      <c r="CE414" s="11"/>
      <c r="CF414" s="11"/>
    </row>
    <row r="415" spans="4:84" x14ac:dyDescent="0.25">
      <c r="D415" s="11"/>
      <c r="E415" s="11"/>
      <c r="F415" s="11"/>
      <c r="G415" s="11"/>
      <c r="H415" s="11"/>
      <c r="I415" s="11"/>
      <c r="J415" s="11"/>
      <c r="N415" s="11"/>
      <c r="O415" s="11"/>
      <c r="P415" s="11"/>
      <c r="Q415" s="11"/>
      <c r="R415" s="11"/>
      <c r="CB415" s="11"/>
      <c r="CE415" s="11"/>
      <c r="CF415" s="11"/>
    </row>
    <row r="416" spans="4:84" x14ac:dyDescent="0.25">
      <c r="D416" s="11"/>
      <c r="E416" s="11"/>
      <c r="F416" s="11"/>
      <c r="G416" s="11"/>
      <c r="H416" s="11"/>
      <c r="I416" s="11"/>
      <c r="J416" s="11"/>
      <c r="N416" s="11"/>
      <c r="O416" s="11"/>
      <c r="P416" s="11"/>
      <c r="Q416" s="11"/>
      <c r="R416" s="11"/>
      <c r="CB416" s="11"/>
      <c r="CE416" s="11"/>
      <c r="CF416" s="11"/>
    </row>
    <row r="417" spans="4:84" x14ac:dyDescent="0.25">
      <c r="D417" s="11"/>
      <c r="E417" s="11"/>
      <c r="F417" s="11"/>
      <c r="G417" s="11"/>
      <c r="H417" s="11"/>
      <c r="I417" s="11"/>
      <c r="J417" s="11"/>
      <c r="N417" s="11"/>
      <c r="O417" s="11"/>
      <c r="P417" s="11"/>
      <c r="Q417" s="11"/>
      <c r="R417" s="11"/>
      <c r="CB417" s="11"/>
      <c r="CE417" s="11"/>
      <c r="CF417" s="11"/>
    </row>
    <row r="418" spans="4:84" x14ac:dyDescent="0.25">
      <c r="D418" s="11"/>
      <c r="E418" s="11"/>
      <c r="F418" s="11"/>
      <c r="G418" s="11"/>
      <c r="H418" s="11"/>
      <c r="I418" s="11"/>
      <c r="J418" s="11"/>
      <c r="N418" s="11"/>
      <c r="O418" s="11"/>
      <c r="P418" s="11"/>
      <c r="Q418" s="11"/>
      <c r="R418" s="11"/>
      <c r="CB418" s="11"/>
      <c r="CE418" s="11"/>
      <c r="CF418" s="11"/>
    </row>
    <row r="419" spans="4:84" x14ac:dyDescent="0.25">
      <c r="D419" s="11"/>
      <c r="E419" s="11"/>
      <c r="F419" s="11"/>
      <c r="G419" s="11"/>
      <c r="H419" s="11"/>
      <c r="I419" s="11"/>
      <c r="J419" s="11"/>
      <c r="N419" s="11"/>
      <c r="O419" s="11"/>
      <c r="P419" s="11"/>
      <c r="Q419" s="11"/>
      <c r="R419" s="11"/>
      <c r="CB419" s="11"/>
      <c r="CE419" s="11"/>
      <c r="CF419" s="11"/>
    </row>
    <row r="420" spans="4:84" x14ac:dyDescent="0.25">
      <c r="D420" s="11"/>
      <c r="E420" s="11"/>
      <c r="F420" s="11"/>
      <c r="G420" s="11"/>
      <c r="H420" s="11"/>
      <c r="I420" s="11"/>
      <c r="J420" s="11"/>
      <c r="N420" s="11"/>
      <c r="O420" s="11"/>
      <c r="P420" s="11"/>
      <c r="Q420" s="11"/>
      <c r="R420" s="11"/>
      <c r="CB420" s="11"/>
      <c r="CE420" s="11"/>
      <c r="CF420" s="11"/>
    </row>
    <row r="421" spans="4:84" x14ac:dyDescent="0.25">
      <c r="D421" s="11"/>
      <c r="E421" s="11"/>
      <c r="F421" s="11"/>
      <c r="G421" s="11"/>
      <c r="H421" s="11"/>
      <c r="I421" s="11"/>
      <c r="J421" s="11"/>
      <c r="N421" s="11"/>
      <c r="O421" s="11"/>
      <c r="P421" s="11"/>
      <c r="Q421" s="11"/>
      <c r="R421" s="11"/>
      <c r="CB421" s="11"/>
      <c r="CE421" s="11"/>
      <c r="CF421" s="11"/>
    </row>
    <row r="422" spans="4:84" x14ac:dyDescent="0.25">
      <c r="D422" s="11"/>
      <c r="E422" s="11"/>
      <c r="F422" s="11"/>
      <c r="G422" s="11"/>
      <c r="H422" s="11"/>
      <c r="I422" s="11"/>
      <c r="J422" s="11"/>
      <c r="N422" s="11"/>
      <c r="O422" s="11"/>
      <c r="P422" s="11"/>
      <c r="Q422" s="11"/>
      <c r="R422" s="11"/>
      <c r="CB422" s="11"/>
      <c r="CE422" s="11"/>
      <c r="CF422" s="11"/>
    </row>
    <row r="423" spans="4:84" x14ac:dyDescent="0.25">
      <c r="D423" s="11"/>
      <c r="E423" s="11"/>
      <c r="F423" s="11"/>
      <c r="G423" s="11"/>
      <c r="H423" s="11"/>
      <c r="I423" s="11"/>
      <c r="J423" s="11"/>
      <c r="N423" s="11"/>
      <c r="O423" s="11"/>
      <c r="P423" s="11"/>
      <c r="Q423" s="11"/>
      <c r="R423" s="11"/>
      <c r="CB423" s="11"/>
      <c r="CE423" s="11"/>
      <c r="CF423" s="11"/>
    </row>
    <row r="424" spans="4:84" x14ac:dyDescent="0.25">
      <c r="D424" s="11"/>
      <c r="E424" s="11"/>
      <c r="F424" s="11"/>
      <c r="G424" s="11"/>
      <c r="H424" s="11"/>
      <c r="I424" s="11"/>
      <c r="J424" s="11"/>
      <c r="N424" s="11"/>
      <c r="O424" s="11"/>
      <c r="P424" s="11"/>
      <c r="Q424" s="11"/>
      <c r="R424" s="11"/>
      <c r="CB424" s="11"/>
      <c r="CE424" s="11"/>
      <c r="CF424" s="11"/>
    </row>
    <row r="425" spans="4:84" x14ac:dyDescent="0.25">
      <c r="D425" s="11"/>
      <c r="E425" s="11"/>
      <c r="F425" s="11"/>
      <c r="G425" s="11"/>
      <c r="H425" s="11"/>
      <c r="I425" s="11"/>
      <c r="J425" s="11"/>
      <c r="N425" s="11"/>
      <c r="O425" s="11"/>
      <c r="P425" s="11"/>
      <c r="Q425" s="11"/>
      <c r="R425" s="11"/>
      <c r="CB425" s="11"/>
      <c r="CE425" s="11"/>
      <c r="CF425" s="11"/>
    </row>
    <row r="426" spans="4:84" x14ac:dyDescent="0.25">
      <c r="D426" s="11"/>
      <c r="E426" s="11"/>
      <c r="F426" s="11"/>
      <c r="G426" s="11"/>
      <c r="H426" s="11"/>
      <c r="I426" s="11"/>
      <c r="J426" s="11"/>
      <c r="N426" s="11"/>
      <c r="O426" s="11"/>
      <c r="P426" s="11"/>
      <c r="Q426" s="11"/>
      <c r="R426" s="11"/>
      <c r="CB426" s="11"/>
      <c r="CE426" s="11"/>
      <c r="CF426" s="11"/>
    </row>
    <row r="427" spans="4:84" x14ac:dyDescent="0.25">
      <c r="D427" s="11"/>
      <c r="E427" s="11"/>
      <c r="F427" s="11"/>
      <c r="G427" s="11"/>
      <c r="H427" s="11"/>
      <c r="I427" s="11"/>
      <c r="J427" s="11"/>
      <c r="N427" s="11"/>
      <c r="O427" s="11"/>
      <c r="P427" s="11"/>
      <c r="Q427" s="11"/>
      <c r="R427" s="11"/>
      <c r="CB427" s="11"/>
      <c r="CE427" s="11"/>
      <c r="CF427" s="11"/>
    </row>
    <row r="428" spans="4:84" x14ac:dyDescent="0.25">
      <c r="D428" s="11"/>
      <c r="E428" s="11"/>
      <c r="F428" s="11"/>
      <c r="G428" s="11"/>
      <c r="H428" s="11"/>
      <c r="I428" s="11"/>
      <c r="J428" s="11"/>
      <c r="N428" s="11"/>
      <c r="O428" s="11"/>
      <c r="P428" s="11"/>
      <c r="Q428" s="11"/>
      <c r="R428" s="11"/>
      <c r="CB428" s="11"/>
      <c r="CE428" s="11"/>
      <c r="CF428" s="11"/>
    </row>
    <row r="429" spans="4:84" x14ac:dyDescent="0.25">
      <c r="D429" s="11"/>
      <c r="E429" s="11"/>
      <c r="F429" s="11"/>
      <c r="G429" s="11"/>
      <c r="H429" s="11"/>
      <c r="I429" s="11"/>
      <c r="J429" s="11"/>
      <c r="N429" s="11"/>
      <c r="O429" s="11"/>
      <c r="P429" s="11"/>
      <c r="Q429" s="11"/>
      <c r="R429" s="11"/>
      <c r="CB429" s="11"/>
      <c r="CE429" s="11"/>
      <c r="CF429" s="11"/>
    </row>
    <row r="430" spans="4:84" x14ac:dyDescent="0.25">
      <c r="D430" s="11"/>
      <c r="E430" s="11"/>
      <c r="F430" s="11"/>
      <c r="G430" s="11"/>
      <c r="H430" s="11"/>
      <c r="I430" s="11"/>
      <c r="J430" s="11"/>
      <c r="N430" s="11"/>
      <c r="O430" s="11"/>
      <c r="P430" s="11"/>
      <c r="Q430" s="11"/>
      <c r="R430" s="11"/>
      <c r="CB430" s="11"/>
      <c r="CE430" s="11"/>
      <c r="CF430" s="11"/>
    </row>
    <row r="431" spans="4:84" x14ac:dyDescent="0.25">
      <c r="D431" s="11"/>
      <c r="E431" s="11"/>
      <c r="F431" s="11"/>
      <c r="G431" s="11"/>
      <c r="H431" s="11"/>
      <c r="I431" s="11"/>
      <c r="J431" s="11"/>
      <c r="N431" s="11"/>
      <c r="O431" s="11"/>
      <c r="P431" s="11"/>
      <c r="Q431" s="11"/>
      <c r="R431" s="11"/>
      <c r="CB431" s="11"/>
      <c r="CE431" s="11"/>
      <c r="CF431" s="11"/>
    </row>
    <row r="432" spans="4:84" x14ac:dyDescent="0.25">
      <c r="D432" s="11"/>
      <c r="E432" s="11"/>
      <c r="F432" s="11"/>
      <c r="G432" s="11"/>
      <c r="H432" s="11"/>
      <c r="I432" s="11"/>
      <c r="J432" s="11"/>
      <c r="N432" s="11"/>
      <c r="O432" s="11"/>
      <c r="P432" s="11"/>
      <c r="Q432" s="11"/>
      <c r="R432" s="11"/>
      <c r="CB432" s="11"/>
      <c r="CE432" s="11"/>
      <c r="CF432" s="11"/>
    </row>
    <row r="433" spans="4:84" x14ac:dyDescent="0.25">
      <c r="D433" s="11"/>
      <c r="E433" s="11"/>
      <c r="F433" s="11"/>
      <c r="G433" s="11"/>
      <c r="H433" s="11"/>
      <c r="I433" s="11"/>
      <c r="J433" s="11"/>
      <c r="N433" s="11"/>
      <c r="O433" s="11"/>
      <c r="P433" s="11"/>
      <c r="Q433" s="11"/>
      <c r="R433" s="11"/>
      <c r="CB433" s="11"/>
      <c r="CE433" s="11"/>
      <c r="CF433" s="11"/>
    </row>
    <row r="434" spans="4:84" x14ac:dyDescent="0.25">
      <c r="D434" s="11"/>
      <c r="E434" s="11"/>
      <c r="F434" s="11"/>
      <c r="G434" s="11"/>
      <c r="H434" s="11"/>
      <c r="I434" s="11"/>
      <c r="J434" s="11"/>
      <c r="N434" s="11"/>
      <c r="O434" s="11"/>
      <c r="P434" s="11"/>
      <c r="Q434" s="11"/>
      <c r="R434" s="11"/>
      <c r="CB434" s="11"/>
      <c r="CE434" s="11"/>
      <c r="CF434" s="11"/>
    </row>
    <row r="435" spans="4:84" x14ac:dyDescent="0.25">
      <c r="D435" s="11"/>
      <c r="E435" s="11"/>
      <c r="F435" s="11"/>
      <c r="G435" s="11"/>
      <c r="H435" s="11"/>
      <c r="I435" s="11"/>
      <c r="J435" s="11"/>
      <c r="N435" s="11"/>
      <c r="O435" s="11"/>
      <c r="P435" s="11"/>
      <c r="Q435" s="11"/>
      <c r="R435" s="11"/>
      <c r="CB435" s="11"/>
      <c r="CE435" s="11"/>
      <c r="CF435" s="11"/>
    </row>
    <row r="436" spans="4:84" x14ac:dyDescent="0.25">
      <c r="D436" s="11"/>
      <c r="E436" s="11"/>
      <c r="F436" s="11"/>
      <c r="G436" s="11"/>
      <c r="H436" s="11"/>
      <c r="I436" s="11"/>
      <c r="J436" s="11"/>
      <c r="N436" s="11"/>
      <c r="O436" s="11"/>
      <c r="P436" s="11"/>
      <c r="Q436" s="11"/>
      <c r="R436" s="11"/>
      <c r="CB436" s="11"/>
      <c r="CE436" s="11"/>
      <c r="CF436" s="11"/>
    </row>
    <row r="437" spans="4:84" x14ac:dyDescent="0.25">
      <c r="D437" s="11"/>
      <c r="E437" s="11"/>
      <c r="F437" s="11"/>
      <c r="G437" s="11"/>
      <c r="H437" s="11"/>
      <c r="I437" s="11"/>
      <c r="J437" s="11"/>
      <c r="N437" s="11"/>
      <c r="O437" s="11"/>
      <c r="P437" s="11"/>
      <c r="Q437" s="11"/>
      <c r="R437" s="11"/>
      <c r="CB437" s="11"/>
      <c r="CE437" s="11"/>
      <c r="CF437" s="11"/>
    </row>
    <row r="438" spans="4:84" x14ac:dyDescent="0.25">
      <c r="D438" s="11"/>
      <c r="E438" s="11"/>
      <c r="F438" s="11"/>
      <c r="G438" s="11"/>
      <c r="H438" s="11"/>
      <c r="I438" s="11"/>
      <c r="J438" s="11"/>
      <c r="N438" s="11"/>
      <c r="O438" s="11"/>
      <c r="P438" s="11"/>
      <c r="Q438" s="11"/>
      <c r="R438" s="11"/>
      <c r="CB438" s="11"/>
      <c r="CE438" s="11"/>
      <c r="CF438" s="11"/>
    </row>
    <row r="439" spans="4:84" x14ac:dyDescent="0.25">
      <c r="D439" s="11"/>
      <c r="E439" s="11"/>
      <c r="F439" s="11"/>
      <c r="G439" s="11"/>
      <c r="H439" s="11"/>
      <c r="I439" s="11"/>
      <c r="J439" s="11"/>
      <c r="N439" s="11"/>
      <c r="O439" s="11"/>
      <c r="P439" s="11"/>
      <c r="Q439" s="11"/>
      <c r="R439" s="11"/>
      <c r="CB439" s="11"/>
      <c r="CE439" s="11"/>
      <c r="CF439" s="11"/>
    </row>
    <row r="440" spans="4:84" x14ac:dyDescent="0.25">
      <c r="D440" s="11"/>
      <c r="E440" s="11"/>
      <c r="F440" s="11"/>
      <c r="G440" s="11"/>
      <c r="H440" s="11"/>
      <c r="I440" s="11"/>
      <c r="J440" s="11"/>
      <c r="N440" s="11"/>
      <c r="O440" s="11"/>
      <c r="P440" s="11"/>
      <c r="Q440" s="11"/>
      <c r="R440" s="11"/>
      <c r="CB440" s="11"/>
      <c r="CE440" s="11"/>
      <c r="CF440" s="11"/>
    </row>
    <row r="441" spans="4:84" x14ac:dyDescent="0.25">
      <c r="D441" s="11"/>
      <c r="E441" s="11"/>
      <c r="F441" s="11"/>
      <c r="G441" s="11"/>
      <c r="H441" s="11"/>
      <c r="I441" s="11"/>
      <c r="J441" s="11"/>
      <c r="N441" s="11"/>
      <c r="O441" s="11"/>
      <c r="P441" s="11"/>
      <c r="Q441" s="11"/>
      <c r="R441" s="11"/>
      <c r="CB441" s="11"/>
      <c r="CE441" s="11"/>
      <c r="CF441" s="11"/>
    </row>
    <row r="442" spans="4:84" x14ac:dyDescent="0.25">
      <c r="D442" s="11"/>
      <c r="E442" s="11"/>
      <c r="F442" s="11"/>
      <c r="G442" s="11"/>
      <c r="H442" s="11"/>
      <c r="I442" s="11"/>
      <c r="J442" s="11"/>
      <c r="N442" s="11"/>
      <c r="O442" s="11"/>
      <c r="P442" s="11"/>
      <c r="Q442" s="11"/>
      <c r="R442" s="11"/>
      <c r="CB442" s="11"/>
      <c r="CE442" s="11"/>
      <c r="CF442" s="11"/>
    </row>
    <row r="443" spans="4:84" x14ac:dyDescent="0.25">
      <c r="D443" s="11"/>
      <c r="E443" s="11"/>
      <c r="F443" s="11"/>
      <c r="G443" s="11"/>
      <c r="H443" s="11"/>
      <c r="I443" s="11"/>
      <c r="J443" s="11"/>
      <c r="N443" s="11"/>
      <c r="O443" s="11"/>
      <c r="P443" s="11"/>
      <c r="Q443" s="11"/>
      <c r="R443" s="11"/>
      <c r="CB443" s="11"/>
      <c r="CE443" s="11"/>
      <c r="CF443" s="11"/>
    </row>
    <row r="444" spans="4:84" x14ac:dyDescent="0.25">
      <c r="D444" s="11"/>
      <c r="E444" s="11"/>
      <c r="F444" s="11"/>
      <c r="G444" s="11"/>
      <c r="H444" s="11"/>
      <c r="I444" s="11"/>
      <c r="J444" s="11"/>
      <c r="N444" s="11"/>
      <c r="O444" s="11"/>
      <c r="P444" s="11"/>
      <c r="Q444" s="11"/>
      <c r="R444" s="11"/>
      <c r="CB444" s="11"/>
      <c r="CE444" s="11"/>
      <c r="CF444" s="11"/>
    </row>
    <row r="445" spans="4:84" x14ac:dyDescent="0.25">
      <c r="D445" s="11"/>
      <c r="E445" s="11"/>
      <c r="F445" s="11"/>
      <c r="G445" s="11"/>
      <c r="H445" s="11"/>
      <c r="I445" s="11"/>
      <c r="J445" s="11"/>
      <c r="N445" s="11"/>
      <c r="O445" s="11"/>
      <c r="P445" s="11"/>
      <c r="Q445" s="11"/>
      <c r="R445" s="11"/>
      <c r="CB445" s="11"/>
      <c r="CE445" s="11"/>
      <c r="CF445" s="11"/>
    </row>
    <row r="446" spans="4:84" x14ac:dyDescent="0.25">
      <c r="D446" s="11"/>
      <c r="E446" s="11"/>
      <c r="F446" s="11"/>
      <c r="G446" s="11"/>
      <c r="H446" s="11"/>
      <c r="I446" s="11"/>
      <c r="J446" s="11"/>
      <c r="N446" s="11"/>
      <c r="O446" s="11"/>
      <c r="P446" s="11"/>
      <c r="Q446" s="11"/>
      <c r="R446" s="11"/>
      <c r="CB446" s="11"/>
      <c r="CE446" s="11"/>
      <c r="CF446" s="11"/>
    </row>
    <row r="447" spans="4:84" x14ac:dyDescent="0.25">
      <c r="D447" s="11"/>
      <c r="E447" s="11"/>
      <c r="F447" s="11"/>
      <c r="G447" s="11"/>
      <c r="H447" s="11"/>
      <c r="I447" s="11"/>
      <c r="J447" s="11"/>
      <c r="N447" s="11"/>
      <c r="O447" s="11"/>
      <c r="P447" s="11"/>
      <c r="Q447" s="11"/>
      <c r="R447" s="11"/>
      <c r="CB447" s="11"/>
      <c r="CE447" s="11"/>
      <c r="CF447" s="11"/>
    </row>
    <row r="448" spans="4:84" x14ac:dyDescent="0.25">
      <c r="D448" s="11"/>
      <c r="E448" s="11"/>
      <c r="F448" s="11"/>
      <c r="G448" s="11"/>
      <c r="H448" s="11"/>
      <c r="I448" s="11"/>
      <c r="J448" s="11"/>
      <c r="N448" s="11"/>
      <c r="O448" s="11"/>
      <c r="P448" s="11"/>
      <c r="Q448" s="11"/>
      <c r="R448" s="11"/>
      <c r="CB448" s="11"/>
      <c r="CE448" s="11"/>
      <c r="CF448" s="11"/>
    </row>
    <row r="449" spans="4:84" x14ac:dyDescent="0.25">
      <c r="D449" s="11"/>
      <c r="E449" s="11"/>
      <c r="F449" s="11"/>
      <c r="G449" s="11"/>
      <c r="H449" s="11"/>
      <c r="I449" s="11"/>
      <c r="J449" s="11"/>
      <c r="N449" s="11"/>
      <c r="O449" s="11"/>
      <c r="P449" s="11"/>
      <c r="Q449" s="11"/>
      <c r="R449" s="11"/>
      <c r="CB449" s="11"/>
      <c r="CE449" s="11"/>
      <c r="CF449" s="11"/>
    </row>
    <row r="450" spans="4:84" x14ac:dyDescent="0.25">
      <c r="D450" s="11"/>
      <c r="E450" s="11"/>
      <c r="F450" s="11"/>
      <c r="G450" s="11"/>
      <c r="H450" s="11"/>
      <c r="I450" s="11"/>
      <c r="J450" s="11"/>
      <c r="N450" s="11"/>
      <c r="O450" s="11"/>
      <c r="P450" s="11"/>
      <c r="Q450" s="11"/>
      <c r="R450" s="11"/>
      <c r="CB450" s="11"/>
      <c r="CE450" s="11"/>
      <c r="CF450" s="11"/>
    </row>
    <row r="451" spans="4:84" x14ac:dyDescent="0.25">
      <c r="D451" s="11"/>
      <c r="E451" s="11"/>
      <c r="F451" s="11"/>
      <c r="G451" s="11"/>
      <c r="H451" s="11"/>
      <c r="I451" s="11"/>
      <c r="J451" s="11"/>
      <c r="N451" s="11"/>
      <c r="O451" s="11"/>
      <c r="P451" s="11"/>
      <c r="Q451" s="11"/>
      <c r="R451" s="11"/>
      <c r="CB451" s="11"/>
      <c r="CE451" s="11"/>
      <c r="CF451" s="11"/>
    </row>
    <row r="452" spans="4:84" x14ac:dyDescent="0.25">
      <c r="D452" s="11"/>
      <c r="E452" s="11"/>
      <c r="F452" s="11"/>
      <c r="G452" s="11"/>
      <c r="H452" s="11"/>
      <c r="I452" s="11"/>
      <c r="J452" s="11"/>
      <c r="N452" s="11"/>
      <c r="O452" s="11"/>
      <c r="P452" s="11"/>
      <c r="Q452" s="11"/>
      <c r="R452" s="11"/>
      <c r="CB452" s="11"/>
      <c r="CE452" s="11"/>
      <c r="CF452" s="11"/>
    </row>
    <row r="453" spans="4:84" x14ac:dyDescent="0.25">
      <c r="D453" s="11"/>
      <c r="E453" s="11"/>
      <c r="F453" s="11"/>
      <c r="G453" s="11"/>
      <c r="H453" s="11"/>
      <c r="I453" s="11"/>
      <c r="J453" s="11"/>
      <c r="N453" s="11"/>
      <c r="O453" s="11"/>
      <c r="P453" s="11"/>
      <c r="Q453" s="11"/>
      <c r="R453" s="11"/>
      <c r="CB453" s="11"/>
      <c r="CE453" s="11"/>
      <c r="CF453" s="11"/>
    </row>
    <row r="454" spans="4:84" x14ac:dyDescent="0.25">
      <c r="D454" s="11"/>
      <c r="E454" s="11"/>
      <c r="F454" s="11"/>
      <c r="G454" s="11"/>
      <c r="H454" s="11"/>
      <c r="I454" s="11"/>
      <c r="J454" s="11"/>
      <c r="N454" s="11"/>
      <c r="O454" s="11"/>
      <c r="P454" s="11"/>
      <c r="Q454" s="11"/>
      <c r="R454" s="11"/>
      <c r="CB454" s="11"/>
      <c r="CE454" s="11"/>
      <c r="CF454" s="11"/>
    </row>
    <row r="455" spans="4:84" x14ac:dyDescent="0.25">
      <c r="D455" s="11"/>
      <c r="E455" s="11"/>
      <c r="F455" s="11"/>
      <c r="G455" s="11"/>
      <c r="H455" s="11"/>
      <c r="I455" s="11"/>
      <c r="J455" s="11"/>
      <c r="N455" s="11"/>
      <c r="O455" s="11"/>
      <c r="P455" s="11"/>
      <c r="Q455" s="11"/>
      <c r="R455" s="11"/>
      <c r="CB455" s="11"/>
      <c r="CE455" s="11"/>
      <c r="CF455" s="11"/>
    </row>
    <row r="456" spans="4:84" x14ac:dyDescent="0.25">
      <c r="D456" s="11"/>
      <c r="E456" s="11"/>
      <c r="F456" s="11"/>
      <c r="G456" s="11"/>
      <c r="H456" s="11"/>
      <c r="I456" s="11"/>
      <c r="J456" s="11"/>
      <c r="N456" s="11"/>
      <c r="O456" s="11"/>
      <c r="P456" s="11"/>
      <c r="Q456" s="11"/>
      <c r="R456" s="11"/>
      <c r="CB456" s="11"/>
      <c r="CE456" s="11"/>
      <c r="CF456" s="11"/>
    </row>
    <row r="457" spans="4:84" x14ac:dyDescent="0.25">
      <c r="D457" s="11"/>
      <c r="E457" s="11"/>
      <c r="F457" s="11"/>
      <c r="G457" s="11"/>
      <c r="H457" s="11"/>
      <c r="I457" s="11"/>
      <c r="J457" s="11"/>
      <c r="N457" s="11"/>
      <c r="O457" s="11"/>
      <c r="P457" s="11"/>
      <c r="Q457" s="11"/>
      <c r="R457" s="11"/>
      <c r="CB457" s="11"/>
      <c r="CE457" s="11"/>
      <c r="CF457" s="11"/>
    </row>
    <row r="458" spans="4:84" x14ac:dyDescent="0.25">
      <c r="D458" s="11"/>
      <c r="E458" s="11"/>
      <c r="F458" s="11"/>
      <c r="G458" s="11"/>
      <c r="H458" s="11"/>
      <c r="I458" s="11"/>
      <c r="J458" s="11"/>
      <c r="N458" s="11"/>
      <c r="O458" s="11"/>
      <c r="P458" s="11"/>
      <c r="Q458" s="11"/>
      <c r="R458" s="11"/>
      <c r="CB458" s="11"/>
      <c r="CE458" s="11"/>
      <c r="CF458" s="11"/>
    </row>
    <row r="459" spans="4:84" x14ac:dyDescent="0.25">
      <c r="D459" s="11"/>
      <c r="E459" s="11"/>
      <c r="F459" s="11"/>
      <c r="G459" s="11"/>
      <c r="H459" s="11"/>
      <c r="I459" s="11"/>
      <c r="J459" s="11"/>
      <c r="N459" s="11"/>
      <c r="O459" s="11"/>
      <c r="P459" s="11"/>
      <c r="Q459" s="11"/>
      <c r="R459" s="11"/>
      <c r="CB459" s="11"/>
      <c r="CE459" s="11"/>
      <c r="CF459" s="11"/>
    </row>
    <row r="460" spans="4:84" x14ac:dyDescent="0.25">
      <c r="D460" s="11"/>
      <c r="E460" s="11"/>
      <c r="F460" s="11"/>
      <c r="G460" s="11"/>
      <c r="H460" s="11"/>
      <c r="I460" s="11"/>
      <c r="J460" s="11"/>
      <c r="N460" s="11"/>
      <c r="O460" s="11"/>
      <c r="P460" s="11"/>
      <c r="Q460" s="11"/>
      <c r="R460" s="11"/>
      <c r="CB460" s="11"/>
      <c r="CE460" s="11"/>
      <c r="CF460" s="11"/>
    </row>
    <row r="461" spans="4:84" x14ac:dyDescent="0.25">
      <c r="D461" s="11"/>
      <c r="E461" s="11"/>
      <c r="F461" s="11"/>
      <c r="G461" s="11"/>
      <c r="H461" s="11"/>
      <c r="I461" s="11"/>
      <c r="J461" s="11"/>
      <c r="N461" s="11"/>
      <c r="O461" s="11"/>
      <c r="P461" s="11"/>
      <c r="Q461" s="11"/>
      <c r="R461" s="11"/>
      <c r="CB461" s="11"/>
      <c r="CE461" s="11"/>
      <c r="CF461" s="11"/>
    </row>
    <row r="462" spans="4:84" x14ac:dyDescent="0.25">
      <c r="D462" s="11"/>
      <c r="E462" s="11"/>
      <c r="F462" s="11"/>
      <c r="G462" s="11"/>
      <c r="H462" s="11"/>
      <c r="I462" s="11"/>
      <c r="J462" s="11"/>
      <c r="N462" s="11"/>
      <c r="O462" s="11"/>
      <c r="P462" s="11"/>
      <c r="Q462" s="11"/>
      <c r="R462" s="11"/>
      <c r="CB462" s="11"/>
      <c r="CE462" s="11"/>
      <c r="CF462" s="11"/>
    </row>
    <row r="463" spans="4:84" x14ac:dyDescent="0.25">
      <c r="D463" s="11"/>
      <c r="E463" s="11"/>
      <c r="F463" s="11"/>
      <c r="G463" s="11"/>
      <c r="H463" s="11"/>
      <c r="I463" s="11"/>
      <c r="J463" s="11"/>
      <c r="N463" s="11"/>
      <c r="O463" s="11"/>
      <c r="P463" s="11"/>
      <c r="Q463" s="11"/>
      <c r="R463" s="11"/>
      <c r="CB463" s="11"/>
      <c r="CE463" s="11"/>
      <c r="CF463" s="11"/>
    </row>
    <row r="464" spans="4:84" x14ac:dyDescent="0.25">
      <c r="D464" s="11"/>
      <c r="E464" s="11"/>
      <c r="F464" s="11"/>
      <c r="G464" s="11"/>
      <c r="H464" s="11"/>
      <c r="I464" s="11"/>
      <c r="J464" s="11"/>
      <c r="N464" s="11"/>
      <c r="O464" s="11"/>
      <c r="P464" s="11"/>
      <c r="Q464" s="11"/>
      <c r="R464" s="11"/>
      <c r="CB464" s="11"/>
      <c r="CE464" s="11"/>
      <c r="CF464" s="11"/>
    </row>
    <row r="465" spans="4:84" x14ac:dyDescent="0.25">
      <c r="D465" s="11"/>
      <c r="E465" s="11"/>
      <c r="F465" s="11"/>
      <c r="G465" s="11"/>
      <c r="H465" s="11"/>
      <c r="I465" s="11"/>
      <c r="J465" s="11"/>
      <c r="N465" s="11"/>
      <c r="O465" s="11"/>
      <c r="P465" s="11"/>
      <c r="Q465" s="11"/>
      <c r="R465" s="11"/>
      <c r="CB465" s="11"/>
      <c r="CE465" s="11"/>
      <c r="CF465" s="11"/>
    </row>
    <row r="466" spans="4:84" x14ac:dyDescent="0.25">
      <c r="D466" s="11"/>
      <c r="E466" s="11"/>
      <c r="F466" s="11"/>
      <c r="G466" s="11"/>
      <c r="H466" s="11"/>
      <c r="I466" s="11"/>
      <c r="J466" s="11"/>
      <c r="N466" s="11"/>
      <c r="O466" s="11"/>
      <c r="P466" s="11"/>
      <c r="Q466" s="11"/>
      <c r="R466" s="11"/>
      <c r="CB466" s="11"/>
      <c r="CE466" s="11"/>
      <c r="CF466" s="11"/>
    </row>
    <row r="467" spans="4:84" x14ac:dyDescent="0.25">
      <c r="D467" s="11"/>
      <c r="E467" s="11"/>
      <c r="F467" s="11"/>
      <c r="G467" s="11"/>
      <c r="H467" s="11"/>
      <c r="I467" s="11"/>
      <c r="J467" s="11"/>
      <c r="N467" s="11"/>
      <c r="O467" s="11"/>
      <c r="P467" s="11"/>
      <c r="Q467" s="11"/>
      <c r="R467" s="11"/>
      <c r="CB467" s="11"/>
      <c r="CE467" s="11"/>
      <c r="CF467" s="11"/>
    </row>
    <row r="468" spans="4:84" x14ac:dyDescent="0.25">
      <c r="D468" s="11"/>
      <c r="E468" s="11"/>
      <c r="F468" s="11"/>
      <c r="G468" s="11"/>
      <c r="H468" s="11"/>
      <c r="I468" s="11"/>
      <c r="J468" s="11"/>
      <c r="N468" s="11"/>
      <c r="O468" s="11"/>
      <c r="P468" s="11"/>
      <c r="Q468" s="11"/>
      <c r="R468" s="11"/>
      <c r="CB468" s="11"/>
      <c r="CE468" s="11"/>
      <c r="CF468" s="11"/>
    </row>
    <row r="469" spans="4:84" x14ac:dyDescent="0.25">
      <c r="D469" s="11"/>
      <c r="E469" s="11"/>
      <c r="F469" s="11"/>
      <c r="G469" s="11"/>
      <c r="H469" s="11"/>
      <c r="I469" s="11"/>
      <c r="J469" s="11"/>
      <c r="N469" s="11"/>
      <c r="O469" s="11"/>
      <c r="P469" s="11"/>
      <c r="Q469" s="11"/>
      <c r="R469" s="11"/>
      <c r="CB469" s="11"/>
      <c r="CE469" s="11"/>
      <c r="CF469" s="11"/>
    </row>
    <row r="470" spans="4:84" x14ac:dyDescent="0.25">
      <c r="D470" s="11"/>
      <c r="E470" s="11"/>
      <c r="F470" s="11"/>
      <c r="G470" s="11"/>
      <c r="H470" s="11"/>
      <c r="I470" s="11"/>
      <c r="J470" s="11"/>
      <c r="N470" s="11"/>
      <c r="O470" s="11"/>
      <c r="P470" s="11"/>
      <c r="Q470" s="11"/>
      <c r="R470" s="11"/>
      <c r="CB470" s="11"/>
      <c r="CE470" s="11"/>
      <c r="CF470" s="11"/>
    </row>
    <row r="471" spans="4:84" x14ac:dyDescent="0.25">
      <c r="D471" s="11"/>
      <c r="E471" s="11"/>
      <c r="F471" s="11"/>
      <c r="G471" s="11"/>
      <c r="H471" s="11"/>
      <c r="I471" s="11"/>
      <c r="J471" s="11"/>
      <c r="N471" s="11"/>
      <c r="O471" s="11"/>
      <c r="P471" s="11"/>
      <c r="Q471" s="11"/>
      <c r="R471" s="11"/>
      <c r="CB471" s="11"/>
      <c r="CE471" s="11"/>
      <c r="CF471" s="11"/>
    </row>
    <row r="472" spans="4:84" x14ac:dyDescent="0.25">
      <c r="D472" s="11"/>
      <c r="E472" s="11"/>
      <c r="F472" s="11"/>
      <c r="G472" s="11"/>
      <c r="H472" s="11"/>
      <c r="I472" s="11"/>
      <c r="J472" s="11"/>
      <c r="N472" s="11"/>
      <c r="O472" s="11"/>
      <c r="P472" s="11"/>
      <c r="Q472" s="11"/>
      <c r="R472" s="11"/>
      <c r="CB472" s="11"/>
      <c r="CE472" s="11"/>
      <c r="CF472" s="11"/>
    </row>
    <row r="473" spans="4:84" x14ac:dyDescent="0.25">
      <c r="D473" s="11"/>
      <c r="E473" s="11"/>
      <c r="F473" s="11"/>
      <c r="G473" s="11"/>
      <c r="H473" s="11"/>
      <c r="I473" s="11"/>
      <c r="J473" s="11"/>
      <c r="N473" s="11"/>
      <c r="O473" s="11"/>
      <c r="P473" s="11"/>
      <c r="Q473" s="11"/>
      <c r="R473" s="11"/>
      <c r="CB473" s="11"/>
      <c r="CE473" s="11"/>
      <c r="CF473" s="11"/>
    </row>
    <row r="474" spans="4:84" x14ac:dyDescent="0.25">
      <c r="D474" s="11"/>
      <c r="E474" s="11"/>
      <c r="F474" s="11"/>
      <c r="G474" s="11"/>
      <c r="H474" s="11"/>
      <c r="I474" s="11"/>
      <c r="J474" s="11"/>
      <c r="N474" s="11"/>
      <c r="O474" s="11"/>
      <c r="P474" s="11"/>
      <c r="Q474" s="11"/>
      <c r="R474" s="11"/>
      <c r="CB474" s="11"/>
      <c r="CE474" s="11"/>
      <c r="CF474" s="11"/>
    </row>
    <row r="475" spans="4:84" x14ac:dyDescent="0.25">
      <c r="D475" s="11"/>
      <c r="E475" s="11"/>
      <c r="F475" s="11"/>
      <c r="G475" s="11"/>
      <c r="H475" s="11"/>
      <c r="I475" s="11"/>
      <c r="J475" s="11"/>
      <c r="N475" s="11"/>
      <c r="O475" s="11"/>
      <c r="P475" s="11"/>
      <c r="Q475" s="11"/>
      <c r="R475" s="11"/>
      <c r="CB475" s="11"/>
      <c r="CE475" s="11"/>
      <c r="CF475" s="11"/>
    </row>
    <row r="476" spans="4:84" x14ac:dyDescent="0.25">
      <c r="D476" s="11"/>
      <c r="E476" s="11"/>
      <c r="F476" s="11"/>
      <c r="G476" s="11"/>
      <c r="H476" s="11"/>
      <c r="I476" s="11"/>
      <c r="J476" s="11"/>
      <c r="N476" s="11"/>
      <c r="O476" s="11"/>
      <c r="P476" s="11"/>
      <c r="Q476" s="11"/>
      <c r="R476" s="11"/>
      <c r="CB476" s="11"/>
      <c r="CE476" s="11"/>
      <c r="CF476" s="11"/>
    </row>
    <row r="477" spans="4:84" x14ac:dyDescent="0.25">
      <c r="D477" s="11"/>
      <c r="E477" s="11"/>
      <c r="F477" s="11"/>
      <c r="G477" s="11"/>
      <c r="H477" s="11"/>
      <c r="I477" s="11"/>
      <c r="J477" s="11"/>
      <c r="N477" s="11"/>
      <c r="O477" s="11"/>
      <c r="P477" s="11"/>
      <c r="Q477" s="11"/>
      <c r="R477" s="11"/>
      <c r="CB477" s="11"/>
      <c r="CE477" s="11"/>
      <c r="CF477" s="11"/>
    </row>
    <row r="478" spans="4:84" x14ac:dyDescent="0.25">
      <c r="D478" s="11"/>
      <c r="E478" s="11"/>
      <c r="F478" s="11"/>
      <c r="G478" s="11"/>
      <c r="H478" s="11"/>
      <c r="I478" s="11"/>
      <c r="J478" s="11"/>
      <c r="N478" s="11"/>
      <c r="O478" s="11"/>
      <c r="P478" s="11"/>
      <c r="Q478" s="11"/>
      <c r="R478" s="11"/>
      <c r="CB478" s="11"/>
      <c r="CE478" s="11"/>
      <c r="CF478" s="11"/>
    </row>
    <row r="479" spans="4:84" x14ac:dyDescent="0.25">
      <c r="D479" s="11"/>
      <c r="E479" s="11"/>
      <c r="F479" s="11"/>
      <c r="G479" s="11"/>
      <c r="H479" s="11"/>
      <c r="I479" s="11"/>
      <c r="J479" s="11"/>
      <c r="N479" s="11"/>
      <c r="O479" s="11"/>
      <c r="P479" s="11"/>
      <c r="Q479" s="11"/>
      <c r="R479" s="11"/>
      <c r="CB479" s="11"/>
      <c r="CE479" s="11"/>
      <c r="CF479" s="11"/>
    </row>
    <row r="480" spans="4:84" x14ac:dyDescent="0.25">
      <c r="D480" s="11"/>
      <c r="E480" s="11"/>
      <c r="F480" s="11"/>
      <c r="G480" s="11"/>
      <c r="H480" s="11"/>
      <c r="I480" s="11"/>
      <c r="J480" s="11"/>
      <c r="N480" s="11"/>
      <c r="O480" s="11"/>
      <c r="P480" s="11"/>
      <c r="Q480" s="11"/>
      <c r="R480" s="11"/>
      <c r="CB480" s="11"/>
      <c r="CE480" s="11"/>
      <c r="CF480" s="11"/>
    </row>
    <row r="481" spans="4:84" x14ac:dyDescent="0.25">
      <c r="D481" s="11"/>
      <c r="E481" s="11"/>
      <c r="F481" s="11"/>
      <c r="G481" s="11"/>
      <c r="H481" s="11"/>
      <c r="I481" s="11"/>
      <c r="J481" s="11"/>
      <c r="N481" s="11"/>
      <c r="O481" s="11"/>
      <c r="P481" s="11"/>
      <c r="Q481" s="11"/>
      <c r="R481" s="11"/>
      <c r="CB481" s="11"/>
      <c r="CE481" s="11"/>
      <c r="CF481" s="11"/>
    </row>
    <row r="482" spans="4:84" x14ac:dyDescent="0.25">
      <c r="D482" s="11"/>
      <c r="E482" s="11"/>
      <c r="F482" s="11"/>
      <c r="G482" s="11"/>
      <c r="H482" s="11"/>
      <c r="I482" s="11"/>
      <c r="J482" s="11"/>
      <c r="N482" s="11"/>
      <c r="O482" s="11"/>
      <c r="P482" s="11"/>
      <c r="Q482" s="11"/>
      <c r="R482" s="11"/>
      <c r="CB482" s="11"/>
      <c r="CE482" s="11"/>
      <c r="CF482" s="11"/>
    </row>
    <row r="483" spans="4:84" x14ac:dyDescent="0.25">
      <c r="D483" s="11"/>
      <c r="E483" s="11"/>
      <c r="F483" s="11"/>
      <c r="G483" s="11"/>
      <c r="H483" s="11"/>
      <c r="I483" s="11"/>
      <c r="J483" s="11"/>
      <c r="N483" s="11"/>
      <c r="O483" s="11"/>
      <c r="P483" s="11"/>
      <c r="Q483" s="11"/>
      <c r="R483" s="11"/>
      <c r="CB483" s="11"/>
      <c r="CE483" s="11"/>
      <c r="CF483" s="11"/>
    </row>
    <row r="484" spans="4:84" x14ac:dyDescent="0.25">
      <c r="D484" s="11"/>
      <c r="E484" s="11"/>
      <c r="F484" s="11"/>
      <c r="G484" s="11"/>
      <c r="H484" s="11"/>
      <c r="I484" s="11"/>
      <c r="J484" s="11"/>
      <c r="N484" s="11"/>
      <c r="O484" s="11"/>
      <c r="P484" s="11"/>
      <c r="Q484" s="11"/>
      <c r="R484" s="11"/>
      <c r="CB484" s="11"/>
      <c r="CE484" s="11"/>
      <c r="CF484" s="11"/>
    </row>
    <row r="485" spans="4:84" x14ac:dyDescent="0.25">
      <c r="D485" s="11"/>
      <c r="E485" s="11"/>
      <c r="F485" s="11"/>
      <c r="G485" s="11"/>
      <c r="H485" s="11"/>
      <c r="I485" s="11"/>
      <c r="J485" s="11"/>
      <c r="N485" s="11"/>
      <c r="O485" s="11"/>
      <c r="P485" s="11"/>
      <c r="Q485" s="11"/>
      <c r="R485" s="11"/>
      <c r="CB485" s="11"/>
      <c r="CE485" s="11"/>
      <c r="CF485" s="11"/>
    </row>
    <row r="486" spans="4:84" x14ac:dyDescent="0.25">
      <c r="D486" s="11"/>
      <c r="E486" s="11"/>
      <c r="F486" s="11"/>
      <c r="G486" s="11"/>
      <c r="H486" s="11"/>
      <c r="I486" s="11"/>
      <c r="J486" s="11"/>
      <c r="N486" s="11"/>
      <c r="O486" s="11"/>
      <c r="P486" s="11"/>
      <c r="Q486" s="11"/>
      <c r="R486" s="11"/>
      <c r="CB486" s="11"/>
      <c r="CE486" s="11"/>
      <c r="CF486" s="11"/>
    </row>
    <row r="487" spans="4:84" x14ac:dyDescent="0.25">
      <c r="D487" s="11"/>
      <c r="E487" s="11"/>
      <c r="F487" s="11"/>
      <c r="G487" s="11"/>
      <c r="H487" s="11"/>
      <c r="I487" s="11"/>
      <c r="J487" s="11"/>
      <c r="N487" s="11"/>
      <c r="O487" s="11"/>
      <c r="P487" s="11"/>
      <c r="Q487" s="11"/>
      <c r="R487" s="11"/>
      <c r="CB487" s="11"/>
      <c r="CE487" s="11"/>
      <c r="CF487" s="11"/>
    </row>
    <row r="488" spans="4:84" x14ac:dyDescent="0.25">
      <c r="D488" s="11"/>
      <c r="E488" s="11"/>
      <c r="F488" s="11"/>
      <c r="G488" s="11"/>
      <c r="H488" s="11"/>
      <c r="I488" s="11"/>
      <c r="J488" s="11"/>
      <c r="N488" s="11"/>
      <c r="O488" s="11"/>
      <c r="P488" s="11"/>
      <c r="Q488" s="11"/>
      <c r="R488" s="11"/>
      <c r="CB488" s="11"/>
      <c r="CE488" s="11"/>
      <c r="CF488" s="11"/>
    </row>
    <row r="489" spans="4:84" x14ac:dyDescent="0.25">
      <c r="D489" s="11"/>
      <c r="E489" s="11"/>
      <c r="F489" s="11"/>
      <c r="G489" s="11"/>
      <c r="H489" s="11"/>
      <c r="I489" s="11"/>
      <c r="J489" s="11"/>
      <c r="N489" s="11"/>
      <c r="O489" s="11"/>
      <c r="P489" s="11"/>
      <c r="Q489" s="11"/>
      <c r="R489" s="11"/>
      <c r="CB489" s="11"/>
      <c r="CE489" s="11"/>
      <c r="CF489" s="11"/>
    </row>
    <row r="490" spans="4:84" x14ac:dyDescent="0.25">
      <c r="D490" s="11"/>
      <c r="E490" s="11"/>
      <c r="F490" s="11"/>
      <c r="G490" s="11"/>
      <c r="H490" s="11"/>
      <c r="I490" s="11"/>
      <c r="J490" s="11"/>
      <c r="N490" s="11"/>
      <c r="O490" s="11"/>
      <c r="P490" s="11"/>
      <c r="Q490" s="11"/>
      <c r="R490" s="11"/>
      <c r="CB490" s="11"/>
      <c r="CE490" s="11"/>
      <c r="CF490" s="11"/>
    </row>
    <row r="491" spans="4:84" x14ac:dyDescent="0.25">
      <c r="D491" s="11"/>
      <c r="E491" s="11"/>
      <c r="F491" s="11"/>
      <c r="G491" s="11"/>
      <c r="H491" s="11"/>
      <c r="I491" s="11"/>
      <c r="J491" s="11"/>
      <c r="N491" s="11"/>
      <c r="O491" s="11"/>
      <c r="P491" s="11"/>
      <c r="Q491" s="11"/>
      <c r="R491" s="11"/>
      <c r="CB491" s="11"/>
      <c r="CE491" s="11"/>
      <c r="CF491" s="11"/>
    </row>
    <row r="492" spans="4:84" x14ac:dyDescent="0.25">
      <c r="D492" s="11"/>
      <c r="E492" s="11"/>
      <c r="F492" s="11"/>
      <c r="G492" s="11"/>
      <c r="H492" s="11"/>
      <c r="I492" s="11"/>
      <c r="J492" s="11"/>
      <c r="N492" s="11"/>
      <c r="O492" s="11"/>
      <c r="P492" s="11"/>
      <c r="Q492" s="11"/>
      <c r="R492" s="11"/>
      <c r="CB492" s="11"/>
      <c r="CE492" s="11"/>
      <c r="CF492" s="11"/>
    </row>
    <row r="493" spans="4:84" x14ac:dyDescent="0.25">
      <c r="D493" s="11"/>
      <c r="E493" s="11"/>
      <c r="F493" s="11"/>
      <c r="G493" s="11"/>
      <c r="H493" s="11"/>
      <c r="I493" s="11"/>
      <c r="J493" s="11"/>
      <c r="N493" s="11"/>
      <c r="O493" s="11"/>
      <c r="P493" s="11"/>
      <c r="Q493" s="11"/>
      <c r="R493" s="11"/>
      <c r="CB493" s="11"/>
      <c r="CE493" s="11"/>
      <c r="CF493" s="11"/>
    </row>
    <row r="494" spans="4:84" x14ac:dyDescent="0.25">
      <c r="D494" s="11"/>
      <c r="E494" s="11"/>
      <c r="F494" s="11"/>
      <c r="G494" s="11"/>
      <c r="H494" s="11"/>
      <c r="I494" s="11"/>
      <c r="J494" s="11"/>
      <c r="N494" s="11"/>
      <c r="O494" s="11"/>
      <c r="P494" s="11"/>
      <c r="Q494" s="11"/>
      <c r="R494" s="11"/>
      <c r="CB494" s="11"/>
      <c r="CE494" s="11"/>
      <c r="CF494" s="11"/>
    </row>
    <row r="495" spans="4:84" x14ac:dyDescent="0.25">
      <c r="D495" s="11"/>
      <c r="E495" s="11"/>
      <c r="F495" s="11"/>
      <c r="G495" s="11"/>
      <c r="H495" s="11"/>
      <c r="I495" s="11"/>
      <c r="J495" s="11"/>
      <c r="N495" s="11"/>
      <c r="O495" s="11"/>
      <c r="P495" s="11"/>
      <c r="Q495" s="11"/>
      <c r="R495" s="11"/>
      <c r="CB495" s="11"/>
      <c r="CE495" s="11"/>
      <c r="CF495" s="11"/>
    </row>
    <row r="496" spans="4:84" x14ac:dyDescent="0.25">
      <c r="D496" s="11"/>
      <c r="E496" s="11"/>
      <c r="F496" s="11"/>
      <c r="G496" s="11"/>
      <c r="H496" s="11"/>
      <c r="I496" s="11"/>
      <c r="J496" s="11"/>
      <c r="N496" s="11"/>
      <c r="O496" s="11"/>
      <c r="P496" s="11"/>
      <c r="Q496" s="11"/>
      <c r="R496" s="11"/>
      <c r="CB496" s="11"/>
      <c r="CE496" s="11"/>
      <c r="CF496" s="11"/>
    </row>
    <row r="497" spans="4:84" x14ac:dyDescent="0.25">
      <c r="D497" s="11"/>
      <c r="E497" s="11"/>
      <c r="F497" s="11"/>
      <c r="G497" s="11"/>
      <c r="H497" s="11"/>
      <c r="I497" s="11"/>
      <c r="J497" s="11"/>
      <c r="N497" s="11"/>
      <c r="O497" s="11"/>
      <c r="P497" s="11"/>
      <c r="Q497" s="11"/>
      <c r="R497" s="11"/>
      <c r="CB497" s="11"/>
      <c r="CE497" s="11"/>
      <c r="CF497" s="11"/>
    </row>
    <row r="498" spans="4:84" x14ac:dyDescent="0.25">
      <c r="D498" s="11"/>
      <c r="E498" s="11"/>
      <c r="F498" s="11"/>
      <c r="G498" s="11"/>
      <c r="H498" s="11"/>
      <c r="I498" s="11"/>
      <c r="J498" s="11"/>
      <c r="N498" s="11"/>
      <c r="O498" s="11"/>
      <c r="P498" s="11"/>
      <c r="Q498" s="11"/>
      <c r="R498" s="11"/>
      <c r="CB498" s="11"/>
      <c r="CE498" s="11"/>
      <c r="CF498" s="11"/>
    </row>
    <row r="499" spans="4:84" x14ac:dyDescent="0.25">
      <c r="D499" s="11"/>
      <c r="E499" s="11"/>
      <c r="F499" s="11"/>
      <c r="G499" s="11"/>
      <c r="H499" s="11"/>
      <c r="I499" s="11"/>
      <c r="J499" s="11"/>
      <c r="N499" s="11"/>
      <c r="O499" s="11"/>
      <c r="P499" s="11"/>
      <c r="Q499" s="11"/>
      <c r="R499" s="11"/>
      <c r="CB499" s="11"/>
      <c r="CE499" s="11"/>
      <c r="CF499" s="11"/>
    </row>
    <row r="500" spans="4:84" x14ac:dyDescent="0.25">
      <c r="D500" s="11"/>
      <c r="E500" s="11"/>
      <c r="F500" s="11"/>
      <c r="G500" s="11"/>
      <c r="H500" s="11"/>
      <c r="I500" s="11"/>
      <c r="J500" s="11"/>
      <c r="N500" s="11"/>
      <c r="O500" s="11"/>
      <c r="P500" s="11"/>
      <c r="Q500" s="11"/>
      <c r="R500" s="11"/>
      <c r="CB500" s="11"/>
      <c r="CE500" s="11"/>
      <c r="CF500" s="11"/>
    </row>
    <row r="501" spans="4:84" x14ac:dyDescent="0.25">
      <c r="D501" s="11"/>
      <c r="E501" s="11"/>
      <c r="F501" s="11"/>
      <c r="G501" s="11"/>
      <c r="H501" s="11"/>
      <c r="I501" s="11"/>
      <c r="J501" s="11"/>
      <c r="N501" s="11"/>
      <c r="O501" s="11"/>
      <c r="P501" s="11"/>
      <c r="Q501" s="11"/>
      <c r="R501" s="11"/>
      <c r="CB501" s="11"/>
      <c r="CE501" s="11"/>
      <c r="CF501" s="11"/>
    </row>
    <row r="502" spans="4:84" x14ac:dyDescent="0.25">
      <c r="D502" s="11"/>
      <c r="E502" s="11"/>
      <c r="F502" s="11"/>
      <c r="G502" s="11"/>
      <c r="H502" s="11"/>
      <c r="I502" s="11"/>
      <c r="J502" s="11"/>
      <c r="N502" s="11"/>
      <c r="O502" s="11"/>
      <c r="P502" s="11"/>
      <c r="Q502" s="11"/>
      <c r="R502" s="11"/>
      <c r="CB502" s="11"/>
      <c r="CE502" s="11"/>
      <c r="CF502" s="11"/>
    </row>
    <row r="503" spans="4:84" x14ac:dyDescent="0.25">
      <c r="D503" s="11"/>
      <c r="E503" s="11"/>
      <c r="F503" s="11"/>
      <c r="G503" s="11"/>
      <c r="H503" s="11"/>
      <c r="I503" s="11"/>
      <c r="J503" s="11"/>
      <c r="N503" s="11"/>
      <c r="O503" s="11"/>
      <c r="P503" s="11"/>
      <c r="Q503" s="11"/>
      <c r="R503" s="11"/>
      <c r="CB503" s="11"/>
      <c r="CE503" s="11"/>
      <c r="CF503" s="11"/>
    </row>
    <row r="504" spans="4:84" x14ac:dyDescent="0.25">
      <c r="D504" s="11"/>
      <c r="E504" s="11"/>
      <c r="F504" s="11"/>
      <c r="G504" s="11"/>
      <c r="H504" s="11"/>
      <c r="I504" s="11"/>
      <c r="J504" s="11"/>
      <c r="N504" s="11"/>
      <c r="O504" s="11"/>
      <c r="P504" s="11"/>
      <c r="Q504" s="11"/>
      <c r="R504" s="11"/>
      <c r="CB504" s="11"/>
      <c r="CE504" s="11"/>
      <c r="CF504" s="11"/>
    </row>
    <row r="505" spans="4:84" x14ac:dyDescent="0.25">
      <c r="D505" s="11"/>
      <c r="E505" s="11"/>
      <c r="F505" s="11"/>
      <c r="G505" s="11"/>
      <c r="H505" s="11"/>
      <c r="I505" s="11"/>
      <c r="J505" s="11"/>
      <c r="N505" s="11"/>
      <c r="O505" s="11"/>
      <c r="P505" s="11"/>
      <c r="Q505" s="11"/>
      <c r="R505" s="11"/>
      <c r="CB505" s="11"/>
      <c r="CE505" s="11"/>
      <c r="CF505" s="11"/>
    </row>
    <row r="506" spans="4:84" x14ac:dyDescent="0.25">
      <c r="D506" s="11"/>
      <c r="E506" s="11"/>
      <c r="F506" s="11"/>
      <c r="G506" s="11"/>
      <c r="H506" s="11"/>
      <c r="I506" s="11"/>
      <c r="J506" s="11"/>
      <c r="N506" s="11"/>
      <c r="O506" s="11"/>
      <c r="P506" s="11"/>
      <c r="Q506" s="11"/>
      <c r="R506" s="11"/>
      <c r="CB506" s="11"/>
      <c r="CE506" s="11"/>
      <c r="CF506" s="11"/>
    </row>
    <row r="507" spans="4:84" x14ac:dyDescent="0.25">
      <c r="D507" s="11"/>
      <c r="E507" s="11"/>
      <c r="F507" s="11"/>
      <c r="G507" s="11"/>
      <c r="H507" s="11"/>
      <c r="I507" s="11"/>
      <c r="J507" s="11"/>
      <c r="N507" s="11"/>
      <c r="O507" s="11"/>
      <c r="P507" s="11"/>
      <c r="Q507" s="11"/>
      <c r="R507" s="11"/>
      <c r="CB507" s="11"/>
      <c r="CE507" s="11"/>
      <c r="CF507" s="11"/>
    </row>
    <row r="508" spans="4:84" x14ac:dyDescent="0.25">
      <c r="D508" s="11"/>
      <c r="E508" s="11"/>
      <c r="F508" s="11"/>
      <c r="G508" s="11"/>
      <c r="H508" s="11"/>
      <c r="I508" s="11"/>
      <c r="J508" s="11"/>
      <c r="N508" s="11"/>
      <c r="O508" s="11"/>
      <c r="P508" s="11"/>
      <c r="Q508" s="11"/>
      <c r="R508" s="11"/>
      <c r="CB508" s="11"/>
      <c r="CE508" s="11"/>
      <c r="CF508" s="11"/>
    </row>
    <row r="509" spans="4:84" x14ac:dyDescent="0.25">
      <c r="D509" s="11"/>
      <c r="E509" s="11"/>
      <c r="F509" s="11"/>
      <c r="G509" s="11"/>
      <c r="H509" s="11"/>
      <c r="I509" s="11"/>
      <c r="J509" s="11"/>
      <c r="N509" s="11"/>
      <c r="O509" s="11"/>
      <c r="P509" s="11"/>
      <c r="Q509" s="11"/>
      <c r="R509" s="11"/>
      <c r="CB509" s="11"/>
      <c r="CE509" s="11"/>
      <c r="CF509" s="11"/>
    </row>
    <row r="510" spans="4:84" x14ac:dyDescent="0.25">
      <c r="D510" s="11"/>
      <c r="E510" s="11"/>
      <c r="F510" s="11"/>
      <c r="G510" s="11"/>
      <c r="H510" s="11"/>
      <c r="I510" s="11"/>
      <c r="J510" s="11"/>
      <c r="N510" s="11"/>
      <c r="O510" s="11"/>
      <c r="P510" s="11"/>
      <c r="Q510" s="11"/>
      <c r="R510" s="11"/>
      <c r="CB510" s="11"/>
      <c r="CE510" s="11"/>
      <c r="CF510" s="11"/>
    </row>
    <row r="511" spans="4:84" x14ac:dyDescent="0.25">
      <c r="D511" s="11"/>
      <c r="E511" s="11"/>
      <c r="F511" s="11"/>
      <c r="G511" s="11"/>
      <c r="H511" s="11"/>
      <c r="I511" s="11"/>
      <c r="J511" s="11"/>
      <c r="N511" s="11"/>
      <c r="O511" s="11"/>
      <c r="P511" s="11"/>
      <c r="Q511" s="11"/>
      <c r="R511" s="11"/>
      <c r="CB511" s="11"/>
      <c r="CE511" s="11"/>
      <c r="CF511" s="11"/>
    </row>
    <row r="512" spans="4:84" x14ac:dyDescent="0.25">
      <c r="D512" s="11"/>
      <c r="E512" s="11"/>
      <c r="F512" s="11"/>
      <c r="G512" s="11"/>
      <c r="H512" s="11"/>
      <c r="I512" s="11"/>
      <c r="J512" s="11"/>
      <c r="N512" s="11"/>
      <c r="O512" s="11"/>
      <c r="P512" s="11"/>
      <c r="Q512" s="11"/>
      <c r="R512" s="11"/>
      <c r="CB512" s="11"/>
      <c r="CE512" s="11"/>
      <c r="CF512" s="11"/>
    </row>
    <row r="513" spans="4:84" x14ac:dyDescent="0.25">
      <c r="D513" s="11"/>
      <c r="E513" s="11"/>
      <c r="F513" s="11"/>
      <c r="G513" s="11"/>
      <c r="H513" s="11"/>
      <c r="I513" s="11"/>
      <c r="J513" s="11"/>
      <c r="N513" s="11"/>
      <c r="O513" s="11"/>
      <c r="P513" s="11"/>
      <c r="Q513" s="11"/>
      <c r="R513" s="11"/>
      <c r="CB513" s="11"/>
      <c r="CE513" s="11"/>
      <c r="CF513" s="11"/>
    </row>
    <row r="514" spans="4:84" x14ac:dyDescent="0.25">
      <c r="D514" s="11"/>
      <c r="E514" s="11"/>
      <c r="F514" s="11"/>
      <c r="G514" s="11"/>
      <c r="H514" s="11"/>
      <c r="I514" s="11"/>
      <c r="J514" s="11"/>
      <c r="N514" s="11"/>
      <c r="O514" s="11"/>
      <c r="P514" s="11"/>
      <c r="Q514" s="11"/>
      <c r="R514" s="11"/>
      <c r="CB514" s="11"/>
      <c r="CE514" s="11"/>
      <c r="CF514" s="11"/>
    </row>
    <row r="515" spans="4:84" x14ac:dyDescent="0.25">
      <c r="D515" s="11"/>
      <c r="E515" s="11"/>
      <c r="F515" s="11"/>
      <c r="G515" s="11"/>
      <c r="H515" s="11"/>
      <c r="I515" s="11"/>
      <c r="J515" s="11"/>
      <c r="N515" s="11"/>
      <c r="O515" s="11"/>
      <c r="P515" s="11"/>
      <c r="Q515" s="11"/>
      <c r="R515" s="11"/>
      <c r="CB515" s="11"/>
      <c r="CE515" s="11"/>
      <c r="CF515" s="11"/>
    </row>
    <row r="516" spans="4:84" x14ac:dyDescent="0.25">
      <c r="D516" s="11"/>
      <c r="E516" s="11"/>
      <c r="F516" s="11"/>
      <c r="G516" s="11"/>
      <c r="H516" s="11"/>
      <c r="I516" s="11"/>
      <c r="J516" s="11"/>
      <c r="N516" s="11"/>
      <c r="O516" s="11"/>
      <c r="P516" s="11"/>
      <c r="Q516" s="11"/>
      <c r="R516" s="11"/>
      <c r="CB516" s="11"/>
      <c r="CE516" s="11"/>
      <c r="CF516" s="11"/>
    </row>
    <row r="517" spans="4:84" x14ac:dyDescent="0.25">
      <c r="D517" s="11"/>
      <c r="E517" s="11"/>
      <c r="F517" s="11"/>
      <c r="G517" s="11"/>
      <c r="H517" s="11"/>
      <c r="I517" s="11"/>
      <c r="J517" s="11"/>
      <c r="N517" s="11"/>
      <c r="O517" s="11"/>
      <c r="P517" s="11"/>
      <c r="Q517" s="11"/>
      <c r="R517" s="11"/>
      <c r="CB517" s="11"/>
      <c r="CE517" s="11"/>
      <c r="CF517" s="11"/>
    </row>
    <row r="518" spans="4:84" x14ac:dyDescent="0.25">
      <c r="D518" s="11"/>
      <c r="E518" s="11"/>
      <c r="F518" s="11"/>
      <c r="G518" s="11"/>
      <c r="H518" s="11"/>
      <c r="I518" s="11"/>
      <c r="J518" s="11"/>
      <c r="N518" s="11"/>
      <c r="O518" s="11"/>
      <c r="P518" s="11"/>
      <c r="Q518" s="11"/>
      <c r="R518" s="11"/>
      <c r="CB518" s="11"/>
      <c r="CE518" s="11"/>
      <c r="CF518" s="11"/>
    </row>
    <row r="519" spans="4:84" x14ac:dyDescent="0.25">
      <c r="D519" s="11"/>
      <c r="E519" s="11"/>
      <c r="F519" s="11"/>
      <c r="G519" s="11"/>
      <c r="H519" s="11"/>
      <c r="I519" s="11"/>
      <c r="J519" s="11"/>
      <c r="N519" s="11"/>
      <c r="O519" s="11"/>
      <c r="P519" s="11"/>
      <c r="Q519" s="11"/>
      <c r="R519" s="11"/>
      <c r="CB519" s="11"/>
      <c r="CE519" s="11"/>
      <c r="CF519" s="11"/>
    </row>
    <row r="520" spans="4:84" x14ac:dyDescent="0.25">
      <c r="D520" s="11"/>
      <c r="E520" s="11"/>
      <c r="F520" s="11"/>
      <c r="G520" s="11"/>
      <c r="H520" s="11"/>
      <c r="I520" s="11"/>
      <c r="J520" s="11"/>
      <c r="N520" s="11"/>
      <c r="O520" s="11"/>
      <c r="P520" s="11"/>
      <c r="Q520" s="11"/>
      <c r="R520" s="11"/>
      <c r="CB520" s="11"/>
      <c r="CE520" s="11"/>
      <c r="CF520" s="11"/>
    </row>
    <row r="521" spans="4:84" x14ac:dyDescent="0.25">
      <c r="D521" s="11"/>
      <c r="E521" s="11"/>
      <c r="F521" s="11"/>
      <c r="G521" s="11"/>
      <c r="H521" s="11"/>
      <c r="I521" s="11"/>
      <c r="J521" s="11"/>
      <c r="N521" s="11"/>
      <c r="O521" s="11"/>
      <c r="P521" s="11"/>
      <c r="Q521" s="11"/>
      <c r="R521" s="11"/>
      <c r="CB521" s="11"/>
      <c r="CE521" s="11"/>
      <c r="CF521" s="11"/>
    </row>
    <row r="522" spans="4:84" x14ac:dyDescent="0.25">
      <c r="D522" s="11"/>
      <c r="E522" s="11"/>
      <c r="F522" s="11"/>
      <c r="G522" s="11"/>
      <c r="H522" s="11"/>
      <c r="I522" s="11"/>
      <c r="J522" s="11"/>
      <c r="N522" s="11"/>
      <c r="O522" s="11"/>
      <c r="P522" s="11"/>
      <c r="Q522" s="11"/>
      <c r="R522" s="11"/>
      <c r="CB522" s="11"/>
      <c r="CE522" s="11"/>
      <c r="CF522" s="11"/>
    </row>
    <row r="523" spans="4:84" x14ac:dyDescent="0.25">
      <c r="D523" s="11"/>
      <c r="E523" s="11"/>
      <c r="F523" s="11"/>
      <c r="G523" s="11"/>
      <c r="H523" s="11"/>
      <c r="I523" s="11"/>
      <c r="J523" s="11"/>
      <c r="N523" s="11"/>
      <c r="O523" s="11"/>
      <c r="P523" s="11"/>
      <c r="Q523" s="11"/>
      <c r="R523" s="11"/>
      <c r="CB523" s="11"/>
      <c r="CE523" s="11"/>
      <c r="CF523" s="11"/>
    </row>
    <row r="524" spans="4:84" x14ac:dyDescent="0.25">
      <c r="D524" s="11"/>
      <c r="E524" s="11"/>
      <c r="F524" s="11"/>
      <c r="G524" s="11"/>
      <c r="H524" s="11"/>
      <c r="I524" s="11"/>
      <c r="J524" s="11"/>
      <c r="N524" s="11"/>
      <c r="O524" s="11"/>
      <c r="P524" s="11"/>
      <c r="Q524" s="11"/>
      <c r="R524" s="11"/>
      <c r="CB524" s="11"/>
      <c r="CE524" s="11"/>
      <c r="CF524" s="11"/>
    </row>
    <row r="525" spans="4:84" x14ac:dyDescent="0.25">
      <c r="D525" s="11"/>
      <c r="E525" s="11"/>
      <c r="F525" s="11"/>
      <c r="G525" s="11"/>
      <c r="H525" s="11"/>
      <c r="I525" s="11"/>
      <c r="J525" s="11"/>
      <c r="N525" s="11"/>
      <c r="O525" s="11"/>
      <c r="P525" s="11"/>
      <c r="Q525" s="11"/>
      <c r="R525" s="11"/>
      <c r="CB525" s="11"/>
      <c r="CE525" s="11"/>
      <c r="CF525" s="11"/>
    </row>
    <row r="526" spans="4:84" x14ac:dyDescent="0.25">
      <c r="D526" s="11"/>
      <c r="E526" s="11"/>
      <c r="F526" s="11"/>
      <c r="G526" s="11"/>
      <c r="H526" s="11"/>
      <c r="I526" s="11"/>
      <c r="J526" s="11"/>
      <c r="N526" s="11"/>
      <c r="O526" s="11"/>
      <c r="P526" s="11"/>
      <c r="Q526" s="11"/>
      <c r="R526" s="11"/>
      <c r="CB526" s="11"/>
      <c r="CE526" s="11"/>
      <c r="CF526" s="11"/>
    </row>
    <row r="527" spans="4:84" x14ac:dyDescent="0.25">
      <c r="D527" s="11"/>
      <c r="E527" s="11"/>
      <c r="F527" s="11"/>
      <c r="G527" s="11"/>
      <c r="H527" s="11"/>
      <c r="I527" s="11"/>
      <c r="J527" s="11"/>
      <c r="N527" s="11"/>
      <c r="O527" s="11"/>
      <c r="P527" s="11"/>
      <c r="Q527" s="11"/>
      <c r="R527" s="11"/>
      <c r="CB527" s="11"/>
      <c r="CE527" s="11"/>
      <c r="CF527" s="11"/>
    </row>
    <row r="528" spans="4:84" x14ac:dyDescent="0.25">
      <c r="D528" s="11"/>
      <c r="E528" s="11"/>
      <c r="F528" s="11"/>
      <c r="G528" s="11"/>
      <c r="H528" s="11"/>
      <c r="I528" s="11"/>
      <c r="J528" s="11"/>
      <c r="N528" s="11"/>
      <c r="O528" s="11"/>
      <c r="P528" s="11"/>
      <c r="Q528" s="11"/>
      <c r="R528" s="11"/>
      <c r="CB528" s="11"/>
      <c r="CE528" s="11"/>
      <c r="CF528" s="11"/>
    </row>
    <row r="529" spans="4:84" x14ac:dyDescent="0.25">
      <c r="D529" s="11"/>
      <c r="E529" s="11"/>
      <c r="F529" s="11"/>
      <c r="G529" s="11"/>
      <c r="H529" s="11"/>
      <c r="I529" s="11"/>
      <c r="J529" s="11"/>
      <c r="N529" s="11"/>
      <c r="O529" s="11"/>
      <c r="P529" s="11"/>
      <c r="Q529" s="11"/>
      <c r="R529" s="11"/>
      <c r="CB529" s="11"/>
      <c r="CE529" s="11"/>
      <c r="CF529" s="11"/>
    </row>
    <row r="530" spans="4:84" x14ac:dyDescent="0.25">
      <c r="D530" s="11"/>
      <c r="E530" s="11"/>
      <c r="F530" s="11"/>
      <c r="G530" s="11"/>
      <c r="H530" s="11"/>
      <c r="I530" s="11"/>
      <c r="J530" s="11"/>
      <c r="N530" s="11"/>
      <c r="O530" s="11"/>
      <c r="P530" s="11"/>
      <c r="Q530" s="11"/>
      <c r="R530" s="11"/>
      <c r="CB530" s="11"/>
      <c r="CE530" s="11"/>
      <c r="CF530" s="11"/>
    </row>
    <row r="531" spans="4:84" x14ac:dyDescent="0.25">
      <c r="D531" s="11"/>
      <c r="E531" s="11"/>
      <c r="F531" s="11"/>
      <c r="G531" s="11"/>
      <c r="H531" s="11"/>
      <c r="I531" s="11"/>
      <c r="J531" s="11"/>
      <c r="N531" s="11"/>
      <c r="O531" s="11"/>
      <c r="P531" s="11"/>
      <c r="Q531" s="11"/>
      <c r="R531" s="11"/>
      <c r="CB531" s="11"/>
      <c r="CE531" s="11"/>
      <c r="CF531" s="11"/>
    </row>
    <row r="532" spans="4:84" x14ac:dyDescent="0.25">
      <c r="D532" s="11"/>
      <c r="E532" s="11"/>
      <c r="F532" s="11"/>
      <c r="G532" s="11"/>
      <c r="H532" s="11"/>
      <c r="I532" s="11"/>
      <c r="J532" s="11"/>
      <c r="N532" s="11"/>
      <c r="O532" s="11"/>
      <c r="P532" s="11"/>
      <c r="Q532" s="11"/>
      <c r="R532" s="11"/>
      <c r="CB532" s="11"/>
      <c r="CE532" s="11"/>
      <c r="CF532" s="11"/>
    </row>
    <row r="533" spans="4:84" x14ac:dyDescent="0.25">
      <c r="D533" s="11"/>
      <c r="E533" s="11"/>
      <c r="F533" s="11"/>
      <c r="G533" s="11"/>
      <c r="H533" s="11"/>
      <c r="I533" s="11"/>
      <c r="J533" s="11"/>
      <c r="N533" s="11"/>
      <c r="O533" s="11"/>
      <c r="P533" s="11"/>
      <c r="Q533" s="11"/>
      <c r="R533" s="11"/>
      <c r="CB533" s="11"/>
      <c r="CE533" s="11"/>
      <c r="CF533" s="11"/>
    </row>
    <row r="534" spans="4:84" x14ac:dyDescent="0.25">
      <c r="D534" s="11"/>
      <c r="E534" s="11"/>
      <c r="F534" s="11"/>
      <c r="G534" s="11"/>
      <c r="H534" s="11"/>
      <c r="I534" s="11"/>
      <c r="J534" s="11"/>
      <c r="N534" s="11"/>
      <c r="O534" s="11"/>
      <c r="P534" s="11"/>
      <c r="Q534" s="11"/>
      <c r="R534" s="11"/>
      <c r="CB534" s="11"/>
      <c r="CE534" s="11"/>
      <c r="CF534" s="11"/>
    </row>
    <row r="535" spans="4:84" x14ac:dyDescent="0.25">
      <c r="D535" s="11"/>
      <c r="E535" s="11"/>
      <c r="F535" s="11"/>
      <c r="G535" s="11"/>
      <c r="H535" s="11"/>
      <c r="I535" s="11"/>
      <c r="J535" s="11"/>
      <c r="N535" s="11"/>
      <c r="O535" s="11"/>
      <c r="P535" s="11"/>
      <c r="Q535" s="11"/>
      <c r="R535" s="11"/>
      <c r="CB535" s="11"/>
      <c r="CE535" s="11"/>
      <c r="CF535" s="11"/>
    </row>
    <row r="536" spans="4:84" x14ac:dyDescent="0.25">
      <c r="D536" s="11"/>
      <c r="E536" s="11"/>
      <c r="F536" s="11"/>
      <c r="G536" s="11"/>
      <c r="H536" s="11"/>
      <c r="I536" s="11"/>
      <c r="J536" s="11"/>
      <c r="N536" s="11"/>
      <c r="O536" s="11"/>
      <c r="P536" s="11"/>
      <c r="Q536" s="11"/>
      <c r="R536" s="11"/>
      <c r="CB536" s="11"/>
      <c r="CE536" s="11"/>
      <c r="CF536" s="11"/>
    </row>
    <row r="537" spans="4:84" x14ac:dyDescent="0.25">
      <c r="D537" s="11"/>
      <c r="E537" s="11"/>
      <c r="F537" s="11"/>
      <c r="G537" s="11"/>
      <c r="H537" s="11"/>
      <c r="I537" s="11"/>
      <c r="J537" s="11"/>
      <c r="N537" s="11"/>
      <c r="O537" s="11"/>
      <c r="P537" s="11"/>
      <c r="Q537" s="11"/>
      <c r="R537" s="11"/>
      <c r="CB537" s="11"/>
      <c r="CE537" s="11"/>
      <c r="CF537" s="11"/>
    </row>
    <row r="538" spans="4:84" x14ac:dyDescent="0.25">
      <c r="D538" s="11"/>
      <c r="E538" s="11"/>
      <c r="F538" s="11"/>
      <c r="G538" s="11"/>
      <c r="H538" s="11"/>
      <c r="I538" s="11"/>
      <c r="J538" s="11"/>
      <c r="N538" s="11"/>
      <c r="O538" s="11"/>
      <c r="P538" s="11"/>
      <c r="Q538" s="11"/>
      <c r="R538" s="11"/>
      <c r="CB538" s="11"/>
      <c r="CE538" s="11"/>
      <c r="CF538" s="11"/>
    </row>
    <row r="539" spans="4:84" x14ac:dyDescent="0.25">
      <c r="D539" s="11"/>
      <c r="E539" s="11"/>
      <c r="F539" s="11"/>
      <c r="G539" s="11"/>
      <c r="H539" s="11"/>
      <c r="I539" s="11"/>
      <c r="J539" s="11"/>
      <c r="N539" s="11"/>
      <c r="O539" s="11"/>
      <c r="P539" s="11"/>
      <c r="Q539" s="11"/>
      <c r="R539" s="11"/>
      <c r="CB539" s="11"/>
      <c r="CE539" s="11"/>
      <c r="CF539" s="11"/>
    </row>
    <row r="540" spans="4:84" x14ac:dyDescent="0.25">
      <c r="D540" s="11"/>
      <c r="E540" s="11"/>
      <c r="F540" s="11"/>
      <c r="G540" s="11"/>
      <c r="H540" s="11"/>
      <c r="I540" s="11"/>
      <c r="J540" s="11"/>
      <c r="N540" s="11"/>
      <c r="O540" s="11"/>
      <c r="P540" s="11"/>
      <c r="Q540" s="11"/>
      <c r="R540" s="11"/>
      <c r="CB540" s="11"/>
      <c r="CE540" s="11"/>
      <c r="CF540" s="11"/>
    </row>
    <row r="541" spans="4:84" x14ac:dyDescent="0.25">
      <c r="D541" s="11"/>
      <c r="E541" s="11"/>
      <c r="F541" s="11"/>
      <c r="G541" s="11"/>
      <c r="H541" s="11"/>
      <c r="I541" s="11"/>
      <c r="J541" s="11"/>
      <c r="N541" s="11"/>
      <c r="O541" s="11"/>
      <c r="P541" s="11"/>
      <c r="Q541" s="11"/>
      <c r="R541" s="11"/>
      <c r="CB541" s="11"/>
      <c r="CE541" s="11"/>
      <c r="CF541" s="11"/>
    </row>
    <row r="542" spans="4:84" x14ac:dyDescent="0.25">
      <c r="D542" s="11"/>
      <c r="E542" s="11"/>
      <c r="F542" s="11"/>
      <c r="G542" s="11"/>
      <c r="H542" s="11"/>
      <c r="I542" s="11"/>
      <c r="J542" s="11"/>
      <c r="N542" s="11"/>
      <c r="O542" s="11"/>
      <c r="P542" s="11"/>
      <c r="Q542" s="11"/>
      <c r="R542" s="11"/>
      <c r="CB542" s="11"/>
      <c r="CE542" s="11"/>
      <c r="CF542" s="11"/>
    </row>
    <row r="543" spans="4:84" x14ac:dyDescent="0.25">
      <c r="D543" s="11"/>
      <c r="E543" s="11"/>
      <c r="F543" s="11"/>
      <c r="G543" s="11"/>
      <c r="H543" s="11"/>
      <c r="I543" s="11"/>
      <c r="J543" s="11"/>
      <c r="N543" s="11"/>
      <c r="O543" s="11"/>
      <c r="P543" s="11"/>
      <c r="Q543" s="11"/>
      <c r="R543" s="11"/>
      <c r="CB543" s="11"/>
      <c r="CE543" s="11"/>
      <c r="CF543" s="11"/>
    </row>
    <row r="544" spans="4:84" x14ac:dyDescent="0.25">
      <c r="D544" s="11"/>
      <c r="E544" s="11"/>
      <c r="F544" s="11"/>
      <c r="G544" s="11"/>
      <c r="H544" s="11"/>
      <c r="I544" s="11"/>
      <c r="J544" s="11"/>
      <c r="N544" s="11"/>
      <c r="O544" s="11"/>
      <c r="P544" s="11"/>
      <c r="Q544" s="11"/>
      <c r="R544" s="11"/>
      <c r="CB544" s="11"/>
      <c r="CE544" s="11"/>
      <c r="CF544" s="11"/>
    </row>
    <row r="545" spans="4:84" x14ac:dyDescent="0.25">
      <c r="D545" s="11"/>
      <c r="E545" s="11"/>
      <c r="F545" s="11"/>
      <c r="G545" s="11"/>
      <c r="H545" s="11"/>
      <c r="I545" s="11"/>
      <c r="J545" s="11"/>
      <c r="N545" s="11"/>
      <c r="O545" s="11"/>
      <c r="P545" s="11"/>
      <c r="Q545" s="11"/>
      <c r="R545" s="11"/>
      <c r="CB545" s="11"/>
      <c r="CE545" s="11"/>
      <c r="CF545" s="11"/>
    </row>
    <row r="546" spans="4:84" x14ac:dyDescent="0.25">
      <c r="D546" s="11"/>
      <c r="E546" s="11"/>
      <c r="F546" s="11"/>
      <c r="G546" s="11"/>
      <c r="H546" s="11"/>
      <c r="I546" s="11"/>
      <c r="J546" s="11"/>
      <c r="N546" s="11"/>
      <c r="O546" s="11"/>
      <c r="P546" s="11"/>
      <c r="Q546" s="11"/>
      <c r="R546" s="11"/>
      <c r="CB546" s="11"/>
      <c r="CE546" s="11"/>
      <c r="CF546" s="11"/>
    </row>
    <row r="547" spans="4:84" x14ac:dyDescent="0.25">
      <c r="D547" s="11"/>
      <c r="E547" s="11"/>
      <c r="F547" s="11"/>
      <c r="G547" s="11"/>
      <c r="H547" s="11"/>
      <c r="I547" s="11"/>
      <c r="J547" s="11"/>
      <c r="N547" s="11"/>
      <c r="O547" s="11"/>
      <c r="P547" s="11"/>
      <c r="Q547" s="11"/>
      <c r="R547" s="11"/>
      <c r="CB547" s="11"/>
      <c r="CE547" s="11"/>
      <c r="CF547" s="11"/>
    </row>
    <row r="548" spans="4:84" x14ac:dyDescent="0.25">
      <c r="D548" s="11"/>
      <c r="E548" s="11"/>
      <c r="F548" s="11"/>
      <c r="G548" s="11"/>
      <c r="H548" s="11"/>
      <c r="I548" s="11"/>
      <c r="J548" s="11"/>
      <c r="N548" s="11"/>
      <c r="O548" s="11"/>
      <c r="P548" s="11"/>
      <c r="Q548" s="11"/>
      <c r="R548" s="11"/>
      <c r="CB548" s="11"/>
      <c r="CE548" s="11"/>
      <c r="CF548" s="11"/>
    </row>
    <row r="549" spans="4:84" x14ac:dyDescent="0.25">
      <c r="D549" s="11"/>
      <c r="E549" s="11"/>
      <c r="F549" s="11"/>
      <c r="G549" s="11"/>
      <c r="H549" s="11"/>
      <c r="I549" s="11"/>
      <c r="J549" s="11"/>
      <c r="N549" s="11"/>
      <c r="O549" s="11"/>
      <c r="P549" s="11"/>
      <c r="Q549" s="11"/>
      <c r="R549" s="11"/>
      <c r="CB549" s="11"/>
      <c r="CE549" s="11"/>
      <c r="CF549" s="11"/>
    </row>
    <row r="550" spans="4:84" x14ac:dyDescent="0.25">
      <c r="D550" s="11"/>
      <c r="E550" s="11"/>
      <c r="F550" s="11"/>
      <c r="G550" s="11"/>
      <c r="H550" s="11"/>
      <c r="I550" s="11"/>
      <c r="J550" s="11"/>
      <c r="N550" s="11"/>
      <c r="O550" s="11"/>
      <c r="P550" s="11"/>
      <c r="Q550" s="11"/>
      <c r="R550" s="11"/>
      <c r="CB550" s="11"/>
      <c r="CE550" s="11"/>
      <c r="CF550" s="11"/>
    </row>
    <row r="551" spans="4:84" x14ac:dyDescent="0.25">
      <c r="D551" s="11"/>
      <c r="E551" s="11"/>
      <c r="F551" s="11"/>
      <c r="G551" s="11"/>
      <c r="H551" s="11"/>
      <c r="I551" s="11"/>
      <c r="J551" s="11"/>
      <c r="N551" s="11"/>
      <c r="O551" s="11"/>
      <c r="P551" s="11"/>
      <c r="Q551" s="11"/>
      <c r="R551" s="11"/>
      <c r="CB551" s="11"/>
      <c r="CE551" s="11"/>
      <c r="CF551" s="11"/>
    </row>
    <row r="552" spans="4:84" x14ac:dyDescent="0.25">
      <c r="D552" s="11"/>
      <c r="E552" s="11"/>
      <c r="F552" s="11"/>
      <c r="G552" s="11"/>
      <c r="H552" s="11"/>
      <c r="I552" s="11"/>
      <c r="J552" s="11"/>
      <c r="N552" s="11"/>
      <c r="O552" s="11"/>
      <c r="P552" s="11"/>
      <c r="Q552" s="11"/>
      <c r="R552" s="11"/>
      <c r="CB552" s="11"/>
      <c r="CE552" s="11"/>
      <c r="CF552" s="11"/>
    </row>
    <row r="553" spans="4:84" x14ac:dyDescent="0.25">
      <c r="D553" s="11"/>
      <c r="E553" s="11"/>
      <c r="F553" s="11"/>
      <c r="G553" s="11"/>
      <c r="H553" s="11"/>
      <c r="I553" s="11"/>
      <c r="J553" s="11"/>
      <c r="N553" s="11"/>
      <c r="O553" s="11"/>
      <c r="P553" s="11"/>
      <c r="Q553" s="11"/>
      <c r="R553" s="11"/>
      <c r="CB553" s="11"/>
      <c r="CE553" s="11"/>
      <c r="CF553" s="11"/>
    </row>
    <row r="554" spans="4:84" x14ac:dyDescent="0.25">
      <c r="D554" s="11"/>
      <c r="E554" s="11"/>
      <c r="F554" s="11"/>
      <c r="G554" s="11"/>
      <c r="H554" s="11"/>
      <c r="I554" s="11"/>
      <c r="J554" s="11"/>
      <c r="N554" s="11"/>
      <c r="O554" s="11"/>
      <c r="P554" s="11"/>
      <c r="Q554" s="11"/>
      <c r="R554" s="11"/>
      <c r="CB554" s="11"/>
      <c r="CE554" s="11"/>
      <c r="CF554" s="11"/>
    </row>
    <row r="555" spans="4:84" x14ac:dyDescent="0.25">
      <c r="D555" s="11"/>
      <c r="E555" s="11"/>
      <c r="F555" s="11"/>
      <c r="G555" s="11"/>
      <c r="H555" s="11"/>
      <c r="I555" s="11"/>
      <c r="J555" s="11"/>
      <c r="N555" s="11"/>
      <c r="O555" s="11"/>
      <c r="P555" s="11"/>
      <c r="Q555" s="11"/>
      <c r="R555" s="11"/>
      <c r="CB555" s="11"/>
      <c r="CE555" s="11"/>
      <c r="CF555" s="11"/>
    </row>
    <row r="556" spans="4:84" x14ac:dyDescent="0.25">
      <c r="D556" s="11"/>
      <c r="E556" s="11"/>
      <c r="F556" s="11"/>
      <c r="G556" s="11"/>
      <c r="H556" s="11"/>
      <c r="I556" s="11"/>
      <c r="J556" s="11"/>
      <c r="N556" s="11"/>
      <c r="O556" s="11"/>
      <c r="P556" s="11"/>
      <c r="Q556" s="11"/>
      <c r="R556" s="11"/>
      <c r="CB556" s="11"/>
      <c r="CE556" s="11"/>
      <c r="CF556" s="11"/>
    </row>
    <row r="557" spans="4:84" x14ac:dyDescent="0.25">
      <c r="D557" s="11"/>
      <c r="E557" s="11"/>
      <c r="F557" s="11"/>
      <c r="G557" s="11"/>
      <c r="H557" s="11"/>
      <c r="I557" s="11"/>
      <c r="J557" s="11"/>
      <c r="N557" s="11"/>
      <c r="O557" s="11"/>
      <c r="P557" s="11"/>
      <c r="Q557" s="11"/>
      <c r="R557" s="11"/>
      <c r="CB557" s="11"/>
      <c r="CE557" s="11"/>
      <c r="CF557" s="11"/>
    </row>
    <row r="558" spans="4:84" x14ac:dyDescent="0.25">
      <c r="D558" s="11"/>
      <c r="E558" s="11"/>
      <c r="F558" s="11"/>
      <c r="G558" s="11"/>
      <c r="H558" s="11"/>
      <c r="I558" s="11"/>
      <c r="J558" s="11"/>
      <c r="N558" s="11"/>
      <c r="O558" s="11"/>
      <c r="P558" s="11"/>
      <c r="Q558" s="11"/>
      <c r="R558" s="11"/>
      <c r="CB558" s="11"/>
      <c r="CE558" s="11"/>
      <c r="CF558" s="11"/>
    </row>
    <row r="559" spans="4:84" x14ac:dyDescent="0.25">
      <c r="D559" s="11"/>
      <c r="E559" s="11"/>
      <c r="F559" s="11"/>
      <c r="G559" s="11"/>
      <c r="H559" s="11"/>
      <c r="I559" s="11"/>
      <c r="J559" s="11"/>
      <c r="N559" s="11"/>
      <c r="O559" s="11"/>
      <c r="P559" s="11"/>
      <c r="Q559" s="11"/>
      <c r="R559" s="11"/>
      <c r="CB559" s="11"/>
      <c r="CE559" s="11"/>
      <c r="CF559" s="11"/>
    </row>
    <row r="560" spans="4:84" x14ac:dyDescent="0.25">
      <c r="D560" s="11"/>
      <c r="E560" s="11"/>
      <c r="F560" s="11"/>
      <c r="G560" s="11"/>
      <c r="H560" s="11"/>
      <c r="I560" s="11"/>
      <c r="J560" s="11"/>
      <c r="N560" s="11"/>
      <c r="O560" s="11"/>
      <c r="P560" s="11"/>
      <c r="Q560" s="11"/>
      <c r="R560" s="11"/>
      <c r="CB560" s="11"/>
      <c r="CE560" s="11"/>
      <c r="CF560" s="11"/>
    </row>
    <row r="561" spans="4:84" x14ac:dyDescent="0.25">
      <c r="D561" s="11"/>
      <c r="E561" s="11"/>
      <c r="F561" s="11"/>
      <c r="G561" s="11"/>
      <c r="H561" s="11"/>
      <c r="I561" s="11"/>
      <c r="J561" s="11"/>
      <c r="N561" s="11"/>
      <c r="O561" s="11"/>
      <c r="P561" s="11"/>
      <c r="Q561" s="11"/>
      <c r="R561" s="11"/>
      <c r="CB561" s="11"/>
      <c r="CE561" s="11"/>
      <c r="CF561" s="11"/>
    </row>
    <row r="562" spans="4:84" x14ac:dyDescent="0.25">
      <c r="D562" s="11"/>
      <c r="E562" s="11"/>
      <c r="F562" s="11"/>
      <c r="G562" s="11"/>
      <c r="H562" s="11"/>
      <c r="I562" s="11"/>
      <c r="J562" s="11"/>
      <c r="N562" s="11"/>
      <c r="O562" s="11"/>
      <c r="P562" s="11"/>
      <c r="Q562" s="11"/>
      <c r="R562" s="11"/>
      <c r="CB562" s="11"/>
      <c r="CE562" s="11"/>
      <c r="CF562" s="11"/>
    </row>
    <row r="563" spans="4:84" x14ac:dyDescent="0.25">
      <c r="D563" s="11"/>
      <c r="E563" s="11"/>
      <c r="F563" s="11"/>
      <c r="G563" s="11"/>
      <c r="H563" s="11"/>
      <c r="I563" s="11"/>
      <c r="J563" s="11"/>
      <c r="N563" s="11"/>
      <c r="O563" s="11"/>
      <c r="P563" s="11"/>
      <c r="Q563" s="11"/>
      <c r="R563" s="11"/>
      <c r="CB563" s="11"/>
      <c r="CE563" s="11"/>
      <c r="CF563" s="11"/>
    </row>
    <row r="564" spans="4:84" x14ac:dyDescent="0.25">
      <c r="D564" s="11"/>
      <c r="E564" s="11"/>
      <c r="F564" s="11"/>
      <c r="G564" s="11"/>
      <c r="H564" s="11"/>
      <c r="I564" s="11"/>
      <c r="J564" s="11"/>
      <c r="N564" s="11"/>
      <c r="O564" s="11"/>
      <c r="P564" s="11"/>
      <c r="Q564" s="11"/>
      <c r="R564" s="11"/>
      <c r="CB564" s="11"/>
      <c r="CE564" s="11"/>
      <c r="CF564" s="11"/>
    </row>
    <row r="565" spans="4:84" x14ac:dyDescent="0.25">
      <c r="D565" s="11"/>
      <c r="E565" s="11"/>
      <c r="F565" s="11"/>
      <c r="G565" s="11"/>
      <c r="H565" s="11"/>
      <c r="I565" s="11"/>
      <c r="J565" s="11"/>
      <c r="N565" s="11"/>
      <c r="O565" s="11"/>
      <c r="P565" s="11"/>
      <c r="Q565" s="11"/>
      <c r="R565" s="11"/>
      <c r="CB565" s="11"/>
      <c r="CE565" s="11"/>
      <c r="CF565" s="11"/>
    </row>
    <row r="566" spans="4:84" x14ac:dyDescent="0.25">
      <c r="D566" s="11"/>
      <c r="E566" s="11"/>
      <c r="F566" s="11"/>
      <c r="G566" s="11"/>
      <c r="H566" s="11"/>
      <c r="I566" s="11"/>
      <c r="J566" s="11"/>
      <c r="N566" s="11"/>
      <c r="O566" s="11"/>
      <c r="P566" s="11"/>
      <c r="Q566" s="11"/>
      <c r="R566" s="11"/>
      <c r="CB566" s="11"/>
      <c r="CE566" s="11"/>
      <c r="CF566" s="11"/>
    </row>
    <row r="567" spans="4:84" x14ac:dyDescent="0.25">
      <c r="D567" s="11"/>
      <c r="E567" s="11"/>
      <c r="F567" s="11"/>
      <c r="G567" s="11"/>
      <c r="H567" s="11"/>
      <c r="I567" s="11"/>
      <c r="J567" s="11"/>
      <c r="N567" s="11"/>
      <c r="O567" s="11"/>
      <c r="P567" s="11"/>
      <c r="Q567" s="11"/>
      <c r="R567" s="11"/>
      <c r="CB567" s="11"/>
      <c r="CE567" s="11"/>
      <c r="CF567" s="11"/>
    </row>
    <row r="568" spans="4:84" x14ac:dyDescent="0.25">
      <c r="D568" s="11"/>
      <c r="E568" s="11"/>
      <c r="F568" s="11"/>
      <c r="G568" s="11"/>
      <c r="H568" s="11"/>
      <c r="I568" s="11"/>
      <c r="J568" s="11"/>
      <c r="N568" s="11"/>
      <c r="O568" s="11"/>
      <c r="P568" s="11"/>
      <c r="Q568" s="11"/>
      <c r="R568" s="11"/>
      <c r="CB568" s="11"/>
      <c r="CE568" s="11"/>
      <c r="CF568" s="11"/>
    </row>
    <row r="569" spans="4:84" x14ac:dyDescent="0.25">
      <c r="D569" s="11"/>
      <c r="E569" s="11"/>
      <c r="F569" s="11"/>
      <c r="G569" s="11"/>
      <c r="H569" s="11"/>
      <c r="I569" s="11"/>
      <c r="J569" s="11"/>
      <c r="N569" s="11"/>
      <c r="O569" s="11"/>
      <c r="P569" s="11"/>
      <c r="Q569" s="11"/>
      <c r="R569" s="11"/>
      <c r="CB569" s="11"/>
      <c r="CE569" s="11"/>
      <c r="CF569" s="11"/>
    </row>
    <row r="570" spans="4:84" x14ac:dyDescent="0.25">
      <c r="D570" s="11"/>
      <c r="E570" s="11"/>
      <c r="F570" s="11"/>
      <c r="G570" s="11"/>
      <c r="H570" s="11"/>
      <c r="I570" s="11"/>
      <c r="J570" s="11"/>
      <c r="N570" s="11"/>
      <c r="O570" s="11"/>
      <c r="P570" s="11"/>
      <c r="Q570" s="11"/>
      <c r="R570" s="11"/>
      <c r="CB570" s="11"/>
      <c r="CE570" s="11"/>
      <c r="CF570" s="11"/>
    </row>
    <row r="571" spans="4:84" x14ac:dyDescent="0.25">
      <c r="D571" s="11"/>
      <c r="E571" s="11"/>
      <c r="F571" s="11"/>
      <c r="G571" s="11"/>
      <c r="H571" s="11"/>
      <c r="I571" s="11"/>
      <c r="J571" s="11"/>
      <c r="N571" s="11"/>
      <c r="O571" s="11"/>
      <c r="P571" s="11"/>
      <c r="Q571" s="11"/>
      <c r="R571" s="11"/>
      <c r="CB571" s="11"/>
      <c r="CE571" s="11"/>
      <c r="CF571" s="11"/>
    </row>
    <row r="572" spans="4:84" x14ac:dyDescent="0.25">
      <c r="D572" s="11"/>
      <c r="E572" s="11"/>
      <c r="F572" s="11"/>
      <c r="G572" s="11"/>
      <c r="H572" s="11"/>
      <c r="I572" s="11"/>
      <c r="J572" s="11"/>
      <c r="N572" s="11"/>
      <c r="O572" s="11"/>
      <c r="P572" s="11"/>
      <c r="Q572" s="11"/>
      <c r="R572" s="11"/>
      <c r="CB572" s="11"/>
      <c r="CE572" s="11"/>
      <c r="CF572" s="11"/>
    </row>
    <row r="573" spans="4:84" x14ac:dyDescent="0.25">
      <c r="D573" s="11"/>
      <c r="E573" s="11"/>
      <c r="F573" s="11"/>
      <c r="G573" s="11"/>
      <c r="H573" s="11"/>
      <c r="I573" s="11"/>
      <c r="J573" s="11"/>
      <c r="N573" s="11"/>
      <c r="O573" s="11"/>
      <c r="P573" s="11"/>
      <c r="Q573" s="11"/>
      <c r="R573" s="11"/>
      <c r="CB573" s="11"/>
      <c r="CE573" s="11"/>
      <c r="CF573" s="11"/>
    </row>
    <row r="574" spans="4:84" x14ac:dyDescent="0.25">
      <c r="D574" s="11"/>
      <c r="E574" s="11"/>
      <c r="F574" s="11"/>
      <c r="G574" s="11"/>
      <c r="H574" s="11"/>
      <c r="I574" s="11"/>
      <c r="J574" s="11"/>
      <c r="N574" s="11"/>
      <c r="O574" s="11"/>
      <c r="P574" s="11"/>
      <c r="Q574" s="11"/>
      <c r="R574" s="11"/>
      <c r="CB574" s="11"/>
      <c r="CE574" s="11"/>
      <c r="CF574" s="11"/>
    </row>
    <row r="575" spans="4:84" x14ac:dyDescent="0.25">
      <c r="D575" s="11"/>
      <c r="E575" s="11"/>
      <c r="F575" s="11"/>
      <c r="G575" s="11"/>
      <c r="H575" s="11"/>
      <c r="I575" s="11"/>
      <c r="J575" s="11"/>
      <c r="N575" s="11"/>
      <c r="O575" s="11"/>
      <c r="P575" s="11"/>
      <c r="Q575" s="11"/>
      <c r="R575" s="11"/>
      <c r="CB575" s="11"/>
      <c r="CE575" s="11"/>
      <c r="CF575" s="11"/>
    </row>
    <row r="576" spans="4:84" x14ac:dyDescent="0.25">
      <c r="D576" s="11"/>
      <c r="E576" s="11"/>
      <c r="F576" s="11"/>
      <c r="G576" s="11"/>
      <c r="H576" s="11"/>
      <c r="I576" s="11"/>
      <c r="J576" s="11"/>
      <c r="N576" s="11"/>
      <c r="O576" s="11"/>
      <c r="P576" s="11"/>
      <c r="Q576" s="11"/>
      <c r="R576" s="11"/>
      <c r="CB576" s="11"/>
      <c r="CE576" s="11"/>
      <c r="CF576" s="11"/>
    </row>
    <row r="577" spans="4:84" x14ac:dyDescent="0.25">
      <c r="D577" s="11"/>
      <c r="E577" s="11"/>
      <c r="F577" s="11"/>
      <c r="G577" s="11"/>
      <c r="H577" s="11"/>
      <c r="I577" s="11"/>
      <c r="J577" s="11"/>
      <c r="N577" s="11"/>
      <c r="O577" s="11"/>
      <c r="P577" s="11"/>
      <c r="Q577" s="11"/>
      <c r="R577" s="11"/>
      <c r="CB577" s="11"/>
      <c r="CE577" s="11"/>
      <c r="CF577" s="11"/>
    </row>
    <row r="578" spans="4:84" x14ac:dyDescent="0.25">
      <c r="D578" s="11"/>
      <c r="E578" s="11"/>
      <c r="F578" s="11"/>
      <c r="G578" s="11"/>
      <c r="H578" s="11"/>
      <c r="I578" s="11"/>
      <c r="J578" s="11"/>
      <c r="N578" s="11"/>
      <c r="O578" s="11"/>
      <c r="P578" s="11"/>
      <c r="Q578" s="11"/>
      <c r="R578" s="11"/>
      <c r="CB578" s="11"/>
      <c r="CE578" s="11"/>
      <c r="CF578" s="11"/>
    </row>
    <row r="579" spans="4:84" x14ac:dyDescent="0.25">
      <c r="D579" s="11"/>
      <c r="E579" s="11"/>
      <c r="F579" s="11"/>
      <c r="G579" s="11"/>
      <c r="H579" s="11"/>
      <c r="I579" s="11"/>
      <c r="J579" s="11"/>
      <c r="N579" s="11"/>
      <c r="O579" s="11"/>
      <c r="P579" s="11"/>
      <c r="Q579" s="11"/>
      <c r="R579" s="11"/>
      <c r="CB579" s="11"/>
      <c r="CE579" s="11"/>
      <c r="CF579" s="11"/>
    </row>
    <row r="580" spans="4:84" x14ac:dyDescent="0.25">
      <c r="D580" s="11"/>
      <c r="E580" s="11"/>
      <c r="F580" s="11"/>
      <c r="G580" s="11"/>
      <c r="H580" s="11"/>
      <c r="I580" s="11"/>
      <c r="J580" s="11"/>
      <c r="N580" s="11"/>
      <c r="O580" s="11"/>
      <c r="P580" s="11"/>
      <c r="Q580" s="11"/>
      <c r="R580" s="11"/>
      <c r="CB580" s="11"/>
      <c r="CE580" s="11"/>
      <c r="CF580" s="11"/>
    </row>
    <row r="581" spans="4:84" x14ac:dyDescent="0.25">
      <c r="D581" s="11"/>
      <c r="E581" s="11"/>
      <c r="F581" s="11"/>
      <c r="G581" s="11"/>
      <c r="H581" s="11"/>
      <c r="I581" s="11"/>
      <c r="J581" s="11"/>
      <c r="N581" s="11"/>
      <c r="O581" s="11"/>
      <c r="P581" s="11"/>
      <c r="Q581" s="11"/>
      <c r="R581" s="11"/>
      <c r="CB581" s="11"/>
      <c r="CE581" s="11"/>
      <c r="CF581" s="11"/>
    </row>
    <row r="582" spans="4:84" x14ac:dyDescent="0.25">
      <c r="D582" s="11"/>
      <c r="E582" s="11"/>
      <c r="F582" s="11"/>
      <c r="G582" s="11"/>
      <c r="H582" s="11"/>
      <c r="I582" s="11"/>
      <c r="J582" s="11"/>
      <c r="N582" s="11"/>
      <c r="O582" s="11"/>
      <c r="P582" s="11"/>
      <c r="Q582" s="11"/>
      <c r="R582" s="11"/>
      <c r="CB582" s="11"/>
      <c r="CE582" s="11"/>
      <c r="CF582" s="11"/>
    </row>
    <row r="583" spans="4:84" x14ac:dyDescent="0.25">
      <c r="D583" s="11"/>
      <c r="E583" s="11"/>
      <c r="F583" s="11"/>
      <c r="G583" s="11"/>
      <c r="H583" s="11"/>
      <c r="I583" s="11"/>
      <c r="J583" s="11"/>
      <c r="N583" s="11"/>
      <c r="O583" s="11"/>
      <c r="P583" s="11"/>
      <c r="Q583" s="11"/>
      <c r="R583" s="11"/>
      <c r="CB583" s="11"/>
      <c r="CE583" s="11"/>
      <c r="CF583" s="11"/>
    </row>
    <row r="584" spans="4:84" x14ac:dyDescent="0.25">
      <c r="D584" s="11"/>
      <c r="E584" s="11"/>
      <c r="F584" s="11"/>
      <c r="G584" s="11"/>
      <c r="H584" s="11"/>
      <c r="I584" s="11"/>
      <c r="J584" s="11"/>
      <c r="N584" s="11"/>
      <c r="O584" s="11"/>
      <c r="P584" s="11"/>
      <c r="Q584" s="11"/>
      <c r="R584" s="11"/>
      <c r="CB584" s="11"/>
      <c r="CE584" s="11"/>
      <c r="CF584" s="11"/>
    </row>
    <row r="585" spans="4:84" x14ac:dyDescent="0.25">
      <c r="D585" s="11"/>
      <c r="E585" s="11"/>
      <c r="F585" s="11"/>
      <c r="G585" s="11"/>
      <c r="H585" s="11"/>
      <c r="I585" s="11"/>
      <c r="J585" s="11"/>
      <c r="N585" s="11"/>
      <c r="O585" s="11"/>
      <c r="P585" s="11"/>
      <c r="Q585" s="11"/>
      <c r="R585" s="11"/>
      <c r="CB585" s="11"/>
      <c r="CE585" s="11"/>
      <c r="CF585" s="11"/>
    </row>
    <row r="586" spans="4:84" x14ac:dyDescent="0.25">
      <c r="D586" s="11"/>
      <c r="E586" s="11"/>
      <c r="F586" s="11"/>
      <c r="G586" s="11"/>
      <c r="H586" s="11"/>
      <c r="I586" s="11"/>
      <c r="J586" s="11"/>
      <c r="N586" s="11"/>
      <c r="O586" s="11"/>
      <c r="P586" s="11"/>
      <c r="Q586" s="11"/>
      <c r="R586" s="11"/>
      <c r="CB586" s="11"/>
      <c r="CE586" s="11"/>
      <c r="CF586" s="11"/>
    </row>
    <row r="587" spans="4:84" x14ac:dyDescent="0.25">
      <c r="D587" s="11"/>
      <c r="E587" s="11"/>
      <c r="F587" s="11"/>
      <c r="G587" s="11"/>
      <c r="H587" s="11"/>
      <c r="I587" s="11"/>
      <c r="J587" s="11"/>
      <c r="N587" s="11"/>
      <c r="O587" s="11"/>
      <c r="P587" s="11"/>
      <c r="Q587" s="11"/>
      <c r="R587" s="11"/>
      <c r="CB587" s="11"/>
      <c r="CE587" s="11"/>
      <c r="CF587" s="11"/>
    </row>
    <row r="588" spans="4:84" x14ac:dyDescent="0.25">
      <c r="D588" s="11"/>
      <c r="E588" s="11"/>
      <c r="F588" s="11"/>
      <c r="G588" s="11"/>
      <c r="H588" s="11"/>
      <c r="I588" s="11"/>
      <c r="J588" s="11"/>
      <c r="N588" s="11"/>
      <c r="O588" s="11"/>
      <c r="P588" s="11"/>
      <c r="Q588" s="11"/>
      <c r="R588" s="11"/>
      <c r="CB588" s="11"/>
      <c r="CE588" s="11"/>
      <c r="CF588" s="11"/>
    </row>
    <row r="589" spans="4:84" x14ac:dyDescent="0.25">
      <c r="D589" s="11"/>
      <c r="E589" s="11"/>
      <c r="F589" s="11"/>
      <c r="G589" s="11"/>
      <c r="H589" s="11"/>
      <c r="I589" s="11"/>
      <c r="J589" s="11"/>
      <c r="N589" s="11"/>
      <c r="O589" s="11"/>
      <c r="P589" s="11"/>
      <c r="Q589" s="11"/>
      <c r="R589" s="11"/>
      <c r="CB589" s="11"/>
      <c r="CE589" s="11"/>
      <c r="CF589" s="11"/>
    </row>
    <row r="590" spans="4:84" x14ac:dyDescent="0.25">
      <c r="D590" s="11"/>
      <c r="E590" s="11"/>
      <c r="F590" s="11"/>
      <c r="G590" s="11"/>
      <c r="H590" s="11"/>
      <c r="I590" s="11"/>
      <c r="J590" s="11"/>
      <c r="N590" s="11"/>
      <c r="O590" s="11"/>
      <c r="P590" s="11"/>
      <c r="Q590" s="11"/>
      <c r="R590" s="11"/>
      <c r="CB590" s="11"/>
      <c r="CE590" s="11"/>
      <c r="CF590" s="11"/>
    </row>
    <row r="591" spans="4:84" x14ac:dyDescent="0.25">
      <c r="D591" s="11"/>
      <c r="E591" s="11"/>
      <c r="F591" s="11"/>
      <c r="G591" s="11"/>
      <c r="H591" s="11"/>
      <c r="I591" s="11"/>
      <c r="J591" s="11"/>
      <c r="N591" s="11"/>
      <c r="O591" s="11"/>
      <c r="P591" s="11"/>
      <c r="Q591" s="11"/>
      <c r="R591" s="11"/>
      <c r="CB591" s="11"/>
      <c r="CE591" s="11"/>
      <c r="CF591" s="11"/>
    </row>
    <row r="592" spans="4:84" x14ac:dyDescent="0.25">
      <c r="D592" s="11"/>
      <c r="E592" s="11"/>
      <c r="F592" s="11"/>
      <c r="G592" s="11"/>
      <c r="H592" s="11"/>
      <c r="I592" s="11"/>
      <c r="J592" s="11"/>
      <c r="N592" s="11"/>
      <c r="O592" s="11"/>
      <c r="P592" s="11"/>
      <c r="Q592" s="11"/>
      <c r="R592" s="11"/>
      <c r="CB592" s="11"/>
      <c r="CE592" s="11"/>
      <c r="CF592" s="11"/>
    </row>
    <row r="593" spans="4:84" x14ac:dyDescent="0.25">
      <c r="D593" s="11"/>
      <c r="E593" s="11"/>
      <c r="F593" s="11"/>
      <c r="G593" s="11"/>
      <c r="H593" s="11"/>
      <c r="I593" s="11"/>
      <c r="J593" s="11"/>
      <c r="N593" s="11"/>
      <c r="O593" s="11"/>
      <c r="P593" s="11"/>
      <c r="Q593" s="11"/>
      <c r="R593" s="11"/>
      <c r="CB593" s="11"/>
      <c r="CE593" s="11"/>
      <c r="CF593" s="11"/>
    </row>
    <row r="594" spans="4:84" x14ac:dyDescent="0.25">
      <c r="D594" s="11"/>
      <c r="E594" s="11"/>
      <c r="F594" s="11"/>
      <c r="G594" s="11"/>
      <c r="H594" s="11"/>
      <c r="I594" s="11"/>
      <c r="J594" s="11"/>
      <c r="N594" s="11"/>
      <c r="O594" s="11"/>
      <c r="P594" s="11"/>
      <c r="Q594" s="11"/>
      <c r="R594" s="11"/>
      <c r="CB594" s="11"/>
      <c r="CE594" s="11"/>
      <c r="CF594" s="11"/>
    </row>
    <row r="595" spans="4:84" x14ac:dyDescent="0.25">
      <c r="D595" s="11"/>
      <c r="E595" s="11"/>
      <c r="F595" s="11"/>
      <c r="G595" s="11"/>
      <c r="H595" s="11"/>
      <c r="I595" s="11"/>
      <c r="J595" s="11"/>
      <c r="N595" s="11"/>
      <c r="O595" s="11"/>
      <c r="P595" s="11"/>
      <c r="Q595" s="11"/>
      <c r="R595" s="11"/>
      <c r="CB595" s="11"/>
      <c r="CE595" s="11"/>
      <c r="CF595" s="11"/>
    </row>
    <row r="596" spans="4:84" x14ac:dyDescent="0.25">
      <c r="D596" s="11"/>
      <c r="E596" s="11"/>
      <c r="F596" s="11"/>
      <c r="G596" s="11"/>
      <c r="H596" s="11"/>
      <c r="I596" s="11"/>
      <c r="J596" s="11"/>
      <c r="N596" s="11"/>
      <c r="O596" s="11"/>
      <c r="P596" s="11"/>
      <c r="Q596" s="11"/>
      <c r="R596" s="11"/>
      <c r="CB596" s="11"/>
      <c r="CE596" s="11"/>
      <c r="CF596" s="11"/>
    </row>
    <row r="597" spans="4:84" x14ac:dyDescent="0.25">
      <c r="D597" s="11"/>
      <c r="E597" s="11"/>
      <c r="F597" s="11"/>
      <c r="G597" s="11"/>
      <c r="H597" s="11"/>
      <c r="I597" s="11"/>
      <c r="J597" s="11"/>
      <c r="N597" s="11"/>
      <c r="O597" s="11"/>
      <c r="P597" s="11"/>
      <c r="Q597" s="11"/>
      <c r="R597" s="11"/>
      <c r="CB597" s="11"/>
      <c r="CE597" s="11"/>
      <c r="CF597" s="11"/>
    </row>
    <row r="598" spans="4:84" x14ac:dyDescent="0.25">
      <c r="D598" s="11"/>
      <c r="E598" s="11"/>
      <c r="F598" s="11"/>
      <c r="G598" s="11"/>
      <c r="H598" s="11"/>
      <c r="I598" s="11"/>
      <c r="J598" s="11"/>
      <c r="N598" s="11"/>
      <c r="O598" s="11"/>
      <c r="P598" s="11"/>
      <c r="Q598" s="11"/>
      <c r="R598" s="11"/>
      <c r="CB598" s="11"/>
      <c r="CE598" s="11"/>
      <c r="CF598" s="11"/>
    </row>
    <row r="599" spans="4:84" x14ac:dyDescent="0.25">
      <c r="D599" s="11"/>
      <c r="E599" s="11"/>
      <c r="F599" s="11"/>
      <c r="G599" s="11"/>
      <c r="H599" s="11"/>
      <c r="I599" s="11"/>
      <c r="J599" s="11"/>
      <c r="N599" s="11"/>
      <c r="O599" s="11"/>
      <c r="P599" s="11"/>
      <c r="Q599" s="11"/>
      <c r="R599" s="11"/>
      <c r="CB599" s="11"/>
      <c r="CE599" s="11"/>
      <c r="CF599" s="11"/>
    </row>
    <row r="600" spans="4:84" x14ac:dyDescent="0.25">
      <c r="D600" s="11"/>
      <c r="E600" s="11"/>
      <c r="F600" s="11"/>
      <c r="G600" s="11"/>
      <c r="H600" s="11"/>
      <c r="I600" s="11"/>
      <c r="J600" s="11"/>
      <c r="N600" s="11"/>
      <c r="O600" s="11"/>
      <c r="P600" s="11"/>
      <c r="Q600" s="11"/>
      <c r="R600" s="11"/>
      <c r="CB600" s="11"/>
      <c r="CE600" s="11"/>
      <c r="CF600" s="11"/>
    </row>
    <row r="601" spans="4:84" x14ac:dyDescent="0.25">
      <c r="D601" s="11"/>
      <c r="E601" s="11"/>
      <c r="F601" s="11"/>
      <c r="G601" s="11"/>
      <c r="H601" s="11"/>
      <c r="I601" s="11"/>
      <c r="J601" s="11"/>
      <c r="N601" s="11"/>
      <c r="O601" s="11"/>
      <c r="P601" s="11"/>
      <c r="Q601" s="11"/>
      <c r="R601" s="11"/>
      <c r="CB601" s="11"/>
      <c r="CE601" s="11"/>
      <c r="CF601" s="11"/>
    </row>
    <row r="602" spans="4:84" x14ac:dyDescent="0.25">
      <c r="D602" s="11"/>
      <c r="E602" s="11"/>
      <c r="F602" s="11"/>
      <c r="G602" s="11"/>
      <c r="H602" s="11"/>
      <c r="I602" s="11"/>
      <c r="J602" s="11"/>
      <c r="N602" s="11"/>
      <c r="O602" s="11"/>
      <c r="P602" s="11"/>
      <c r="Q602" s="11"/>
      <c r="R602" s="11"/>
      <c r="CB602" s="11"/>
      <c r="CE602" s="11"/>
      <c r="CF602" s="11"/>
    </row>
    <row r="603" spans="4:84" x14ac:dyDescent="0.25">
      <c r="D603" s="11"/>
      <c r="E603" s="11"/>
      <c r="F603" s="11"/>
      <c r="G603" s="11"/>
      <c r="H603" s="11"/>
      <c r="I603" s="11"/>
      <c r="J603" s="11"/>
      <c r="N603" s="11"/>
      <c r="O603" s="11"/>
      <c r="P603" s="11"/>
      <c r="Q603" s="11"/>
      <c r="R603" s="11"/>
      <c r="CB603" s="11"/>
      <c r="CE603" s="11"/>
      <c r="CF603" s="11"/>
    </row>
    <row r="604" spans="4:84" x14ac:dyDescent="0.25">
      <c r="D604" s="11"/>
      <c r="E604" s="11"/>
      <c r="F604" s="11"/>
      <c r="G604" s="11"/>
      <c r="H604" s="11"/>
      <c r="I604" s="11"/>
      <c r="J604" s="11"/>
      <c r="N604" s="11"/>
      <c r="O604" s="11"/>
      <c r="P604" s="11"/>
      <c r="Q604" s="11"/>
      <c r="R604" s="11"/>
      <c r="CB604" s="11"/>
      <c r="CE604" s="11"/>
      <c r="CF604" s="11"/>
    </row>
    <row r="605" spans="4:84" x14ac:dyDescent="0.25">
      <c r="D605" s="11"/>
      <c r="E605" s="11"/>
      <c r="F605" s="11"/>
      <c r="G605" s="11"/>
      <c r="H605" s="11"/>
      <c r="I605" s="11"/>
      <c r="J605" s="11"/>
      <c r="N605" s="11"/>
      <c r="O605" s="11"/>
      <c r="P605" s="11"/>
      <c r="Q605" s="11"/>
      <c r="R605" s="11"/>
      <c r="CB605" s="11"/>
      <c r="CE605" s="11"/>
      <c r="CF605" s="11"/>
    </row>
    <row r="606" spans="4:84" x14ac:dyDescent="0.25">
      <c r="D606" s="11"/>
      <c r="E606" s="11"/>
      <c r="F606" s="11"/>
      <c r="G606" s="11"/>
      <c r="H606" s="11"/>
      <c r="I606" s="11"/>
      <c r="J606" s="11"/>
      <c r="N606" s="11"/>
      <c r="O606" s="11"/>
      <c r="P606" s="11"/>
      <c r="Q606" s="11"/>
      <c r="R606" s="11"/>
      <c r="CB606" s="11"/>
      <c r="CE606" s="11"/>
      <c r="CF606" s="11"/>
    </row>
    <row r="607" spans="4:84" x14ac:dyDescent="0.25">
      <c r="D607" s="11"/>
      <c r="E607" s="11"/>
      <c r="F607" s="11"/>
      <c r="G607" s="11"/>
      <c r="H607" s="11"/>
      <c r="I607" s="11"/>
      <c r="J607" s="11"/>
      <c r="N607" s="11"/>
      <c r="O607" s="11"/>
      <c r="P607" s="11"/>
      <c r="Q607" s="11"/>
      <c r="R607" s="11"/>
      <c r="CB607" s="11"/>
      <c r="CE607" s="11"/>
      <c r="CF607" s="11"/>
    </row>
    <row r="608" spans="4:84" x14ac:dyDescent="0.25">
      <c r="D608" s="11"/>
      <c r="E608" s="11"/>
      <c r="F608" s="11"/>
      <c r="G608" s="11"/>
      <c r="H608" s="11"/>
      <c r="I608" s="11"/>
      <c r="J608" s="11"/>
      <c r="N608" s="11"/>
      <c r="O608" s="11"/>
      <c r="P608" s="11"/>
      <c r="Q608" s="11"/>
      <c r="R608" s="11"/>
      <c r="CB608" s="11"/>
      <c r="CE608" s="11"/>
      <c r="CF608" s="11"/>
    </row>
    <row r="609" spans="4:84" x14ac:dyDescent="0.25">
      <c r="D609" s="11"/>
      <c r="E609" s="11"/>
      <c r="F609" s="11"/>
      <c r="G609" s="11"/>
      <c r="H609" s="11"/>
      <c r="I609" s="11"/>
      <c r="J609" s="11"/>
      <c r="N609" s="11"/>
      <c r="O609" s="11"/>
      <c r="P609" s="11"/>
      <c r="Q609" s="11"/>
      <c r="R609" s="11"/>
      <c r="CB609" s="11"/>
      <c r="CE609" s="11"/>
      <c r="CF609" s="11"/>
    </row>
    <row r="610" spans="4:84" x14ac:dyDescent="0.25">
      <c r="D610" s="11"/>
      <c r="E610" s="11"/>
      <c r="F610" s="11"/>
      <c r="G610" s="11"/>
      <c r="H610" s="11"/>
      <c r="I610" s="11"/>
      <c r="J610" s="11"/>
      <c r="N610" s="11"/>
      <c r="O610" s="11"/>
      <c r="P610" s="11"/>
      <c r="Q610" s="11"/>
      <c r="R610" s="11"/>
      <c r="CB610" s="11"/>
      <c r="CE610" s="11"/>
      <c r="CF610" s="11"/>
    </row>
    <row r="611" spans="4:84" x14ac:dyDescent="0.25">
      <c r="D611" s="11"/>
      <c r="E611" s="11"/>
      <c r="F611" s="11"/>
      <c r="G611" s="11"/>
      <c r="H611" s="11"/>
      <c r="I611" s="11"/>
      <c r="J611" s="11"/>
      <c r="N611" s="11"/>
      <c r="O611" s="11"/>
      <c r="P611" s="11"/>
      <c r="Q611" s="11"/>
      <c r="R611" s="11"/>
      <c r="CB611" s="11"/>
      <c r="CE611" s="11"/>
      <c r="CF611" s="11"/>
    </row>
    <row r="612" spans="4:84" x14ac:dyDescent="0.25">
      <c r="D612" s="11"/>
      <c r="E612" s="11"/>
      <c r="F612" s="11"/>
      <c r="G612" s="11"/>
      <c r="H612" s="11"/>
      <c r="I612" s="11"/>
      <c r="J612" s="11"/>
      <c r="N612" s="11"/>
      <c r="O612" s="11"/>
      <c r="P612" s="11"/>
      <c r="Q612" s="11"/>
      <c r="R612" s="11"/>
      <c r="CB612" s="11"/>
      <c r="CE612" s="11"/>
      <c r="CF612" s="11"/>
    </row>
    <row r="613" spans="4:84" x14ac:dyDescent="0.25">
      <c r="D613" s="11"/>
      <c r="E613" s="11"/>
      <c r="F613" s="11"/>
      <c r="G613" s="11"/>
      <c r="H613" s="11"/>
      <c r="I613" s="11"/>
      <c r="J613" s="11"/>
      <c r="N613" s="11"/>
      <c r="O613" s="11"/>
      <c r="P613" s="11"/>
      <c r="Q613" s="11"/>
      <c r="R613" s="11"/>
      <c r="CB613" s="11"/>
      <c r="CE613" s="11"/>
      <c r="CF613" s="11"/>
    </row>
    <row r="614" spans="4:84" x14ac:dyDescent="0.25">
      <c r="D614" s="11"/>
      <c r="E614" s="11"/>
      <c r="F614" s="11"/>
      <c r="G614" s="11"/>
      <c r="H614" s="11"/>
      <c r="I614" s="11"/>
      <c r="J614" s="11"/>
      <c r="N614" s="11"/>
      <c r="O614" s="11"/>
      <c r="P614" s="11"/>
      <c r="Q614" s="11"/>
      <c r="R614" s="11"/>
      <c r="CB614" s="11"/>
      <c r="CE614" s="11"/>
      <c r="CF614" s="11"/>
    </row>
    <row r="615" spans="4:84" x14ac:dyDescent="0.25">
      <c r="D615" s="11"/>
      <c r="E615" s="11"/>
      <c r="F615" s="11"/>
      <c r="G615" s="11"/>
      <c r="H615" s="11"/>
      <c r="I615" s="11"/>
      <c r="J615" s="11"/>
      <c r="N615" s="11"/>
      <c r="O615" s="11"/>
      <c r="P615" s="11"/>
      <c r="Q615" s="11"/>
      <c r="R615" s="11"/>
      <c r="CB615" s="11"/>
      <c r="CE615" s="11"/>
      <c r="CF615" s="11"/>
    </row>
    <row r="616" spans="4:84" x14ac:dyDescent="0.25">
      <c r="D616" s="11"/>
      <c r="E616" s="11"/>
      <c r="F616" s="11"/>
      <c r="G616" s="11"/>
      <c r="H616" s="11"/>
      <c r="I616" s="11"/>
      <c r="J616" s="11"/>
      <c r="N616" s="11"/>
      <c r="O616" s="11"/>
      <c r="P616" s="11"/>
      <c r="Q616" s="11"/>
      <c r="R616" s="11"/>
      <c r="CB616" s="11"/>
      <c r="CE616" s="11"/>
      <c r="CF616" s="11"/>
    </row>
    <row r="617" spans="4:84" x14ac:dyDescent="0.25">
      <c r="D617" s="11"/>
      <c r="E617" s="11"/>
      <c r="F617" s="11"/>
      <c r="G617" s="11"/>
      <c r="H617" s="11"/>
      <c r="I617" s="11"/>
      <c r="J617" s="11"/>
      <c r="N617" s="11"/>
      <c r="O617" s="11"/>
      <c r="P617" s="11"/>
      <c r="Q617" s="11"/>
      <c r="R617" s="11"/>
      <c r="CB617" s="11"/>
      <c r="CE617" s="11"/>
      <c r="CF617" s="11"/>
    </row>
    <row r="618" spans="4:84" x14ac:dyDescent="0.25">
      <c r="D618" s="11"/>
      <c r="E618" s="11"/>
      <c r="F618" s="11"/>
      <c r="G618" s="11"/>
      <c r="H618" s="11"/>
      <c r="I618" s="11"/>
      <c r="J618" s="11"/>
      <c r="N618" s="11"/>
      <c r="O618" s="11"/>
      <c r="P618" s="11"/>
      <c r="Q618" s="11"/>
      <c r="R618" s="11"/>
      <c r="CB618" s="11"/>
      <c r="CE618" s="11"/>
      <c r="CF618" s="11"/>
    </row>
    <row r="619" spans="4:84" x14ac:dyDescent="0.25">
      <c r="D619" s="11"/>
      <c r="E619" s="11"/>
      <c r="F619" s="11"/>
      <c r="G619" s="11"/>
      <c r="H619" s="11"/>
      <c r="I619" s="11"/>
      <c r="J619" s="11"/>
      <c r="N619" s="11"/>
      <c r="O619" s="11"/>
      <c r="P619" s="11"/>
      <c r="Q619" s="11"/>
      <c r="R619" s="11"/>
      <c r="CB619" s="11"/>
      <c r="CE619" s="11"/>
      <c r="CF619" s="11"/>
    </row>
    <row r="620" spans="4:84" x14ac:dyDescent="0.25">
      <c r="D620" s="11"/>
      <c r="E620" s="11"/>
      <c r="F620" s="11"/>
      <c r="G620" s="11"/>
      <c r="H620" s="11"/>
      <c r="I620" s="11"/>
      <c r="J620" s="11"/>
      <c r="N620" s="11"/>
      <c r="O620" s="11"/>
      <c r="P620" s="11"/>
      <c r="Q620" s="11"/>
      <c r="R620" s="11"/>
      <c r="CB620" s="11"/>
      <c r="CE620" s="11"/>
      <c r="CF620" s="11"/>
    </row>
    <row r="621" spans="4:84" x14ac:dyDescent="0.25">
      <c r="D621" s="11"/>
      <c r="E621" s="11"/>
      <c r="F621" s="11"/>
      <c r="G621" s="11"/>
      <c r="H621" s="11"/>
      <c r="I621" s="11"/>
      <c r="J621" s="11"/>
      <c r="N621" s="11"/>
      <c r="O621" s="11"/>
      <c r="P621" s="11"/>
      <c r="Q621" s="11"/>
      <c r="R621" s="11"/>
      <c r="CB621" s="11"/>
      <c r="CE621" s="11"/>
      <c r="CF621" s="11"/>
    </row>
    <row r="622" spans="4:84" x14ac:dyDescent="0.25">
      <c r="D622" s="11"/>
      <c r="E622" s="11"/>
      <c r="F622" s="11"/>
      <c r="G622" s="11"/>
      <c r="H622" s="11"/>
      <c r="I622" s="11"/>
      <c r="J622" s="11"/>
      <c r="N622" s="11"/>
      <c r="O622" s="11"/>
      <c r="P622" s="11"/>
      <c r="Q622" s="11"/>
      <c r="R622" s="11"/>
      <c r="CB622" s="11"/>
      <c r="CE622" s="11"/>
      <c r="CF622" s="11"/>
    </row>
    <row r="623" spans="4:84" x14ac:dyDescent="0.25">
      <c r="D623" s="11"/>
      <c r="E623" s="11"/>
      <c r="F623" s="11"/>
      <c r="G623" s="11"/>
      <c r="H623" s="11"/>
      <c r="I623" s="11"/>
      <c r="J623" s="11"/>
      <c r="N623" s="11"/>
      <c r="O623" s="11"/>
      <c r="P623" s="11"/>
      <c r="Q623" s="11"/>
      <c r="R623" s="11"/>
      <c r="CB623" s="11"/>
      <c r="CE623" s="11"/>
      <c r="CF623" s="11"/>
    </row>
    <row r="624" spans="4:84" x14ac:dyDescent="0.25">
      <c r="D624" s="11"/>
      <c r="E624" s="11"/>
      <c r="F624" s="11"/>
      <c r="G624" s="11"/>
      <c r="H624" s="11"/>
      <c r="I624" s="11"/>
      <c r="J624" s="11"/>
      <c r="N624" s="11"/>
      <c r="O624" s="11"/>
      <c r="P624" s="11"/>
      <c r="Q624" s="11"/>
      <c r="R624" s="11"/>
      <c r="CB624" s="11"/>
      <c r="CE624" s="11"/>
      <c r="CF624" s="11"/>
    </row>
    <row r="625" spans="4:84" x14ac:dyDescent="0.25">
      <c r="D625" s="11"/>
      <c r="E625" s="11"/>
      <c r="F625" s="11"/>
      <c r="G625" s="11"/>
      <c r="H625" s="11"/>
      <c r="I625" s="11"/>
      <c r="J625" s="11"/>
      <c r="N625" s="11"/>
      <c r="O625" s="11"/>
      <c r="P625" s="11"/>
      <c r="Q625" s="11"/>
      <c r="R625" s="11"/>
      <c r="CB625" s="11"/>
      <c r="CE625" s="11"/>
      <c r="CF625" s="11"/>
    </row>
    <row r="626" spans="4:84" x14ac:dyDescent="0.25">
      <c r="D626" s="11"/>
      <c r="E626" s="11"/>
      <c r="F626" s="11"/>
      <c r="G626" s="11"/>
      <c r="H626" s="11"/>
      <c r="I626" s="11"/>
      <c r="J626" s="11"/>
      <c r="N626" s="11"/>
      <c r="O626" s="11"/>
      <c r="P626" s="11"/>
      <c r="Q626" s="11"/>
      <c r="R626" s="11"/>
      <c r="CB626" s="11"/>
      <c r="CE626" s="11"/>
      <c r="CF626" s="11"/>
    </row>
    <row r="627" spans="4:84" x14ac:dyDescent="0.25">
      <c r="D627" s="11"/>
      <c r="E627" s="11"/>
      <c r="F627" s="11"/>
      <c r="G627" s="11"/>
      <c r="H627" s="11"/>
      <c r="I627" s="11"/>
      <c r="J627" s="11"/>
      <c r="N627" s="11"/>
      <c r="O627" s="11"/>
      <c r="P627" s="11"/>
      <c r="Q627" s="11"/>
      <c r="R627" s="11"/>
      <c r="CB627" s="11"/>
      <c r="CE627" s="11"/>
      <c r="CF627" s="11"/>
    </row>
    <row r="628" spans="4:84" x14ac:dyDescent="0.25">
      <c r="D628" s="11"/>
      <c r="E628" s="11"/>
      <c r="F628" s="11"/>
      <c r="G628" s="11"/>
      <c r="H628" s="11"/>
      <c r="I628" s="11"/>
      <c r="J628" s="11"/>
      <c r="N628" s="11"/>
      <c r="O628" s="11"/>
      <c r="P628" s="11"/>
      <c r="Q628" s="11"/>
      <c r="R628" s="11"/>
      <c r="CB628" s="11"/>
      <c r="CE628" s="11"/>
      <c r="CF628" s="11"/>
    </row>
    <row r="629" spans="4:84" x14ac:dyDescent="0.25">
      <c r="D629" s="11"/>
      <c r="E629" s="11"/>
      <c r="F629" s="11"/>
      <c r="G629" s="11"/>
      <c r="H629" s="11"/>
      <c r="I629" s="11"/>
      <c r="J629" s="11"/>
      <c r="N629" s="11"/>
      <c r="O629" s="11"/>
      <c r="P629" s="11"/>
      <c r="Q629" s="11"/>
      <c r="R629" s="11"/>
      <c r="CB629" s="11"/>
      <c r="CE629" s="11"/>
      <c r="CF629" s="11"/>
    </row>
    <row r="630" spans="4:84" x14ac:dyDescent="0.25">
      <c r="D630" s="11"/>
      <c r="E630" s="11"/>
      <c r="F630" s="11"/>
      <c r="G630" s="11"/>
      <c r="H630" s="11"/>
      <c r="I630" s="11"/>
      <c r="J630" s="11"/>
      <c r="N630" s="11"/>
      <c r="O630" s="11"/>
      <c r="P630" s="11"/>
      <c r="Q630" s="11"/>
      <c r="R630" s="11"/>
      <c r="CB630" s="11"/>
      <c r="CE630" s="11"/>
      <c r="CF630" s="11"/>
    </row>
    <row r="631" spans="4:84" x14ac:dyDescent="0.25">
      <c r="D631" s="11"/>
      <c r="E631" s="11"/>
      <c r="F631" s="11"/>
      <c r="G631" s="11"/>
      <c r="H631" s="11"/>
      <c r="I631" s="11"/>
      <c r="J631" s="11"/>
      <c r="N631" s="11"/>
      <c r="O631" s="11"/>
      <c r="P631" s="11"/>
      <c r="Q631" s="11"/>
      <c r="R631" s="11"/>
      <c r="CB631" s="11"/>
      <c r="CE631" s="11"/>
      <c r="CF631" s="11"/>
    </row>
    <row r="632" spans="4:84" x14ac:dyDescent="0.25">
      <c r="D632" s="11"/>
      <c r="E632" s="11"/>
      <c r="F632" s="11"/>
      <c r="G632" s="11"/>
      <c r="H632" s="11"/>
      <c r="I632" s="11"/>
      <c r="J632" s="11"/>
      <c r="N632" s="11"/>
      <c r="O632" s="11"/>
      <c r="P632" s="11"/>
      <c r="Q632" s="11"/>
      <c r="R632" s="11"/>
      <c r="CB632" s="11"/>
      <c r="CE632" s="11"/>
      <c r="CF632" s="11"/>
    </row>
    <row r="633" spans="4:84" x14ac:dyDescent="0.25">
      <c r="D633" s="11"/>
      <c r="E633" s="11"/>
      <c r="F633" s="11"/>
      <c r="G633" s="11"/>
      <c r="H633" s="11"/>
      <c r="I633" s="11"/>
      <c r="J633" s="11"/>
      <c r="N633" s="11"/>
      <c r="O633" s="11"/>
      <c r="P633" s="11"/>
      <c r="Q633" s="11"/>
      <c r="R633" s="11"/>
      <c r="CB633" s="11"/>
      <c r="CE633" s="11"/>
      <c r="CF633" s="11"/>
    </row>
    <row r="634" spans="4:84" x14ac:dyDescent="0.25">
      <c r="D634" s="11"/>
      <c r="E634" s="11"/>
      <c r="F634" s="11"/>
      <c r="G634" s="11"/>
      <c r="H634" s="11"/>
      <c r="I634" s="11"/>
      <c r="J634" s="11"/>
      <c r="N634" s="11"/>
      <c r="O634" s="11"/>
      <c r="P634" s="11"/>
      <c r="Q634" s="11"/>
      <c r="R634" s="11"/>
      <c r="CB634" s="11"/>
      <c r="CE634" s="11"/>
      <c r="CF634" s="11"/>
    </row>
    <row r="635" spans="4:84" x14ac:dyDescent="0.25">
      <c r="D635" s="11"/>
      <c r="E635" s="11"/>
      <c r="F635" s="11"/>
      <c r="G635" s="11"/>
      <c r="H635" s="11"/>
      <c r="I635" s="11"/>
      <c r="J635" s="11"/>
      <c r="N635" s="11"/>
      <c r="O635" s="11"/>
      <c r="P635" s="11"/>
      <c r="Q635" s="11"/>
      <c r="R635" s="11"/>
      <c r="CB635" s="11"/>
      <c r="CE635" s="11"/>
      <c r="CF635" s="11"/>
    </row>
    <row r="636" spans="4:84" x14ac:dyDescent="0.25">
      <c r="D636" s="11"/>
      <c r="E636" s="11"/>
      <c r="F636" s="11"/>
      <c r="G636" s="11"/>
      <c r="H636" s="11"/>
      <c r="I636" s="11"/>
      <c r="J636" s="11"/>
      <c r="N636" s="11"/>
      <c r="O636" s="11"/>
      <c r="P636" s="11"/>
      <c r="Q636" s="11"/>
      <c r="R636" s="11"/>
      <c r="CB636" s="11"/>
      <c r="CE636" s="11"/>
      <c r="CF636" s="11"/>
    </row>
    <row r="637" spans="4:84" x14ac:dyDescent="0.25">
      <c r="D637" s="11"/>
      <c r="E637" s="11"/>
      <c r="F637" s="11"/>
      <c r="G637" s="11"/>
      <c r="H637" s="11"/>
      <c r="I637" s="11"/>
      <c r="J637" s="11"/>
      <c r="N637" s="11"/>
      <c r="O637" s="11"/>
      <c r="P637" s="11"/>
      <c r="Q637" s="11"/>
      <c r="R637" s="11"/>
      <c r="CB637" s="11"/>
      <c r="CE637" s="11"/>
      <c r="CF637" s="11"/>
    </row>
    <row r="638" spans="4:84" x14ac:dyDescent="0.25">
      <c r="D638" s="11"/>
      <c r="E638" s="11"/>
      <c r="F638" s="11"/>
      <c r="G638" s="11"/>
      <c r="H638" s="11"/>
      <c r="I638" s="11"/>
      <c r="J638" s="11"/>
      <c r="N638" s="11"/>
      <c r="O638" s="11"/>
      <c r="P638" s="11"/>
      <c r="Q638" s="11"/>
      <c r="R638" s="11"/>
      <c r="CB638" s="11"/>
      <c r="CE638" s="11"/>
      <c r="CF638" s="11"/>
    </row>
    <row r="639" spans="4:84" x14ac:dyDescent="0.25">
      <c r="D639" s="11"/>
      <c r="E639" s="11"/>
      <c r="F639" s="11"/>
      <c r="G639" s="11"/>
      <c r="H639" s="11"/>
      <c r="I639" s="11"/>
      <c r="J639" s="11"/>
      <c r="N639" s="11"/>
      <c r="O639" s="11"/>
      <c r="P639" s="11"/>
      <c r="Q639" s="11"/>
      <c r="R639" s="11"/>
      <c r="CB639" s="11"/>
      <c r="CE639" s="11"/>
      <c r="CF639" s="11"/>
    </row>
    <row r="640" spans="4:84" x14ac:dyDescent="0.25">
      <c r="D640" s="11"/>
      <c r="E640" s="11"/>
      <c r="F640" s="11"/>
      <c r="G640" s="11"/>
      <c r="H640" s="11"/>
      <c r="I640" s="11"/>
      <c r="J640" s="11"/>
      <c r="N640" s="11"/>
      <c r="O640" s="11"/>
      <c r="P640" s="11"/>
      <c r="Q640" s="11"/>
      <c r="R640" s="11"/>
      <c r="CB640" s="11"/>
      <c r="CE640" s="11"/>
      <c r="CF640" s="11"/>
    </row>
    <row r="641" spans="4:84" x14ac:dyDescent="0.25">
      <c r="D641" s="11"/>
      <c r="E641" s="11"/>
      <c r="F641" s="11"/>
      <c r="G641" s="11"/>
      <c r="H641" s="11"/>
      <c r="I641" s="11"/>
      <c r="J641" s="11"/>
      <c r="N641" s="11"/>
      <c r="O641" s="11"/>
      <c r="P641" s="11"/>
      <c r="Q641" s="11"/>
      <c r="R641" s="11"/>
      <c r="CB641" s="11"/>
      <c r="CE641" s="11"/>
      <c r="CF641" s="11"/>
    </row>
    <row r="642" spans="4:84" x14ac:dyDescent="0.25">
      <c r="D642" s="11"/>
      <c r="E642" s="11"/>
      <c r="F642" s="11"/>
      <c r="G642" s="11"/>
      <c r="H642" s="11"/>
      <c r="I642" s="11"/>
      <c r="J642" s="11"/>
      <c r="N642" s="11"/>
      <c r="O642" s="11"/>
      <c r="P642" s="11"/>
      <c r="Q642" s="11"/>
      <c r="R642" s="11"/>
      <c r="CB642" s="11"/>
      <c r="CE642" s="11"/>
      <c r="CF642" s="11"/>
    </row>
    <row r="643" spans="4:84" x14ac:dyDescent="0.25">
      <c r="D643" s="11"/>
      <c r="E643" s="11"/>
      <c r="F643" s="11"/>
      <c r="G643" s="11"/>
      <c r="H643" s="11"/>
      <c r="I643" s="11"/>
      <c r="J643" s="11"/>
      <c r="N643" s="11"/>
      <c r="O643" s="11"/>
      <c r="P643" s="11"/>
      <c r="Q643" s="11"/>
      <c r="R643" s="11"/>
      <c r="CB643" s="11"/>
      <c r="CE643" s="11"/>
      <c r="CF643" s="11"/>
    </row>
    <row r="644" spans="4:84" x14ac:dyDescent="0.25">
      <c r="D644" s="11"/>
      <c r="E644" s="11"/>
      <c r="F644" s="11"/>
      <c r="G644" s="11"/>
      <c r="H644" s="11"/>
      <c r="I644" s="11"/>
      <c r="J644" s="11"/>
      <c r="N644" s="11"/>
      <c r="O644" s="11"/>
      <c r="P644" s="11"/>
      <c r="Q644" s="11"/>
      <c r="R644" s="11"/>
      <c r="CB644" s="11"/>
      <c r="CE644" s="11"/>
      <c r="CF644" s="11"/>
    </row>
    <row r="645" spans="4:84" x14ac:dyDescent="0.25">
      <c r="D645" s="11"/>
      <c r="E645" s="11"/>
      <c r="F645" s="11"/>
      <c r="G645" s="11"/>
      <c r="H645" s="11"/>
      <c r="I645" s="11"/>
      <c r="J645" s="11"/>
      <c r="N645" s="11"/>
      <c r="O645" s="11"/>
      <c r="P645" s="11"/>
      <c r="Q645" s="11"/>
      <c r="R645" s="11"/>
      <c r="CB645" s="11"/>
      <c r="CE645" s="11"/>
      <c r="CF645" s="11"/>
    </row>
    <row r="646" spans="4:84" x14ac:dyDescent="0.25">
      <c r="D646" s="11"/>
      <c r="E646" s="11"/>
      <c r="F646" s="11"/>
      <c r="G646" s="11"/>
      <c r="H646" s="11"/>
      <c r="I646" s="11"/>
      <c r="J646" s="11"/>
      <c r="N646" s="11"/>
      <c r="O646" s="11"/>
      <c r="P646" s="11"/>
      <c r="Q646" s="11"/>
      <c r="R646" s="11"/>
      <c r="CB646" s="11"/>
      <c r="CE646" s="11"/>
      <c r="CF646" s="11"/>
    </row>
    <row r="647" spans="4:84" x14ac:dyDescent="0.25">
      <c r="D647" s="11"/>
      <c r="E647" s="11"/>
      <c r="F647" s="11"/>
      <c r="G647" s="11"/>
      <c r="H647" s="11"/>
      <c r="I647" s="11"/>
      <c r="J647" s="11"/>
      <c r="N647" s="11"/>
      <c r="O647" s="11"/>
      <c r="P647" s="11"/>
      <c r="Q647" s="11"/>
      <c r="R647" s="11"/>
      <c r="CB647" s="11"/>
      <c r="CE647" s="11"/>
      <c r="CF647" s="11"/>
    </row>
    <row r="648" spans="4:84" x14ac:dyDescent="0.25">
      <c r="D648" s="11"/>
      <c r="E648" s="11"/>
      <c r="F648" s="11"/>
      <c r="G648" s="11"/>
      <c r="H648" s="11"/>
      <c r="I648" s="11"/>
      <c r="J648" s="11"/>
      <c r="N648" s="11"/>
      <c r="O648" s="11"/>
      <c r="P648" s="11"/>
      <c r="Q648" s="11"/>
      <c r="R648" s="11"/>
      <c r="CB648" s="11"/>
      <c r="CE648" s="11"/>
      <c r="CF648" s="11"/>
    </row>
    <row r="649" spans="4:84" x14ac:dyDescent="0.25">
      <c r="D649" s="11"/>
      <c r="E649" s="11"/>
      <c r="F649" s="11"/>
      <c r="G649" s="11"/>
      <c r="H649" s="11"/>
      <c r="I649" s="11"/>
      <c r="J649" s="11"/>
      <c r="N649" s="11"/>
      <c r="O649" s="11"/>
      <c r="P649" s="11"/>
      <c r="Q649" s="11"/>
      <c r="R649" s="11"/>
      <c r="CB649" s="11"/>
      <c r="CE649" s="11"/>
      <c r="CF649" s="11"/>
    </row>
    <row r="650" spans="4:84" x14ac:dyDescent="0.25">
      <c r="D650" s="11"/>
      <c r="E650" s="11"/>
      <c r="F650" s="11"/>
      <c r="G650" s="11"/>
      <c r="H650" s="11"/>
      <c r="I650" s="11"/>
      <c r="J650" s="11"/>
      <c r="N650" s="11"/>
      <c r="O650" s="11"/>
      <c r="P650" s="11"/>
      <c r="Q650" s="11"/>
      <c r="R650" s="11"/>
      <c r="CB650" s="11"/>
      <c r="CE650" s="11"/>
      <c r="CF650" s="11"/>
    </row>
    <row r="651" spans="4:84" x14ac:dyDescent="0.25">
      <c r="D651" s="11"/>
      <c r="E651" s="11"/>
      <c r="F651" s="11"/>
      <c r="G651" s="11"/>
      <c r="H651" s="11"/>
      <c r="I651" s="11"/>
      <c r="J651" s="11"/>
      <c r="N651" s="11"/>
      <c r="O651" s="11"/>
      <c r="P651" s="11"/>
      <c r="Q651" s="11"/>
      <c r="R651" s="11"/>
      <c r="CB651" s="11"/>
      <c r="CE651" s="11"/>
      <c r="CF651" s="11"/>
    </row>
    <row r="652" spans="4:84" x14ac:dyDescent="0.25">
      <c r="D652" s="11"/>
      <c r="E652" s="11"/>
      <c r="F652" s="11"/>
      <c r="G652" s="11"/>
      <c r="H652" s="11"/>
      <c r="I652" s="11"/>
      <c r="J652" s="11"/>
      <c r="N652" s="11"/>
      <c r="O652" s="11"/>
      <c r="P652" s="11"/>
      <c r="Q652" s="11"/>
      <c r="R652" s="11"/>
      <c r="CB652" s="11"/>
      <c r="CE652" s="11"/>
      <c r="CF652" s="11"/>
    </row>
    <row r="653" spans="4:84" x14ac:dyDescent="0.25">
      <c r="D653" s="11"/>
      <c r="E653" s="11"/>
      <c r="F653" s="11"/>
      <c r="G653" s="11"/>
      <c r="H653" s="11"/>
      <c r="I653" s="11"/>
      <c r="J653" s="11"/>
      <c r="N653" s="11"/>
      <c r="O653" s="11"/>
      <c r="P653" s="11"/>
      <c r="Q653" s="11"/>
      <c r="R653" s="11"/>
      <c r="CB653" s="11"/>
      <c r="CE653" s="11"/>
      <c r="CF653" s="11"/>
    </row>
    <row r="654" spans="4:84" x14ac:dyDescent="0.25">
      <c r="D654" s="11"/>
      <c r="E654" s="11"/>
      <c r="F654" s="11"/>
      <c r="G654" s="11"/>
      <c r="H654" s="11"/>
      <c r="I654" s="11"/>
      <c r="J654" s="11"/>
      <c r="N654" s="11"/>
      <c r="O654" s="11"/>
      <c r="P654" s="11"/>
      <c r="Q654" s="11"/>
      <c r="R654" s="11"/>
      <c r="CB654" s="11"/>
      <c r="CE654" s="11"/>
      <c r="CF654" s="11"/>
    </row>
    <row r="655" spans="4:84" x14ac:dyDescent="0.25">
      <c r="D655" s="11"/>
      <c r="E655" s="11"/>
      <c r="F655" s="11"/>
      <c r="G655" s="11"/>
      <c r="H655" s="11"/>
      <c r="I655" s="11"/>
      <c r="J655" s="11"/>
      <c r="N655" s="11"/>
      <c r="O655" s="11"/>
      <c r="P655" s="11"/>
      <c r="Q655" s="11"/>
      <c r="R655" s="11"/>
      <c r="CB655" s="11"/>
      <c r="CE655" s="11"/>
      <c r="CF655" s="11"/>
    </row>
    <row r="656" spans="4:84" x14ac:dyDescent="0.25">
      <c r="D656" s="11"/>
      <c r="E656" s="11"/>
      <c r="F656" s="11"/>
      <c r="G656" s="11"/>
      <c r="H656" s="11"/>
      <c r="I656" s="11"/>
      <c r="J656" s="11"/>
      <c r="N656" s="11"/>
      <c r="O656" s="11"/>
      <c r="P656" s="11"/>
      <c r="Q656" s="11"/>
      <c r="R656" s="11"/>
      <c r="CB656" s="11"/>
      <c r="CE656" s="11"/>
      <c r="CF656" s="11"/>
    </row>
    <row r="657" spans="4:84" x14ac:dyDescent="0.25">
      <c r="D657" s="11"/>
      <c r="E657" s="11"/>
      <c r="F657" s="11"/>
      <c r="G657" s="11"/>
      <c r="H657" s="11"/>
      <c r="I657" s="11"/>
      <c r="J657" s="11"/>
      <c r="N657" s="11"/>
      <c r="O657" s="11"/>
      <c r="P657" s="11"/>
      <c r="Q657" s="11"/>
      <c r="R657" s="11"/>
      <c r="CB657" s="11"/>
      <c r="CE657" s="11"/>
      <c r="CF657" s="11"/>
    </row>
    <row r="658" spans="4:84" x14ac:dyDescent="0.25">
      <c r="D658" s="11"/>
      <c r="E658" s="11"/>
      <c r="F658" s="11"/>
      <c r="G658" s="11"/>
      <c r="H658" s="11"/>
      <c r="I658" s="11"/>
      <c r="J658" s="11"/>
      <c r="N658" s="11"/>
      <c r="O658" s="11"/>
      <c r="P658" s="11"/>
      <c r="Q658" s="11"/>
      <c r="R658" s="11"/>
      <c r="CB658" s="11"/>
      <c r="CE658" s="11"/>
      <c r="CF658" s="11"/>
    </row>
    <row r="659" spans="4:84" x14ac:dyDescent="0.25">
      <c r="D659" s="11"/>
      <c r="E659" s="11"/>
      <c r="F659" s="11"/>
      <c r="G659" s="11"/>
      <c r="H659" s="11"/>
      <c r="I659" s="11"/>
      <c r="J659" s="11"/>
      <c r="N659" s="11"/>
      <c r="O659" s="11"/>
      <c r="P659" s="11"/>
      <c r="Q659" s="11"/>
      <c r="R659" s="11"/>
      <c r="CB659" s="11"/>
      <c r="CE659" s="11"/>
      <c r="CF659" s="11"/>
    </row>
    <row r="660" spans="4:84" x14ac:dyDescent="0.25">
      <c r="D660" s="11"/>
      <c r="E660" s="11"/>
      <c r="F660" s="11"/>
      <c r="G660" s="11"/>
      <c r="H660" s="11"/>
      <c r="I660" s="11"/>
      <c r="J660" s="11"/>
      <c r="N660" s="11"/>
      <c r="O660" s="11"/>
      <c r="P660" s="11"/>
      <c r="Q660" s="11"/>
      <c r="R660" s="11"/>
      <c r="CB660" s="11"/>
      <c r="CE660" s="11"/>
      <c r="CF660" s="11"/>
    </row>
    <row r="661" spans="4:84" x14ac:dyDescent="0.25">
      <c r="D661" s="11"/>
      <c r="E661" s="11"/>
      <c r="F661" s="11"/>
      <c r="G661" s="11"/>
      <c r="H661" s="11"/>
      <c r="I661" s="11"/>
      <c r="J661" s="11"/>
      <c r="N661" s="11"/>
      <c r="O661" s="11"/>
      <c r="P661" s="11"/>
      <c r="Q661" s="11"/>
      <c r="R661" s="11"/>
      <c r="CB661" s="11"/>
      <c r="CE661" s="11"/>
      <c r="CF661" s="11"/>
    </row>
    <row r="662" spans="4:84" x14ac:dyDescent="0.25">
      <c r="D662" s="11"/>
      <c r="E662" s="11"/>
      <c r="F662" s="11"/>
      <c r="G662" s="11"/>
      <c r="H662" s="11"/>
      <c r="I662" s="11"/>
      <c r="J662" s="11"/>
      <c r="N662" s="11"/>
      <c r="O662" s="11"/>
      <c r="P662" s="11"/>
      <c r="Q662" s="11"/>
      <c r="R662" s="11"/>
      <c r="CB662" s="11"/>
      <c r="CE662" s="11"/>
      <c r="CF662" s="11"/>
    </row>
    <row r="663" spans="4:84" x14ac:dyDescent="0.25">
      <c r="D663" s="11"/>
      <c r="E663" s="11"/>
      <c r="F663" s="11"/>
      <c r="G663" s="11"/>
      <c r="H663" s="11"/>
      <c r="I663" s="11"/>
      <c r="J663" s="11"/>
      <c r="N663" s="11"/>
      <c r="O663" s="11"/>
      <c r="P663" s="11"/>
      <c r="Q663" s="11"/>
      <c r="R663" s="11"/>
      <c r="CB663" s="11"/>
      <c r="CE663" s="11"/>
      <c r="CF663" s="11"/>
    </row>
    <row r="664" spans="4:84" x14ac:dyDescent="0.25">
      <c r="D664" s="11"/>
      <c r="E664" s="11"/>
      <c r="F664" s="11"/>
      <c r="G664" s="11"/>
      <c r="H664" s="11"/>
      <c r="I664" s="11"/>
      <c r="J664" s="11"/>
      <c r="N664" s="11"/>
      <c r="O664" s="11"/>
      <c r="P664" s="11"/>
      <c r="Q664" s="11"/>
      <c r="R664" s="11"/>
      <c r="CB664" s="11"/>
      <c r="CE664" s="11"/>
      <c r="CF664" s="11"/>
    </row>
    <row r="665" spans="4:84" x14ac:dyDescent="0.25">
      <c r="D665" s="11"/>
      <c r="E665" s="11"/>
      <c r="F665" s="11"/>
      <c r="G665" s="11"/>
      <c r="H665" s="11"/>
      <c r="I665" s="11"/>
      <c r="J665" s="11"/>
      <c r="N665" s="11"/>
      <c r="O665" s="11"/>
      <c r="P665" s="11"/>
      <c r="Q665" s="11"/>
      <c r="R665" s="11"/>
      <c r="CB665" s="11"/>
      <c r="CE665" s="11"/>
      <c r="CF665" s="11"/>
    </row>
    <row r="666" spans="4:84" x14ac:dyDescent="0.25">
      <c r="D666" s="11"/>
      <c r="E666" s="11"/>
      <c r="F666" s="11"/>
      <c r="G666" s="11"/>
      <c r="H666" s="11"/>
      <c r="I666" s="11"/>
      <c r="J666" s="11"/>
      <c r="N666" s="11"/>
      <c r="O666" s="11"/>
      <c r="P666" s="11"/>
      <c r="Q666" s="11"/>
      <c r="R666" s="11"/>
      <c r="CB666" s="11"/>
      <c r="CE666" s="11"/>
      <c r="CF666" s="11"/>
    </row>
    <row r="667" spans="4:84" x14ac:dyDescent="0.25">
      <c r="D667" s="11"/>
      <c r="E667" s="11"/>
      <c r="F667" s="11"/>
      <c r="G667" s="11"/>
      <c r="H667" s="11"/>
      <c r="I667" s="11"/>
      <c r="J667" s="11"/>
      <c r="N667" s="11"/>
      <c r="O667" s="11"/>
      <c r="P667" s="11"/>
      <c r="Q667" s="11"/>
      <c r="R667" s="11"/>
      <c r="CB667" s="11"/>
      <c r="CE667" s="11"/>
      <c r="CF667" s="11"/>
    </row>
    <row r="668" spans="4:84" x14ac:dyDescent="0.25">
      <c r="D668" s="11"/>
      <c r="E668" s="11"/>
      <c r="F668" s="11"/>
      <c r="G668" s="11"/>
      <c r="H668" s="11"/>
      <c r="I668" s="11"/>
      <c r="J668" s="11"/>
      <c r="N668" s="11"/>
      <c r="O668" s="11"/>
      <c r="P668" s="11"/>
      <c r="Q668" s="11"/>
      <c r="R668" s="11"/>
      <c r="CB668" s="11"/>
      <c r="CE668" s="11"/>
      <c r="CF668" s="11"/>
    </row>
    <row r="669" spans="4:84" x14ac:dyDescent="0.25">
      <c r="D669" s="11"/>
      <c r="E669" s="11"/>
      <c r="F669" s="11"/>
      <c r="G669" s="11"/>
      <c r="H669" s="11"/>
      <c r="I669" s="11"/>
      <c r="J669" s="11"/>
      <c r="N669" s="11"/>
      <c r="O669" s="11"/>
      <c r="P669" s="11"/>
      <c r="Q669" s="11"/>
      <c r="R669" s="11"/>
      <c r="CB669" s="11"/>
      <c r="CE669" s="11"/>
      <c r="CF669" s="11"/>
    </row>
    <row r="670" spans="4:84" x14ac:dyDescent="0.25">
      <c r="D670" s="11"/>
      <c r="E670" s="11"/>
      <c r="F670" s="11"/>
      <c r="G670" s="11"/>
      <c r="H670" s="11"/>
      <c r="I670" s="11"/>
      <c r="J670" s="11"/>
      <c r="N670" s="11"/>
      <c r="O670" s="11"/>
      <c r="P670" s="11"/>
      <c r="Q670" s="11"/>
      <c r="R670" s="11"/>
      <c r="CB670" s="11"/>
      <c r="CE670" s="11"/>
      <c r="CF670" s="11"/>
    </row>
    <row r="671" spans="4:84" x14ac:dyDescent="0.25">
      <c r="D671" s="11"/>
      <c r="E671" s="11"/>
      <c r="F671" s="11"/>
      <c r="G671" s="11"/>
      <c r="H671" s="11"/>
      <c r="I671" s="11"/>
      <c r="J671" s="11"/>
      <c r="N671" s="11"/>
      <c r="O671" s="11"/>
      <c r="P671" s="11"/>
      <c r="Q671" s="11"/>
      <c r="R671" s="11"/>
      <c r="CB671" s="11"/>
      <c r="CE671" s="11"/>
      <c r="CF671" s="11"/>
    </row>
    <row r="672" spans="4:84" x14ac:dyDescent="0.25">
      <c r="D672" s="11"/>
      <c r="E672" s="11"/>
      <c r="F672" s="11"/>
      <c r="G672" s="11"/>
      <c r="H672" s="11"/>
      <c r="I672" s="11"/>
      <c r="J672" s="11"/>
      <c r="N672" s="11"/>
      <c r="O672" s="11"/>
      <c r="P672" s="11"/>
      <c r="Q672" s="11"/>
      <c r="R672" s="11"/>
      <c r="CB672" s="11"/>
      <c r="CE672" s="11"/>
      <c r="CF672" s="11"/>
    </row>
    <row r="673" spans="4:84" x14ac:dyDescent="0.25">
      <c r="D673" s="11"/>
      <c r="E673" s="11"/>
      <c r="F673" s="11"/>
      <c r="G673" s="11"/>
      <c r="H673" s="11"/>
      <c r="I673" s="11"/>
      <c r="J673" s="11"/>
      <c r="N673" s="11"/>
      <c r="O673" s="11"/>
      <c r="P673" s="11"/>
      <c r="Q673" s="11"/>
      <c r="R673" s="11"/>
      <c r="CB673" s="11"/>
      <c r="CE673" s="11"/>
      <c r="CF673" s="11"/>
    </row>
    <row r="674" spans="4:84" x14ac:dyDescent="0.25">
      <c r="D674" s="11"/>
      <c r="E674" s="11"/>
      <c r="F674" s="11"/>
      <c r="G674" s="11"/>
      <c r="H674" s="11"/>
      <c r="I674" s="11"/>
      <c r="J674" s="11"/>
      <c r="N674" s="11"/>
      <c r="O674" s="11"/>
      <c r="P674" s="11"/>
      <c r="Q674" s="11"/>
      <c r="R674" s="11"/>
      <c r="CB674" s="11"/>
      <c r="CE674" s="11"/>
      <c r="CF674" s="11"/>
    </row>
    <row r="675" spans="4:84" x14ac:dyDescent="0.25">
      <c r="D675" s="11"/>
      <c r="E675" s="11"/>
      <c r="F675" s="11"/>
      <c r="G675" s="11"/>
      <c r="H675" s="11"/>
      <c r="I675" s="11"/>
      <c r="J675" s="11"/>
      <c r="N675" s="11"/>
      <c r="O675" s="11"/>
      <c r="P675" s="11"/>
      <c r="Q675" s="11"/>
      <c r="R675" s="11"/>
      <c r="CB675" s="11"/>
      <c r="CE675" s="11"/>
      <c r="CF675" s="11"/>
    </row>
    <row r="676" spans="4:84" x14ac:dyDescent="0.25">
      <c r="D676" s="11"/>
      <c r="E676" s="11"/>
      <c r="F676" s="11"/>
      <c r="G676" s="11"/>
      <c r="H676" s="11"/>
      <c r="I676" s="11"/>
      <c r="J676" s="11"/>
      <c r="N676" s="11"/>
      <c r="O676" s="11"/>
      <c r="P676" s="11"/>
      <c r="Q676" s="11"/>
      <c r="R676" s="11"/>
      <c r="CB676" s="11"/>
      <c r="CE676" s="11"/>
      <c r="CF676" s="11"/>
    </row>
    <row r="677" spans="4:84" x14ac:dyDescent="0.25">
      <c r="D677" s="11"/>
      <c r="E677" s="11"/>
      <c r="F677" s="11"/>
      <c r="G677" s="11"/>
      <c r="H677" s="11"/>
      <c r="I677" s="11"/>
      <c r="J677" s="11"/>
      <c r="N677" s="11"/>
      <c r="O677" s="11"/>
      <c r="P677" s="11"/>
      <c r="Q677" s="11"/>
      <c r="R677" s="11"/>
      <c r="CB677" s="11"/>
      <c r="CE677" s="11"/>
      <c r="CF677" s="11"/>
    </row>
    <row r="678" spans="4:84" x14ac:dyDescent="0.25">
      <c r="D678" s="11"/>
      <c r="E678" s="11"/>
      <c r="F678" s="11"/>
      <c r="G678" s="11"/>
      <c r="H678" s="11"/>
      <c r="I678" s="11"/>
      <c r="J678" s="11"/>
      <c r="N678" s="11"/>
      <c r="O678" s="11"/>
      <c r="P678" s="11"/>
      <c r="Q678" s="11"/>
      <c r="R678" s="11"/>
      <c r="CB678" s="11"/>
      <c r="CE678" s="11"/>
      <c r="CF678" s="11"/>
    </row>
    <row r="679" spans="4:84" x14ac:dyDescent="0.25">
      <c r="D679" s="11"/>
      <c r="E679" s="11"/>
      <c r="F679" s="11"/>
      <c r="G679" s="11"/>
      <c r="H679" s="11"/>
      <c r="I679" s="11"/>
      <c r="J679" s="11"/>
      <c r="N679" s="11"/>
      <c r="O679" s="11"/>
      <c r="P679" s="11"/>
      <c r="Q679" s="11"/>
      <c r="R679" s="11"/>
      <c r="CB679" s="11"/>
      <c r="CE679" s="11"/>
      <c r="CF679" s="11"/>
    </row>
    <row r="680" spans="4:84" x14ac:dyDescent="0.25">
      <c r="D680" s="11"/>
      <c r="E680" s="11"/>
      <c r="F680" s="11"/>
      <c r="G680" s="11"/>
      <c r="H680" s="11"/>
      <c r="I680" s="11"/>
      <c r="J680" s="11"/>
      <c r="N680" s="11"/>
      <c r="O680" s="11"/>
      <c r="P680" s="11"/>
      <c r="Q680" s="11"/>
      <c r="R680" s="11"/>
      <c r="CB680" s="11"/>
      <c r="CE680" s="11"/>
      <c r="CF680" s="11"/>
    </row>
    <row r="681" spans="4:84" x14ac:dyDescent="0.25">
      <c r="D681" s="11"/>
      <c r="E681" s="11"/>
      <c r="F681" s="11"/>
      <c r="G681" s="11"/>
      <c r="H681" s="11"/>
      <c r="I681" s="11"/>
      <c r="J681" s="11"/>
      <c r="N681" s="11"/>
      <c r="O681" s="11"/>
      <c r="P681" s="11"/>
      <c r="Q681" s="11"/>
      <c r="R681" s="11"/>
      <c r="CB681" s="11"/>
      <c r="CE681" s="11"/>
      <c r="CF681" s="11"/>
    </row>
    <row r="682" spans="4:84" x14ac:dyDescent="0.25">
      <c r="D682" s="11"/>
      <c r="E682" s="11"/>
      <c r="F682" s="11"/>
      <c r="G682" s="11"/>
      <c r="H682" s="11"/>
      <c r="I682" s="11"/>
      <c r="J682" s="11"/>
      <c r="N682" s="11"/>
      <c r="O682" s="11"/>
      <c r="P682" s="11"/>
      <c r="Q682" s="11"/>
      <c r="R682" s="11"/>
      <c r="CB682" s="11"/>
      <c r="CE682" s="11"/>
      <c r="CF682" s="11"/>
    </row>
    <row r="683" spans="4:84" x14ac:dyDescent="0.25">
      <c r="D683" s="11"/>
      <c r="E683" s="11"/>
      <c r="F683" s="11"/>
      <c r="G683" s="11"/>
      <c r="H683" s="11"/>
      <c r="I683" s="11"/>
      <c r="J683" s="11"/>
      <c r="N683" s="11"/>
      <c r="O683" s="11"/>
      <c r="P683" s="11"/>
      <c r="Q683" s="11"/>
      <c r="R683" s="11"/>
      <c r="CB683" s="11"/>
      <c r="CE683" s="11"/>
      <c r="CF683" s="11"/>
    </row>
    <row r="684" spans="4:84" x14ac:dyDescent="0.25">
      <c r="D684" s="11"/>
      <c r="E684" s="11"/>
      <c r="F684" s="11"/>
      <c r="G684" s="11"/>
      <c r="H684" s="11"/>
      <c r="I684" s="11"/>
      <c r="J684" s="11"/>
      <c r="N684" s="11"/>
      <c r="O684" s="11"/>
      <c r="P684" s="11"/>
      <c r="Q684" s="11"/>
      <c r="R684" s="11"/>
      <c r="CB684" s="11"/>
      <c r="CE684" s="11"/>
      <c r="CF684" s="11"/>
    </row>
    <row r="685" spans="4:84" x14ac:dyDescent="0.25">
      <c r="D685" s="11"/>
      <c r="E685" s="11"/>
      <c r="F685" s="11"/>
      <c r="G685" s="11"/>
      <c r="H685" s="11"/>
      <c r="I685" s="11"/>
      <c r="J685" s="11"/>
      <c r="N685" s="11"/>
      <c r="O685" s="11"/>
      <c r="P685" s="11"/>
      <c r="Q685" s="11"/>
      <c r="R685" s="11"/>
      <c r="CB685" s="11"/>
      <c r="CE685" s="11"/>
      <c r="CF685" s="11"/>
    </row>
    <row r="686" spans="4:84" x14ac:dyDescent="0.25">
      <c r="D686" s="11"/>
      <c r="E686" s="11"/>
      <c r="F686" s="11"/>
      <c r="G686" s="11"/>
      <c r="H686" s="11"/>
      <c r="I686" s="11"/>
      <c r="J686" s="11"/>
      <c r="N686" s="11"/>
      <c r="O686" s="11"/>
      <c r="P686" s="11"/>
      <c r="Q686" s="11"/>
      <c r="R686" s="11"/>
      <c r="CB686" s="11"/>
      <c r="CE686" s="11"/>
      <c r="CF686" s="11"/>
    </row>
    <row r="687" spans="4:84" x14ac:dyDescent="0.25">
      <c r="D687" s="11"/>
      <c r="E687" s="11"/>
      <c r="F687" s="11"/>
      <c r="G687" s="11"/>
      <c r="H687" s="11"/>
      <c r="I687" s="11"/>
      <c r="J687" s="11"/>
      <c r="N687" s="11"/>
      <c r="O687" s="11"/>
      <c r="P687" s="11"/>
      <c r="Q687" s="11"/>
      <c r="R687" s="11"/>
      <c r="CB687" s="11"/>
      <c r="CE687" s="11"/>
      <c r="CF687" s="11"/>
    </row>
    <row r="688" spans="4:84" x14ac:dyDescent="0.25">
      <c r="D688" s="11"/>
      <c r="E688" s="11"/>
      <c r="F688" s="11"/>
      <c r="G688" s="11"/>
      <c r="H688" s="11"/>
      <c r="I688" s="11"/>
      <c r="J688" s="11"/>
      <c r="N688" s="11"/>
      <c r="O688" s="11"/>
      <c r="P688" s="11"/>
      <c r="Q688" s="11"/>
      <c r="R688" s="11"/>
      <c r="CB688" s="11"/>
      <c r="CE688" s="11"/>
      <c r="CF688" s="11"/>
    </row>
    <row r="689" spans="4:84" x14ac:dyDescent="0.25">
      <c r="D689" s="11"/>
      <c r="E689" s="11"/>
      <c r="F689" s="11"/>
      <c r="G689" s="11"/>
      <c r="H689" s="11"/>
      <c r="I689" s="11"/>
      <c r="J689" s="11"/>
      <c r="N689" s="11"/>
      <c r="O689" s="11"/>
      <c r="P689" s="11"/>
      <c r="Q689" s="11"/>
      <c r="R689" s="11"/>
      <c r="CB689" s="11"/>
      <c r="CE689" s="11"/>
      <c r="CF689" s="11"/>
    </row>
    <row r="690" spans="4:84" x14ac:dyDescent="0.25">
      <c r="D690" s="11"/>
      <c r="E690" s="11"/>
      <c r="F690" s="11"/>
      <c r="G690" s="11"/>
      <c r="H690" s="11"/>
      <c r="I690" s="11"/>
      <c r="J690" s="11"/>
      <c r="N690" s="11"/>
      <c r="O690" s="11"/>
      <c r="P690" s="11"/>
      <c r="Q690" s="11"/>
      <c r="R690" s="11"/>
      <c r="CB690" s="11"/>
      <c r="CE690" s="11"/>
      <c r="CF690" s="11"/>
    </row>
    <row r="691" spans="4:84" x14ac:dyDescent="0.25">
      <c r="D691" s="11"/>
      <c r="E691" s="11"/>
      <c r="F691" s="11"/>
      <c r="G691" s="11"/>
      <c r="H691" s="11"/>
      <c r="I691" s="11"/>
      <c r="J691" s="11"/>
      <c r="N691" s="11"/>
      <c r="O691" s="11"/>
      <c r="P691" s="11"/>
      <c r="Q691" s="11"/>
      <c r="R691" s="11"/>
      <c r="CB691" s="11"/>
      <c r="CE691" s="11"/>
      <c r="CF691" s="11"/>
    </row>
    <row r="692" spans="4:84" x14ac:dyDescent="0.25">
      <c r="D692" s="11"/>
      <c r="E692" s="11"/>
      <c r="F692" s="11"/>
      <c r="G692" s="11"/>
      <c r="H692" s="11"/>
      <c r="I692" s="11"/>
      <c r="J692" s="11"/>
      <c r="N692" s="11"/>
      <c r="O692" s="11"/>
      <c r="P692" s="11"/>
      <c r="Q692" s="11"/>
      <c r="R692" s="11"/>
      <c r="CB692" s="11"/>
      <c r="CE692" s="11"/>
      <c r="CF692" s="11"/>
    </row>
    <row r="693" spans="4:84" x14ac:dyDescent="0.25">
      <c r="D693" s="11"/>
      <c r="E693" s="11"/>
      <c r="F693" s="11"/>
      <c r="G693" s="11"/>
      <c r="H693" s="11"/>
      <c r="I693" s="11"/>
      <c r="J693" s="11"/>
      <c r="N693" s="11"/>
      <c r="O693" s="11"/>
      <c r="P693" s="11"/>
      <c r="Q693" s="11"/>
      <c r="R693" s="11"/>
      <c r="CB693" s="11"/>
      <c r="CE693" s="11"/>
      <c r="CF693" s="11"/>
    </row>
    <row r="694" spans="4:84" x14ac:dyDescent="0.25">
      <c r="D694" s="11"/>
      <c r="E694" s="11"/>
      <c r="F694" s="11"/>
      <c r="G694" s="11"/>
      <c r="H694" s="11"/>
      <c r="I694" s="11"/>
      <c r="J694" s="11"/>
      <c r="N694" s="11"/>
      <c r="O694" s="11"/>
      <c r="P694" s="11"/>
      <c r="Q694" s="11"/>
      <c r="R694" s="11"/>
      <c r="CB694" s="11"/>
      <c r="CE694" s="11"/>
      <c r="CF694" s="11"/>
    </row>
    <row r="695" spans="4:84" x14ac:dyDescent="0.25">
      <c r="D695" s="11"/>
      <c r="E695" s="11"/>
      <c r="F695" s="11"/>
      <c r="G695" s="11"/>
      <c r="H695" s="11"/>
      <c r="I695" s="11"/>
      <c r="J695" s="11"/>
      <c r="N695" s="11"/>
      <c r="O695" s="11"/>
      <c r="P695" s="11"/>
      <c r="Q695" s="11"/>
      <c r="R695" s="11"/>
      <c r="CB695" s="11"/>
      <c r="CE695" s="11"/>
      <c r="CF695" s="11"/>
    </row>
    <row r="696" spans="4:84" x14ac:dyDescent="0.25">
      <c r="D696" s="11"/>
      <c r="E696" s="11"/>
      <c r="F696" s="11"/>
      <c r="G696" s="11"/>
      <c r="H696" s="11"/>
      <c r="I696" s="11"/>
      <c r="J696" s="11"/>
      <c r="N696" s="11"/>
      <c r="O696" s="11"/>
      <c r="P696" s="11"/>
      <c r="Q696" s="11"/>
      <c r="R696" s="11"/>
      <c r="CB696" s="11"/>
      <c r="CE696" s="11"/>
      <c r="CF696" s="11"/>
    </row>
    <row r="697" spans="4:84" x14ac:dyDescent="0.25">
      <c r="D697" s="11"/>
      <c r="E697" s="11"/>
      <c r="F697" s="11"/>
      <c r="G697" s="11"/>
      <c r="H697" s="11"/>
      <c r="I697" s="11"/>
      <c r="J697" s="11"/>
      <c r="N697" s="11"/>
      <c r="O697" s="11"/>
      <c r="P697" s="11"/>
      <c r="Q697" s="11"/>
      <c r="R697" s="11"/>
      <c r="CB697" s="11"/>
      <c r="CE697" s="11"/>
      <c r="CF697" s="11"/>
    </row>
    <row r="698" spans="4:84" x14ac:dyDescent="0.25">
      <c r="D698" s="11"/>
      <c r="E698" s="11"/>
      <c r="F698" s="11"/>
      <c r="G698" s="11"/>
      <c r="H698" s="11"/>
      <c r="I698" s="11"/>
      <c r="J698" s="11"/>
      <c r="N698" s="11"/>
      <c r="O698" s="11"/>
      <c r="P698" s="11"/>
      <c r="Q698" s="11"/>
      <c r="R698" s="11"/>
      <c r="CB698" s="11"/>
      <c r="CE698" s="11"/>
      <c r="CF698" s="11"/>
    </row>
    <row r="699" spans="4:84" x14ac:dyDescent="0.25">
      <c r="D699" s="11"/>
      <c r="E699" s="11"/>
      <c r="F699" s="11"/>
      <c r="G699" s="11"/>
      <c r="H699" s="11"/>
      <c r="I699" s="11"/>
      <c r="J699" s="11"/>
      <c r="N699" s="11"/>
      <c r="O699" s="11"/>
      <c r="P699" s="11"/>
      <c r="Q699" s="11"/>
      <c r="R699" s="11"/>
      <c r="CB699" s="11"/>
      <c r="CE699" s="11"/>
      <c r="CF699" s="11"/>
    </row>
    <row r="700" spans="4:84" x14ac:dyDescent="0.25">
      <c r="D700" s="11"/>
      <c r="E700" s="11"/>
      <c r="F700" s="11"/>
      <c r="G700" s="11"/>
      <c r="H700" s="11"/>
      <c r="I700" s="11"/>
      <c r="J700" s="11"/>
      <c r="N700" s="11"/>
      <c r="O700" s="11"/>
      <c r="P700" s="11"/>
      <c r="Q700" s="11"/>
      <c r="R700" s="11"/>
      <c r="CB700" s="11"/>
      <c r="CE700" s="11"/>
      <c r="CF700" s="11"/>
    </row>
    <row r="701" spans="4:84" x14ac:dyDescent="0.25">
      <c r="D701" s="11"/>
      <c r="E701" s="11"/>
      <c r="F701" s="11"/>
      <c r="G701" s="11"/>
      <c r="H701" s="11"/>
      <c r="I701" s="11"/>
      <c r="J701" s="11"/>
      <c r="N701" s="11"/>
      <c r="O701" s="11"/>
      <c r="P701" s="11"/>
      <c r="Q701" s="11"/>
      <c r="R701" s="11"/>
      <c r="CB701" s="11"/>
      <c r="CE701" s="11"/>
      <c r="CF701" s="11"/>
    </row>
    <row r="702" spans="4:84" x14ac:dyDescent="0.25">
      <c r="D702" s="11"/>
      <c r="E702" s="11"/>
      <c r="F702" s="11"/>
      <c r="G702" s="11"/>
      <c r="H702" s="11"/>
      <c r="I702" s="11"/>
      <c r="J702" s="11"/>
      <c r="N702" s="11"/>
      <c r="O702" s="11"/>
      <c r="P702" s="11"/>
      <c r="Q702" s="11"/>
      <c r="R702" s="11"/>
      <c r="CB702" s="11"/>
      <c r="CE702" s="11"/>
      <c r="CF702" s="11"/>
    </row>
    <row r="703" spans="4:84" x14ac:dyDescent="0.25">
      <c r="D703" s="11"/>
      <c r="E703" s="11"/>
      <c r="F703" s="11"/>
      <c r="G703" s="11"/>
      <c r="H703" s="11"/>
      <c r="I703" s="11"/>
      <c r="J703" s="11"/>
      <c r="N703" s="11"/>
      <c r="O703" s="11"/>
      <c r="P703" s="11"/>
      <c r="Q703" s="11"/>
      <c r="R703" s="11"/>
      <c r="CB703" s="11"/>
      <c r="CE703" s="11"/>
      <c r="CF703" s="11"/>
    </row>
    <row r="704" spans="4:84" x14ac:dyDescent="0.25">
      <c r="D704" s="11"/>
      <c r="E704" s="11"/>
      <c r="F704" s="11"/>
      <c r="G704" s="11"/>
      <c r="H704" s="11"/>
      <c r="I704" s="11"/>
      <c r="J704" s="11"/>
      <c r="N704" s="11"/>
      <c r="O704" s="11"/>
      <c r="P704" s="11"/>
      <c r="Q704" s="11"/>
      <c r="R704" s="11"/>
      <c r="CB704" s="11"/>
      <c r="CE704" s="11"/>
      <c r="CF704" s="11"/>
    </row>
    <row r="705" spans="4:84" x14ac:dyDescent="0.25">
      <c r="D705" s="11"/>
      <c r="E705" s="11"/>
      <c r="F705" s="11"/>
      <c r="G705" s="11"/>
      <c r="H705" s="11"/>
      <c r="I705" s="11"/>
      <c r="J705" s="11"/>
      <c r="N705" s="11"/>
      <c r="O705" s="11"/>
      <c r="P705" s="11"/>
      <c r="Q705" s="11"/>
      <c r="R705" s="11"/>
      <c r="CB705" s="11"/>
      <c r="CE705" s="11"/>
      <c r="CF705" s="11"/>
    </row>
    <row r="706" spans="4:84" x14ac:dyDescent="0.25">
      <c r="D706" s="11"/>
      <c r="E706" s="11"/>
      <c r="F706" s="11"/>
      <c r="G706" s="11"/>
      <c r="H706" s="11"/>
      <c r="I706" s="11"/>
      <c r="J706" s="11"/>
      <c r="N706" s="11"/>
      <c r="O706" s="11"/>
      <c r="P706" s="11"/>
      <c r="Q706" s="11"/>
      <c r="R706" s="11"/>
      <c r="CB706" s="11"/>
      <c r="CE706" s="11"/>
      <c r="CF706" s="11"/>
    </row>
    <row r="707" spans="4:84" x14ac:dyDescent="0.25">
      <c r="D707" s="11"/>
      <c r="E707" s="11"/>
      <c r="F707" s="11"/>
      <c r="G707" s="11"/>
      <c r="H707" s="11"/>
      <c r="I707" s="11"/>
      <c r="J707" s="11"/>
      <c r="N707" s="11"/>
      <c r="O707" s="11"/>
      <c r="P707" s="11"/>
      <c r="Q707" s="11"/>
      <c r="R707" s="11"/>
      <c r="CB707" s="11"/>
      <c r="CE707" s="11"/>
      <c r="CF707" s="11"/>
    </row>
    <row r="708" spans="4:84" x14ac:dyDescent="0.25">
      <c r="D708" s="11"/>
      <c r="E708" s="11"/>
      <c r="F708" s="11"/>
      <c r="G708" s="11"/>
      <c r="H708" s="11"/>
      <c r="I708" s="11"/>
      <c r="J708" s="11"/>
      <c r="N708" s="11"/>
      <c r="O708" s="11"/>
      <c r="P708" s="11"/>
      <c r="Q708" s="11"/>
      <c r="R708" s="11"/>
      <c r="CB708" s="11"/>
      <c r="CE708" s="11"/>
      <c r="CF708" s="11"/>
    </row>
    <row r="709" spans="4:84" x14ac:dyDescent="0.25">
      <c r="D709" s="11"/>
      <c r="E709" s="11"/>
      <c r="F709" s="11"/>
      <c r="G709" s="11"/>
      <c r="H709" s="11"/>
      <c r="I709" s="11"/>
      <c r="J709" s="11"/>
      <c r="N709" s="11"/>
      <c r="O709" s="11"/>
      <c r="P709" s="11"/>
      <c r="Q709" s="11"/>
      <c r="R709" s="11"/>
      <c r="CB709" s="11"/>
      <c r="CE709" s="11"/>
      <c r="CF709" s="11"/>
    </row>
    <row r="710" spans="4:84" x14ac:dyDescent="0.25">
      <c r="D710" s="11"/>
      <c r="E710" s="11"/>
      <c r="F710" s="11"/>
      <c r="G710" s="11"/>
      <c r="H710" s="11"/>
      <c r="I710" s="11"/>
      <c r="J710" s="11"/>
      <c r="N710" s="11"/>
      <c r="O710" s="11"/>
      <c r="P710" s="11"/>
      <c r="Q710" s="11"/>
      <c r="R710" s="11"/>
      <c r="CB710" s="11"/>
      <c r="CE710" s="11"/>
      <c r="CF710" s="11"/>
    </row>
    <row r="711" spans="4:84" x14ac:dyDescent="0.25">
      <c r="D711" s="11"/>
      <c r="E711" s="11"/>
      <c r="F711" s="11"/>
      <c r="G711" s="11"/>
      <c r="H711" s="11"/>
      <c r="I711" s="11"/>
      <c r="J711" s="11"/>
      <c r="N711" s="11"/>
      <c r="O711" s="11"/>
      <c r="P711" s="11"/>
      <c r="Q711" s="11"/>
      <c r="R711" s="11"/>
      <c r="CB711" s="11"/>
      <c r="CE711" s="11"/>
      <c r="CF711" s="11"/>
    </row>
    <row r="712" spans="4:84" x14ac:dyDescent="0.25">
      <c r="D712" s="11"/>
      <c r="E712" s="11"/>
      <c r="F712" s="11"/>
      <c r="G712" s="11"/>
      <c r="H712" s="11"/>
      <c r="I712" s="11"/>
      <c r="J712" s="11"/>
      <c r="N712" s="11"/>
      <c r="O712" s="11"/>
      <c r="P712" s="11"/>
      <c r="Q712" s="11"/>
      <c r="R712" s="11"/>
      <c r="CB712" s="11"/>
      <c r="CE712" s="11"/>
      <c r="CF712" s="11"/>
    </row>
    <row r="713" spans="4:84" x14ac:dyDescent="0.25">
      <c r="D713" s="11"/>
      <c r="E713" s="11"/>
      <c r="F713" s="11"/>
      <c r="G713" s="11"/>
      <c r="H713" s="11"/>
      <c r="I713" s="11"/>
      <c r="J713" s="11"/>
      <c r="N713" s="11"/>
      <c r="O713" s="11"/>
      <c r="P713" s="11"/>
      <c r="Q713" s="11"/>
      <c r="R713" s="11"/>
      <c r="CB713" s="11"/>
      <c r="CE713" s="11"/>
      <c r="CF713" s="11"/>
    </row>
    <row r="714" spans="4:84" x14ac:dyDescent="0.25">
      <c r="D714" s="11"/>
      <c r="E714" s="11"/>
      <c r="F714" s="11"/>
      <c r="G714" s="11"/>
      <c r="H714" s="11"/>
      <c r="I714" s="11"/>
      <c r="J714" s="11"/>
      <c r="N714" s="11"/>
      <c r="O714" s="11"/>
      <c r="P714" s="11"/>
      <c r="Q714" s="11"/>
      <c r="R714" s="11"/>
      <c r="CB714" s="11"/>
      <c r="CE714" s="11"/>
      <c r="CF714" s="11"/>
    </row>
    <row r="715" spans="4:84" x14ac:dyDescent="0.25">
      <c r="D715" s="11"/>
      <c r="E715" s="11"/>
      <c r="F715" s="11"/>
      <c r="G715" s="11"/>
      <c r="H715" s="11"/>
      <c r="I715" s="11"/>
      <c r="J715" s="11"/>
      <c r="N715" s="11"/>
      <c r="O715" s="11"/>
      <c r="P715" s="11"/>
      <c r="Q715" s="11"/>
      <c r="R715" s="11"/>
      <c r="CB715" s="11"/>
      <c r="CE715" s="11"/>
      <c r="CF715" s="11"/>
    </row>
    <row r="716" spans="4:84" x14ac:dyDescent="0.25">
      <c r="D716" s="11"/>
      <c r="E716" s="11"/>
      <c r="F716" s="11"/>
      <c r="G716" s="11"/>
      <c r="H716" s="11"/>
      <c r="I716" s="11"/>
      <c r="J716" s="11"/>
      <c r="N716" s="11"/>
      <c r="O716" s="11"/>
      <c r="P716" s="11"/>
      <c r="Q716" s="11"/>
      <c r="R716" s="11"/>
      <c r="CB716" s="11"/>
      <c r="CE716" s="11"/>
      <c r="CF716" s="11"/>
    </row>
    <row r="717" spans="4:84" x14ac:dyDescent="0.25">
      <c r="D717" s="11"/>
      <c r="E717" s="11"/>
      <c r="F717" s="11"/>
      <c r="G717" s="11"/>
      <c r="H717" s="11"/>
      <c r="I717" s="11"/>
      <c r="J717" s="11"/>
      <c r="N717" s="11"/>
      <c r="O717" s="11"/>
      <c r="P717" s="11"/>
      <c r="Q717" s="11"/>
      <c r="R717" s="11"/>
      <c r="CB717" s="11"/>
      <c r="CE717" s="11"/>
      <c r="CF717" s="11"/>
    </row>
    <row r="718" spans="4:84" x14ac:dyDescent="0.25">
      <c r="D718" s="11"/>
      <c r="E718" s="11"/>
      <c r="F718" s="11"/>
      <c r="G718" s="11"/>
      <c r="H718" s="11"/>
      <c r="I718" s="11"/>
      <c r="J718" s="11"/>
      <c r="N718" s="11"/>
      <c r="O718" s="11"/>
      <c r="P718" s="11"/>
      <c r="Q718" s="11"/>
      <c r="R718" s="11"/>
      <c r="CB718" s="11"/>
      <c r="CE718" s="11"/>
      <c r="CF718" s="11"/>
    </row>
    <row r="719" spans="4:84" x14ac:dyDescent="0.25">
      <c r="D719" s="11"/>
      <c r="E719" s="11"/>
      <c r="F719" s="11"/>
      <c r="G719" s="11"/>
      <c r="H719" s="11"/>
      <c r="I719" s="11"/>
      <c r="J719" s="11"/>
      <c r="N719" s="11"/>
      <c r="O719" s="11"/>
      <c r="P719" s="11"/>
      <c r="Q719" s="11"/>
      <c r="R719" s="11"/>
      <c r="CB719" s="11"/>
      <c r="CE719" s="11"/>
      <c r="CF719" s="11"/>
    </row>
    <row r="720" spans="4:84" x14ac:dyDescent="0.25">
      <c r="D720" s="11"/>
      <c r="E720" s="11"/>
      <c r="F720" s="11"/>
      <c r="G720" s="11"/>
      <c r="H720" s="11"/>
      <c r="I720" s="11"/>
      <c r="J720" s="11"/>
      <c r="N720" s="11"/>
      <c r="O720" s="11"/>
      <c r="P720" s="11"/>
      <c r="Q720" s="11"/>
      <c r="R720" s="11"/>
      <c r="CB720" s="11"/>
      <c r="CE720" s="11"/>
      <c r="CF720" s="11"/>
    </row>
    <row r="721" spans="4:84" x14ac:dyDescent="0.25">
      <c r="D721" s="11"/>
      <c r="E721" s="11"/>
      <c r="F721" s="11"/>
      <c r="G721" s="11"/>
      <c r="H721" s="11"/>
      <c r="I721" s="11"/>
      <c r="J721" s="11"/>
      <c r="N721" s="11"/>
      <c r="O721" s="11"/>
      <c r="P721" s="11"/>
      <c r="Q721" s="11"/>
      <c r="R721" s="11"/>
      <c r="CB721" s="11"/>
      <c r="CE721" s="11"/>
      <c r="CF721" s="11"/>
    </row>
    <row r="722" spans="4:84" x14ac:dyDescent="0.25">
      <c r="D722" s="11"/>
      <c r="E722" s="11"/>
      <c r="F722" s="11"/>
      <c r="G722" s="11"/>
      <c r="H722" s="11"/>
      <c r="I722" s="11"/>
      <c r="J722" s="11"/>
      <c r="N722" s="11"/>
      <c r="O722" s="11"/>
      <c r="P722" s="11"/>
      <c r="Q722" s="11"/>
      <c r="R722" s="11"/>
      <c r="CB722" s="11"/>
      <c r="CE722" s="11"/>
      <c r="CF722" s="11"/>
    </row>
    <row r="723" spans="4:84" x14ac:dyDescent="0.25">
      <c r="D723" s="11"/>
      <c r="E723" s="11"/>
      <c r="F723" s="11"/>
      <c r="G723" s="11"/>
      <c r="H723" s="11"/>
      <c r="I723" s="11"/>
      <c r="J723" s="11"/>
      <c r="N723" s="11"/>
      <c r="O723" s="11"/>
      <c r="P723" s="11"/>
      <c r="Q723" s="11"/>
      <c r="R723" s="11"/>
      <c r="CB723" s="11"/>
      <c r="CE723" s="11"/>
      <c r="CF723" s="11"/>
    </row>
    <row r="724" spans="4:84" x14ac:dyDescent="0.25">
      <c r="D724" s="11"/>
      <c r="E724" s="11"/>
      <c r="F724" s="11"/>
      <c r="G724" s="11"/>
      <c r="H724" s="11"/>
      <c r="I724" s="11"/>
      <c r="J724" s="11"/>
      <c r="N724" s="11"/>
      <c r="O724" s="11"/>
      <c r="P724" s="11"/>
      <c r="Q724" s="11"/>
      <c r="R724" s="11"/>
      <c r="CB724" s="11"/>
      <c r="CE724" s="11"/>
      <c r="CF724" s="11"/>
    </row>
    <row r="725" spans="4:84" x14ac:dyDescent="0.25">
      <c r="D725" s="11"/>
      <c r="E725" s="11"/>
      <c r="F725" s="11"/>
      <c r="G725" s="11"/>
      <c r="H725" s="11"/>
      <c r="I725" s="11"/>
      <c r="J725" s="11"/>
      <c r="N725" s="11"/>
      <c r="O725" s="11"/>
      <c r="P725" s="11"/>
      <c r="Q725" s="11"/>
      <c r="R725" s="11"/>
      <c r="CB725" s="11"/>
      <c r="CE725" s="11"/>
      <c r="CF725" s="11"/>
    </row>
    <row r="726" spans="4:84" x14ac:dyDescent="0.25">
      <c r="D726" s="11"/>
      <c r="E726" s="11"/>
      <c r="F726" s="11"/>
      <c r="G726" s="11"/>
      <c r="H726" s="11"/>
      <c r="I726" s="11"/>
      <c r="J726" s="11"/>
      <c r="N726" s="11"/>
      <c r="O726" s="11"/>
      <c r="P726" s="11"/>
      <c r="Q726" s="11"/>
      <c r="R726" s="11"/>
      <c r="CB726" s="11"/>
      <c r="CE726" s="11"/>
      <c r="CF726" s="11"/>
    </row>
    <row r="727" spans="4:84" x14ac:dyDescent="0.25">
      <c r="D727" s="11"/>
      <c r="E727" s="11"/>
      <c r="F727" s="11"/>
      <c r="G727" s="11"/>
      <c r="H727" s="11"/>
      <c r="I727" s="11"/>
      <c r="J727" s="11"/>
      <c r="N727" s="11"/>
      <c r="O727" s="11"/>
      <c r="P727" s="11"/>
      <c r="Q727" s="11"/>
      <c r="R727" s="11"/>
      <c r="CB727" s="11"/>
      <c r="CE727" s="11"/>
      <c r="CF727" s="11"/>
    </row>
    <row r="728" spans="4:84" x14ac:dyDescent="0.25">
      <c r="D728" s="11"/>
      <c r="E728" s="11"/>
      <c r="F728" s="11"/>
      <c r="G728" s="11"/>
      <c r="H728" s="11"/>
      <c r="I728" s="11"/>
      <c r="J728" s="11"/>
      <c r="N728" s="11"/>
      <c r="O728" s="11"/>
      <c r="P728" s="11"/>
      <c r="Q728" s="11"/>
      <c r="R728" s="11"/>
      <c r="CB728" s="11"/>
      <c r="CE728" s="11"/>
      <c r="CF728" s="11"/>
    </row>
    <row r="729" spans="4:84" x14ac:dyDescent="0.25">
      <c r="D729" s="11"/>
      <c r="E729" s="11"/>
      <c r="F729" s="11"/>
      <c r="G729" s="11"/>
      <c r="H729" s="11"/>
      <c r="I729" s="11"/>
      <c r="J729" s="11"/>
      <c r="N729" s="11"/>
      <c r="O729" s="11"/>
      <c r="P729" s="11"/>
      <c r="Q729" s="11"/>
      <c r="R729" s="11"/>
      <c r="CB729" s="11"/>
      <c r="CE729" s="11"/>
      <c r="CF729" s="11"/>
    </row>
    <row r="730" spans="4:84" x14ac:dyDescent="0.25">
      <c r="D730" s="11"/>
      <c r="E730" s="11"/>
      <c r="F730" s="11"/>
      <c r="G730" s="11"/>
      <c r="H730" s="11"/>
      <c r="I730" s="11"/>
      <c r="J730" s="11"/>
      <c r="N730" s="11"/>
      <c r="O730" s="11"/>
      <c r="P730" s="11"/>
      <c r="Q730" s="11"/>
      <c r="R730" s="11"/>
      <c r="CB730" s="11"/>
      <c r="CE730" s="11"/>
      <c r="CF730" s="11"/>
    </row>
    <row r="731" spans="4:84" x14ac:dyDescent="0.25">
      <c r="D731" s="11"/>
      <c r="E731" s="11"/>
      <c r="F731" s="11"/>
      <c r="G731" s="11"/>
      <c r="H731" s="11"/>
      <c r="I731" s="11"/>
      <c r="J731" s="11"/>
      <c r="N731" s="11"/>
      <c r="O731" s="11"/>
      <c r="P731" s="11"/>
      <c r="Q731" s="11"/>
      <c r="R731" s="11"/>
      <c r="CB731" s="11"/>
      <c r="CE731" s="11"/>
      <c r="CF731" s="11"/>
    </row>
    <row r="732" spans="4:84" x14ac:dyDescent="0.25">
      <c r="D732" s="11"/>
      <c r="E732" s="11"/>
      <c r="F732" s="11"/>
      <c r="G732" s="11"/>
      <c r="H732" s="11"/>
      <c r="I732" s="11"/>
      <c r="J732" s="11"/>
      <c r="N732" s="11"/>
      <c r="O732" s="11"/>
      <c r="P732" s="11"/>
      <c r="Q732" s="11"/>
      <c r="R732" s="11"/>
      <c r="CB732" s="11"/>
      <c r="CE732" s="11"/>
      <c r="CF732" s="11"/>
    </row>
    <row r="733" spans="4:84" x14ac:dyDescent="0.25">
      <c r="D733" s="11"/>
      <c r="E733" s="11"/>
      <c r="F733" s="11"/>
      <c r="G733" s="11"/>
      <c r="H733" s="11"/>
      <c r="I733" s="11"/>
      <c r="J733" s="11"/>
      <c r="N733" s="11"/>
      <c r="O733" s="11"/>
      <c r="P733" s="11"/>
      <c r="Q733" s="11"/>
      <c r="R733" s="11"/>
      <c r="CB733" s="11"/>
      <c r="CE733" s="11"/>
      <c r="CF733" s="11"/>
    </row>
    <row r="734" spans="4:84" x14ac:dyDescent="0.25">
      <c r="D734" s="11"/>
      <c r="E734" s="11"/>
      <c r="F734" s="11"/>
      <c r="G734" s="11"/>
      <c r="H734" s="11"/>
      <c r="I734" s="11"/>
      <c r="J734" s="11"/>
      <c r="N734" s="11"/>
      <c r="O734" s="11"/>
      <c r="P734" s="11"/>
      <c r="Q734" s="11"/>
      <c r="R734" s="11"/>
      <c r="CB734" s="11"/>
      <c r="CE734" s="11"/>
      <c r="CF734" s="11"/>
    </row>
    <row r="735" spans="4:84" x14ac:dyDescent="0.25">
      <c r="D735" s="11"/>
      <c r="E735" s="11"/>
      <c r="F735" s="11"/>
      <c r="G735" s="11"/>
      <c r="H735" s="11"/>
      <c r="I735" s="11"/>
      <c r="J735" s="11"/>
      <c r="N735" s="11"/>
      <c r="O735" s="11"/>
      <c r="P735" s="11"/>
      <c r="Q735" s="11"/>
      <c r="R735" s="11"/>
      <c r="CB735" s="11"/>
      <c r="CE735" s="11"/>
      <c r="CF735" s="11"/>
    </row>
    <row r="736" spans="4:84" x14ac:dyDescent="0.25">
      <c r="D736" s="11"/>
      <c r="E736" s="11"/>
      <c r="F736" s="11"/>
      <c r="G736" s="11"/>
      <c r="H736" s="11"/>
      <c r="I736" s="11"/>
      <c r="J736" s="11"/>
      <c r="N736" s="11"/>
      <c r="O736" s="11"/>
      <c r="P736" s="11"/>
      <c r="Q736" s="11"/>
      <c r="R736" s="11"/>
      <c r="CB736" s="11"/>
      <c r="CE736" s="11"/>
      <c r="CF736" s="11"/>
    </row>
    <row r="737" spans="4:84" x14ac:dyDescent="0.25">
      <c r="D737" s="11"/>
      <c r="E737" s="11"/>
      <c r="F737" s="11"/>
      <c r="G737" s="11"/>
      <c r="H737" s="11"/>
      <c r="I737" s="11"/>
      <c r="J737" s="11"/>
      <c r="N737" s="11"/>
      <c r="O737" s="11"/>
      <c r="P737" s="11"/>
      <c r="Q737" s="11"/>
      <c r="R737" s="11"/>
      <c r="CB737" s="11"/>
      <c r="CE737" s="11"/>
      <c r="CF737" s="11"/>
    </row>
    <row r="738" spans="4:84" x14ac:dyDescent="0.25">
      <c r="D738" s="11"/>
      <c r="E738" s="11"/>
      <c r="F738" s="11"/>
      <c r="G738" s="11"/>
      <c r="H738" s="11"/>
      <c r="I738" s="11"/>
      <c r="J738" s="11"/>
      <c r="N738" s="11"/>
      <c r="O738" s="11"/>
      <c r="P738" s="11"/>
      <c r="Q738" s="11"/>
      <c r="R738" s="11"/>
      <c r="CB738" s="11"/>
      <c r="CE738" s="11"/>
      <c r="CF738" s="11"/>
    </row>
    <row r="739" spans="4:84" x14ac:dyDescent="0.25">
      <c r="D739" s="11"/>
      <c r="E739" s="11"/>
      <c r="F739" s="11"/>
      <c r="G739" s="11"/>
      <c r="H739" s="11"/>
      <c r="I739" s="11"/>
      <c r="J739" s="11"/>
      <c r="N739" s="11"/>
      <c r="O739" s="11"/>
      <c r="P739" s="11"/>
      <c r="Q739" s="11"/>
      <c r="R739" s="11"/>
      <c r="CB739" s="11"/>
      <c r="CE739" s="11"/>
      <c r="CF739" s="11"/>
    </row>
    <row r="740" spans="4:84" x14ac:dyDescent="0.25">
      <c r="D740" s="11"/>
      <c r="E740" s="11"/>
      <c r="F740" s="11"/>
      <c r="G740" s="11"/>
      <c r="H740" s="11"/>
      <c r="I740" s="11"/>
      <c r="J740" s="11"/>
      <c r="N740" s="11"/>
      <c r="O740" s="11"/>
      <c r="P740" s="11"/>
      <c r="Q740" s="11"/>
      <c r="R740" s="11"/>
      <c r="CB740" s="11"/>
      <c r="CE740" s="11"/>
      <c r="CF740" s="11"/>
    </row>
    <row r="741" spans="4:84" x14ac:dyDescent="0.25">
      <c r="D741" s="11"/>
      <c r="E741" s="11"/>
      <c r="F741" s="11"/>
      <c r="G741" s="11"/>
      <c r="H741" s="11"/>
      <c r="I741" s="11"/>
      <c r="J741" s="11"/>
      <c r="N741" s="11"/>
      <c r="O741" s="11"/>
      <c r="P741" s="11"/>
      <c r="Q741" s="11"/>
      <c r="R741" s="11"/>
      <c r="CB741" s="11"/>
      <c r="CE741" s="11"/>
      <c r="CF741" s="11"/>
    </row>
    <row r="742" spans="4:84" x14ac:dyDescent="0.25">
      <c r="D742" s="11"/>
      <c r="E742" s="11"/>
      <c r="F742" s="11"/>
      <c r="G742" s="11"/>
      <c r="H742" s="11"/>
      <c r="I742" s="11"/>
      <c r="J742" s="11"/>
      <c r="N742" s="11"/>
      <c r="O742" s="11"/>
      <c r="P742" s="11"/>
      <c r="Q742" s="11"/>
      <c r="R742" s="11"/>
      <c r="CB742" s="11"/>
      <c r="CE742" s="11"/>
      <c r="CF742" s="11"/>
    </row>
    <row r="743" spans="4:84" x14ac:dyDescent="0.25">
      <c r="D743" s="11"/>
      <c r="E743" s="11"/>
      <c r="F743" s="11"/>
      <c r="G743" s="11"/>
      <c r="H743" s="11"/>
      <c r="I743" s="11"/>
      <c r="J743" s="11"/>
      <c r="N743" s="11"/>
      <c r="O743" s="11"/>
      <c r="P743" s="11"/>
      <c r="Q743" s="11"/>
      <c r="R743" s="11"/>
      <c r="CB743" s="11"/>
      <c r="CE743" s="11"/>
      <c r="CF743" s="11"/>
    </row>
    <row r="744" spans="4:84" x14ac:dyDescent="0.25">
      <c r="D744" s="11"/>
      <c r="E744" s="11"/>
      <c r="F744" s="11"/>
      <c r="G744" s="11"/>
      <c r="H744" s="11"/>
      <c r="I744" s="11"/>
      <c r="J744" s="11"/>
      <c r="N744" s="11"/>
      <c r="O744" s="11"/>
      <c r="P744" s="11"/>
      <c r="Q744" s="11"/>
      <c r="R744" s="11"/>
      <c r="CB744" s="11"/>
      <c r="CE744" s="11"/>
      <c r="CF744" s="11"/>
    </row>
    <row r="745" spans="4:84" x14ac:dyDescent="0.25">
      <c r="D745" s="11"/>
      <c r="E745" s="11"/>
      <c r="F745" s="11"/>
      <c r="G745" s="11"/>
      <c r="H745" s="11"/>
      <c r="I745" s="11"/>
      <c r="J745" s="11"/>
      <c r="N745" s="11"/>
      <c r="O745" s="11"/>
      <c r="P745" s="11"/>
      <c r="Q745" s="11"/>
      <c r="R745" s="11"/>
      <c r="CB745" s="11"/>
      <c r="CE745" s="11"/>
      <c r="CF745" s="11"/>
    </row>
    <row r="746" spans="4:84" x14ac:dyDescent="0.25">
      <c r="D746" s="11"/>
      <c r="E746" s="11"/>
      <c r="F746" s="11"/>
      <c r="G746" s="11"/>
      <c r="H746" s="11"/>
      <c r="I746" s="11"/>
      <c r="J746" s="11"/>
      <c r="N746" s="11"/>
      <c r="O746" s="11"/>
      <c r="P746" s="11"/>
      <c r="Q746" s="11"/>
      <c r="R746" s="11"/>
      <c r="CB746" s="11"/>
      <c r="CE746" s="11"/>
      <c r="CF746" s="11"/>
    </row>
    <row r="747" spans="4:84" x14ac:dyDescent="0.25">
      <c r="D747" s="11"/>
      <c r="E747" s="11"/>
      <c r="F747" s="11"/>
      <c r="G747" s="11"/>
      <c r="H747" s="11"/>
      <c r="I747" s="11"/>
      <c r="J747" s="11"/>
      <c r="N747" s="11"/>
      <c r="O747" s="11"/>
      <c r="P747" s="11"/>
      <c r="Q747" s="11"/>
      <c r="R747" s="11"/>
      <c r="CB747" s="11"/>
      <c r="CE747" s="11"/>
      <c r="CF747" s="11"/>
    </row>
    <row r="748" spans="4:84" x14ac:dyDescent="0.25">
      <c r="D748" s="11"/>
      <c r="E748" s="11"/>
      <c r="F748" s="11"/>
      <c r="G748" s="11"/>
      <c r="H748" s="11"/>
      <c r="I748" s="11"/>
      <c r="J748" s="11"/>
      <c r="N748" s="11"/>
      <c r="O748" s="11"/>
      <c r="P748" s="11"/>
      <c r="Q748" s="11"/>
      <c r="R748" s="11"/>
      <c r="CB748" s="11"/>
      <c r="CE748" s="11"/>
      <c r="CF748" s="11"/>
    </row>
    <row r="749" spans="4:84" x14ac:dyDescent="0.25">
      <c r="D749" s="11"/>
      <c r="E749" s="11"/>
      <c r="F749" s="11"/>
      <c r="G749" s="11"/>
      <c r="H749" s="11"/>
      <c r="I749" s="11"/>
      <c r="J749" s="11"/>
      <c r="N749" s="11"/>
      <c r="O749" s="11"/>
      <c r="P749" s="11"/>
      <c r="Q749" s="11"/>
      <c r="R749" s="11"/>
      <c r="CB749" s="11"/>
      <c r="CE749" s="11"/>
      <c r="CF749" s="11"/>
    </row>
    <row r="750" spans="4:84" x14ac:dyDescent="0.25">
      <c r="D750" s="11"/>
      <c r="E750" s="11"/>
      <c r="F750" s="11"/>
      <c r="G750" s="11"/>
      <c r="H750" s="11"/>
      <c r="I750" s="11"/>
      <c r="J750" s="11"/>
      <c r="N750" s="11"/>
      <c r="O750" s="11"/>
      <c r="P750" s="11"/>
      <c r="Q750" s="11"/>
      <c r="R750" s="11"/>
      <c r="CB750" s="11"/>
      <c r="CE750" s="11"/>
      <c r="CF750" s="11"/>
    </row>
    <row r="751" spans="4:84" x14ac:dyDescent="0.25">
      <c r="D751" s="11"/>
      <c r="E751" s="11"/>
      <c r="F751" s="11"/>
      <c r="G751" s="11"/>
      <c r="H751" s="11"/>
      <c r="I751" s="11"/>
      <c r="J751" s="11"/>
      <c r="N751" s="11"/>
      <c r="O751" s="11"/>
      <c r="P751" s="11"/>
      <c r="Q751" s="11"/>
      <c r="R751" s="11"/>
      <c r="CB751" s="11"/>
      <c r="CE751" s="11"/>
      <c r="CF751" s="11"/>
    </row>
    <row r="752" spans="4:84" x14ac:dyDescent="0.25">
      <c r="D752" s="11"/>
      <c r="E752" s="11"/>
      <c r="F752" s="11"/>
      <c r="G752" s="11"/>
      <c r="H752" s="11"/>
      <c r="I752" s="11"/>
      <c r="J752" s="11"/>
      <c r="N752" s="11"/>
      <c r="O752" s="11"/>
      <c r="P752" s="11"/>
      <c r="Q752" s="11"/>
      <c r="R752" s="11"/>
      <c r="CB752" s="11"/>
      <c r="CE752" s="11"/>
      <c r="CF752" s="11"/>
    </row>
    <row r="753" spans="4:84" x14ac:dyDescent="0.25">
      <c r="D753" s="11"/>
      <c r="E753" s="11"/>
      <c r="F753" s="11"/>
      <c r="G753" s="11"/>
      <c r="H753" s="11"/>
      <c r="I753" s="11"/>
      <c r="J753" s="11"/>
      <c r="N753" s="11"/>
      <c r="O753" s="11"/>
      <c r="P753" s="11"/>
      <c r="Q753" s="11"/>
      <c r="R753" s="11"/>
      <c r="CB753" s="11"/>
      <c r="CE753" s="11"/>
      <c r="CF753" s="11"/>
    </row>
    <row r="754" spans="4:84" x14ac:dyDescent="0.25">
      <c r="D754" s="11"/>
      <c r="E754" s="11"/>
      <c r="F754" s="11"/>
      <c r="G754" s="11"/>
      <c r="H754" s="11"/>
      <c r="I754" s="11"/>
      <c r="J754" s="11"/>
      <c r="N754" s="11"/>
      <c r="O754" s="11"/>
      <c r="P754" s="11"/>
      <c r="Q754" s="11"/>
      <c r="R754" s="11"/>
      <c r="CB754" s="11"/>
      <c r="CE754" s="11"/>
      <c r="CF754" s="11"/>
    </row>
    <row r="755" spans="4:84" x14ac:dyDescent="0.25">
      <c r="D755" s="11"/>
      <c r="E755" s="11"/>
      <c r="F755" s="11"/>
      <c r="G755" s="11"/>
      <c r="H755" s="11"/>
      <c r="I755" s="11"/>
      <c r="J755" s="11"/>
      <c r="N755" s="11"/>
      <c r="O755" s="11"/>
      <c r="P755" s="11"/>
      <c r="Q755" s="11"/>
      <c r="R755" s="11"/>
      <c r="CB755" s="11"/>
      <c r="CE755" s="11"/>
      <c r="CF755" s="11"/>
    </row>
    <row r="756" spans="4:84" x14ac:dyDescent="0.25">
      <c r="D756" s="11"/>
      <c r="E756" s="11"/>
      <c r="F756" s="11"/>
      <c r="G756" s="11"/>
      <c r="H756" s="11"/>
      <c r="I756" s="11"/>
      <c r="J756" s="11"/>
      <c r="N756" s="11"/>
      <c r="O756" s="11"/>
      <c r="P756" s="11"/>
      <c r="Q756" s="11"/>
      <c r="R756" s="11"/>
      <c r="CB756" s="11"/>
      <c r="CE756" s="11"/>
      <c r="CF756" s="11"/>
    </row>
    <row r="757" spans="4:84" x14ac:dyDescent="0.25">
      <c r="D757" s="11"/>
      <c r="E757" s="11"/>
      <c r="F757" s="11"/>
      <c r="G757" s="11"/>
      <c r="H757" s="11"/>
      <c r="I757" s="11"/>
      <c r="J757" s="11"/>
      <c r="N757" s="11"/>
      <c r="O757" s="11"/>
      <c r="P757" s="11"/>
      <c r="Q757" s="11"/>
      <c r="R757" s="11"/>
      <c r="CB757" s="11"/>
      <c r="CE757" s="11"/>
      <c r="CF757" s="11"/>
    </row>
    <row r="758" spans="4:84" x14ac:dyDescent="0.25">
      <c r="D758" s="11"/>
      <c r="E758" s="11"/>
      <c r="F758" s="11"/>
      <c r="G758" s="11"/>
      <c r="H758" s="11"/>
      <c r="I758" s="11"/>
      <c r="J758" s="11"/>
      <c r="N758" s="11"/>
      <c r="O758" s="11"/>
      <c r="P758" s="11"/>
      <c r="Q758" s="11"/>
      <c r="R758" s="11"/>
      <c r="CB758" s="11"/>
      <c r="CE758" s="11"/>
      <c r="CF758" s="11"/>
    </row>
    <row r="759" spans="4:84" x14ac:dyDescent="0.25">
      <c r="D759" s="11"/>
      <c r="E759" s="11"/>
      <c r="F759" s="11"/>
      <c r="G759" s="11"/>
      <c r="H759" s="11"/>
      <c r="I759" s="11"/>
      <c r="J759" s="11"/>
      <c r="N759" s="11"/>
      <c r="O759" s="11"/>
      <c r="P759" s="11"/>
      <c r="Q759" s="11"/>
      <c r="R759" s="11"/>
      <c r="CB759" s="11"/>
      <c r="CE759" s="11"/>
      <c r="CF759" s="11"/>
    </row>
    <row r="760" spans="4:84" x14ac:dyDescent="0.25">
      <c r="D760" s="11"/>
      <c r="E760" s="11"/>
      <c r="F760" s="11"/>
      <c r="G760" s="11"/>
      <c r="H760" s="11"/>
      <c r="I760" s="11"/>
      <c r="J760" s="11"/>
      <c r="N760" s="11"/>
      <c r="O760" s="11"/>
      <c r="P760" s="11"/>
      <c r="Q760" s="11"/>
      <c r="R760" s="11"/>
      <c r="CB760" s="11"/>
      <c r="CE760" s="11"/>
      <c r="CF760" s="11"/>
    </row>
    <row r="761" spans="4:84" x14ac:dyDescent="0.25">
      <c r="D761" s="11"/>
      <c r="E761" s="11"/>
      <c r="F761" s="11"/>
      <c r="G761" s="11"/>
      <c r="H761" s="11"/>
      <c r="I761" s="11"/>
      <c r="J761" s="11"/>
      <c r="N761" s="11"/>
      <c r="O761" s="11"/>
      <c r="P761" s="11"/>
      <c r="Q761" s="11"/>
      <c r="R761" s="11"/>
      <c r="CB761" s="11"/>
      <c r="CE761" s="11"/>
      <c r="CF761" s="11"/>
    </row>
    <row r="762" spans="4:84" x14ac:dyDescent="0.25">
      <c r="D762" s="11"/>
      <c r="E762" s="11"/>
      <c r="F762" s="11"/>
      <c r="G762" s="11"/>
      <c r="H762" s="11"/>
      <c r="I762" s="11"/>
      <c r="J762" s="11"/>
      <c r="N762" s="11"/>
      <c r="O762" s="11"/>
      <c r="P762" s="11"/>
      <c r="Q762" s="11"/>
      <c r="R762" s="11"/>
      <c r="CB762" s="11"/>
      <c r="CE762" s="11"/>
      <c r="CF762" s="11"/>
    </row>
    <row r="763" spans="4:84" x14ac:dyDescent="0.25">
      <c r="D763" s="11"/>
      <c r="E763" s="11"/>
      <c r="F763" s="11"/>
      <c r="G763" s="11"/>
      <c r="H763" s="11"/>
      <c r="I763" s="11"/>
      <c r="J763" s="11"/>
      <c r="N763" s="11"/>
      <c r="O763" s="11"/>
      <c r="P763" s="11"/>
      <c r="Q763" s="11"/>
      <c r="R763" s="11"/>
      <c r="CB763" s="11"/>
      <c r="CE763" s="11"/>
      <c r="CF763" s="11"/>
    </row>
    <row r="764" spans="4:84" x14ac:dyDescent="0.25">
      <c r="D764" s="11"/>
      <c r="E764" s="11"/>
      <c r="F764" s="11"/>
      <c r="G764" s="11"/>
      <c r="H764" s="11"/>
      <c r="I764" s="11"/>
      <c r="J764" s="11"/>
      <c r="N764" s="11"/>
      <c r="O764" s="11"/>
      <c r="P764" s="11"/>
      <c r="Q764" s="11"/>
      <c r="R764" s="11"/>
      <c r="CB764" s="11"/>
      <c r="CE764" s="11"/>
      <c r="CF764" s="11"/>
    </row>
    <row r="765" spans="4:84" x14ac:dyDescent="0.25">
      <c r="D765" s="11"/>
      <c r="E765" s="11"/>
      <c r="F765" s="11"/>
      <c r="G765" s="11"/>
      <c r="H765" s="11"/>
      <c r="I765" s="11"/>
      <c r="J765" s="11"/>
      <c r="N765" s="11"/>
      <c r="O765" s="11"/>
      <c r="P765" s="11"/>
      <c r="Q765" s="11"/>
      <c r="R765" s="11"/>
      <c r="CB765" s="11"/>
      <c r="CE765" s="11"/>
      <c r="CF765" s="11"/>
    </row>
    <row r="766" spans="4:84" x14ac:dyDescent="0.25">
      <c r="D766" s="11"/>
      <c r="E766" s="11"/>
      <c r="F766" s="11"/>
      <c r="G766" s="11"/>
      <c r="H766" s="11"/>
      <c r="I766" s="11"/>
      <c r="J766" s="11"/>
      <c r="N766" s="11"/>
      <c r="O766" s="11"/>
      <c r="P766" s="11"/>
      <c r="Q766" s="11"/>
      <c r="R766" s="11"/>
      <c r="CB766" s="11"/>
      <c r="CE766" s="11"/>
      <c r="CF766" s="11"/>
    </row>
    <row r="767" spans="4:84" x14ac:dyDescent="0.25">
      <c r="D767" s="11"/>
      <c r="E767" s="11"/>
      <c r="F767" s="11"/>
      <c r="G767" s="11"/>
      <c r="H767" s="11"/>
      <c r="I767" s="11"/>
      <c r="J767" s="11"/>
      <c r="N767" s="11"/>
      <c r="O767" s="11"/>
      <c r="P767" s="11"/>
      <c r="Q767" s="11"/>
      <c r="R767" s="11"/>
      <c r="CB767" s="11"/>
      <c r="CE767" s="11"/>
      <c r="CF767" s="11"/>
    </row>
    <row r="768" spans="4:84" x14ac:dyDescent="0.25">
      <c r="D768" s="11"/>
      <c r="E768" s="11"/>
      <c r="F768" s="11"/>
      <c r="G768" s="11"/>
      <c r="H768" s="11"/>
      <c r="I768" s="11"/>
      <c r="J768" s="11"/>
      <c r="N768" s="11"/>
      <c r="O768" s="11"/>
      <c r="P768" s="11"/>
      <c r="Q768" s="11"/>
      <c r="R768" s="11"/>
      <c r="CB768" s="11"/>
      <c r="CE768" s="11"/>
      <c r="CF768" s="11"/>
    </row>
    <row r="769" spans="4:84" x14ac:dyDescent="0.25">
      <c r="D769" s="11"/>
      <c r="E769" s="11"/>
      <c r="F769" s="11"/>
      <c r="G769" s="11"/>
      <c r="H769" s="11"/>
      <c r="I769" s="11"/>
      <c r="J769" s="11"/>
      <c r="N769" s="11"/>
      <c r="O769" s="11"/>
      <c r="P769" s="11"/>
      <c r="Q769" s="11"/>
      <c r="R769" s="11"/>
      <c r="CB769" s="11"/>
      <c r="CE769" s="11"/>
      <c r="CF769" s="11"/>
    </row>
    <row r="770" spans="4:84" x14ac:dyDescent="0.25">
      <c r="D770" s="11"/>
      <c r="E770" s="11"/>
      <c r="F770" s="11"/>
      <c r="G770" s="11"/>
      <c r="H770" s="11"/>
      <c r="I770" s="11"/>
      <c r="J770" s="11"/>
      <c r="N770" s="11"/>
      <c r="O770" s="11"/>
      <c r="P770" s="11"/>
      <c r="Q770" s="11"/>
      <c r="R770" s="11"/>
      <c r="CB770" s="11"/>
      <c r="CE770" s="11"/>
      <c r="CF770" s="11"/>
    </row>
    <row r="771" spans="4:84" x14ac:dyDescent="0.25">
      <c r="D771" s="11"/>
      <c r="E771" s="11"/>
      <c r="F771" s="11"/>
      <c r="G771" s="11"/>
      <c r="H771" s="11"/>
      <c r="I771" s="11"/>
      <c r="J771" s="11"/>
      <c r="N771" s="11"/>
      <c r="O771" s="11"/>
      <c r="P771" s="11"/>
      <c r="Q771" s="11"/>
      <c r="R771" s="11"/>
      <c r="CB771" s="11"/>
      <c r="CE771" s="11"/>
      <c r="CF771" s="11"/>
    </row>
    <row r="772" spans="4:84" x14ac:dyDescent="0.25">
      <c r="D772" s="11"/>
      <c r="E772" s="11"/>
      <c r="F772" s="11"/>
      <c r="G772" s="11"/>
      <c r="H772" s="11"/>
      <c r="I772" s="11"/>
      <c r="J772" s="11"/>
      <c r="N772" s="11"/>
      <c r="O772" s="11"/>
      <c r="P772" s="11"/>
      <c r="Q772" s="11"/>
      <c r="R772" s="11"/>
      <c r="CB772" s="11"/>
      <c r="CE772" s="11"/>
      <c r="CF772" s="11"/>
    </row>
    <row r="773" spans="4:84" x14ac:dyDescent="0.25">
      <c r="D773" s="11"/>
      <c r="E773" s="11"/>
      <c r="F773" s="11"/>
      <c r="G773" s="11"/>
      <c r="H773" s="11"/>
      <c r="I773" s="11"/>
      <c r="J773" s="11"/>
      <c r="N773" s="11"/>
      <c r="O773" s="11"/>
      <c r="P773" s="11"/>
      <c r="Q773" s="11"/>
      <c r="R773" s="11"/>
      <c r="CB773" s="11"/>
      <c r="CE773" s="11"/>
      <c r="CF773" s="11"/>
    </row>
    <row r="774" spans="4:84" x14ac:dyDescent="0.25">
      <c r="D774" s="11"/>
      <c r="E774" s="11"/>
      <c r="F774" s="11"/>
      <c r="G774" s="11"/>
      <c r="H774" s="11"/>
      <c r="I774" s="11"/>
      <c r="J774" s="11"/>
      <c r="N774" s="11"/>
      <c r="O774" s="11"/>
      <c r="P774" s="11"/>
      <c r="Q774" s="11"/>
      <c r="R774" s="11"/>
      <c r="CB774" s="11"/>
      <c r="CE774" s="11"/>
      <c r="CF774" s="11"/>
    </row>
    <row r="775" spans="4:84" x14ac:dyDescent="0.25">
      <c r="D775" s="11"/>
      <c r="E775" s="11"/>
      <c r="F775" s="11"/>
      <c r="G775" s="11"/>
      <c r="H775" s="11"/>
      <c r="I775" s="11"/>
      <c r="J775" s="11"/>
      <c r="N775" s="11"/>
      <c r="O775" s="11"/>
      <c r="P775" s="11"/>
      <c r="Q775" s="11"/>
      <c r="R775" s="11"/>
      <c r="CB775" s="11"/>
      <c r="CE775" s="11"/>
      <c r="CF775" s="11"/>
    </row>
    <row r="776" spans="4:84" x14ac:dyDescent="0.25">
      <c r="D776" s="11"/>
      <c r="E776" s="11"/>
      <c r="F776" s="11"/>
      <c r="G776" s="11"/>
      <c r="H776" s="11"/>
      <c r="I776" s="11"/>
      <c r="J776" s="11"/>
      <c r="N776" s="11"/>
      <c r="O776" s="11"/>
      <c r="P776" s="11"/>
      <c r="Q776" s="11"/>
      <c r="R776" s="11"/>
      <c r="CB776" s="11"/>
      <c r="CE776" s="11"/>
      <c r="CF776" s="11"/>
    </row>
    <row r="777" spans="4:84" x14ac:dyDescent="0.25">
      <c r="D777" s="11"/>
      <c r="E777" s="11"/>
      <c r="F777" s="11"/>
      <c r="G777" s="11"/>
      <c r="H777" s="11"/>
      <c r="I777" s="11"/>
      <c r="J777" s="11"/>
      <c r="N777" s="11"/>
      <c r="O777" s="11"/>
      <c r="P777" s="11"/>
      <c r="Q777" s="11"/>
      <c r="R777" s="11"/>
      <c r="CB777" s="11"/>
      <c r="CE777" s="11"/>
      <c r="CF777" s="11"/>
    </row>
    <row r="778" spans="4:84" x14ac:dyDescent="0.25">
      <c r="D778" s="11"/>
      <c r="E778" s="11"/>
      <c r="F778" s="11"/>
      <c r="G778" s="11"/>
      <c r="H778" s="11"/>
      <c r="I778" s="11"/>
      <c r="J778" s="11"/>
      <c r="N778" s="11"/>
      <c r="O778" s="11"/>
      <c r="P778" s="11"/>
      <c r="Q778" s="11"/>
      <c r="R778" s="11"/>
      <c r="CB778" s="11"/>
      <c r="CE778" s="11"/>
      <c r="CF778" s="11"/>
    </row>
    <row r="779" spans="4:84" x14ac:dyDescent="0.25">
      <c r="D779" s="11"/>
      <c r="E779" s="11"/>
      <c r="F779" s="11"/>
      <c r="G779" s="11"/>
      <c r="H779" s="11"/>
      <c r="I779" s="11"/>
      <c r="J779" s="11"/>
      <c r="N779" s="11"/>
      <c r="O779" s="11"/>
      <c r="P779" s="11"/>
      <c r="Q779" s="11"/>
      <c r="R779" s="11"/>
      <c r="CB779" s="11"/>
      <c r="CE779" s="11"/>
      <c r="CF779" s="11"/>
    </row>
    <row r="780" spans="4:84" x14ac:dyDescent="0.25">
      <c r="D780" s="11"/>
      <c r="E780" s="11"/>
      <c r="F780" s="11"/>
      <c r="G780" s="11"/>
      <c r="H780" s="11"/>
      <c r="I780" s="11"/>
      <c r="J780" s="11"/>
      <c r="N780" s="11"/>
      <c r="O780" s="11"/>
      <c r="P780" s="11"/>
      <c r="Q780" s="11"/>
      <c r="R780" s="11"/>
      <c r="CB780" s="11"/>
      <c r="CE780" s="11"/>
      <c r="CF780" s="11"/>
    </row>
    <row r="781" spans="4:84" x14ac:dyDescent="0.25">
      <c r="D781" s="11"/>
      <c r="E781" s="11"/>
      <c r="F781" s="11"/>
      <c r="G781" s="11"/>
      <c r="H781" s="11"/>
      <c r="I781" s="11"/>
      <c r="J781" s="11"/>
      <c r="N781" s="11"/>
      <c r="O781" s="11"/>
      <c r="P781" s="11"/>
      <c r="Q781" s="11"/>
      <c r="R781" s="11"/>
      <c r="CB781" s="11"/>
      <c r="CE781" s="11"/>
      <c r="CF781" s="11"/>
    </row>
    <row r="782" spans="4:84" x14ac:dyDescent="0.25">
      <c r="D782" s="11"/>
      <c r="E782" s="11"/>
      <c r="F782" s="11"/>
      <c r="G782" s="11"/>
      <c r="H782" s="11"/>
      <c r="I782" s="11"/>
      <c r="J782" s="11"/>
      <c r="N782" s="11"/>
      <c r="O782" s="11"/>
      <c r="P782" s="11"/>
      <c r="Q782" s="11"/>
      <c r="R782" s="11"/>
      <c r="CB782" s="11"/>
      <c r="CE782" s="11"/>
      <c r="CF782" s="11"/>
    </row>
    <row r="783" spans="4:84" x14ac:dyDescent="0.25">
      <c r="D783" s="11"/>
      <c r="E783" s="11"/>
      <c r="F783" s="11"/>
      <c r="G783" s="11"/>
      <c r="H783" s="11"/>
      <c r="I783" s="11"/>
      <c r="J783" s="11"/>
      <c r="N783" s="11"/>
      <c r="O783" s="11"/>
      <c r="P783" s="11"/>
      <c r="Q783" s="11"/>
      <c r="R783" s="11"/>
      <c r="CB783" s="11"/>
      <c r="CE783" s="11"/>
      <c r="CF783" s="11"/>
    </row>
    <row r="784" spans="4:84" x14ac:dyDescent="0.25">
      <c r="D784" s="11"/>
      <c r="E784" s="11"/>
      <c r="F784" s="11"/>
      <c r="G784" s="11"/>
      <c r="H784" s="11"/>
      <c r="I784" s="11"/>
      <c r="J784" s="11"/>
      <c r="N784" s="11"/>
      <c r="O784" s="11"/>
      <c r="P784" s="11"/>
      <c r="Q784" s="11"/>
      <c r="R784" s="11"/>
      <c r="CB784" s="11"/>
      <c r="CE784" s="11"/>
      <c r="CF784" s="11"/>
    </row>
    <row r="785" spans="4:84" x14ac:dyDescent="0.25">
      <c r="D785" s="11"/>
      <c r="E785" s="11"/>
      <c r="F785" s="11"/>
      <c r="G785" s="11"/>
      <c r="H785" s="11"/>
      <c r="I785" s="11"/>
      <c r="J785" s="11"/>
      <c r="N785" s="11"/>
      <c r="O785" s="11"/>
      <c r="P785" s="11"/>
      <c r="Q785" s="11"/>
      <c r="R785" s="11"/>
      <c r="CB785" s="11"/>
      <c r="CE785" s="11"/>
      <c r="CF785" s="11"/>
    </row>
    <row r="786" spans="4:84" x14ac:dyDescent="0.25">
      <c r="D786" s="11"/>
      <c r="E786" s="11"/>
      <c r="F786" s="11"/>
      <c r="G786" s="11"/>
      <c r="H786" s="11"/>
      <c r="I786" s="11"/>
      <c r="J786" s="11"/>
      <c r="N786" s="11"/>
      <c r="O786" s="11"/>
      <c r="P786" s="11"/>
      <c r="Q786" s="11"/>
      <c r="R786" s="11"/>
      <c r="CB786" s="11"/>
      <c r="CE786" s="11"/>
      <c r="CF786" s="11"/>
    </row>
    <row r="787" spans="4:84" x14ac:dyDescent="0.25">
      <c r="D787" s="11"/>
      <c r="E787" s="11"/>
      <c r="F787" s="11"/>
      <c r="G787" s="11"/>
      <c r="H787" s="11"/>
      <c r="I787" s="11"/>
      <c r="J787" s="11"/>
      <c r="N787" s="11"/>
      <c r="O787" s="11"/>
      <c r="P787" s="11"/>
      <c r="Q787" s="11"/>
      <c r="R787" s="11"/>
      <c r="CB787" s="11"/>
      <c r="CE787" s="11"/>
      <c r="CF787" s="11"/>
    </row>
    <row r="788" spans="4:84" x14ac:dyDescent="0.25">
      <c r="D788" s="11"/>
      <c r="E788" s="11"/>
      <c r="F788" s="11"/>
      <c r="G788" s="11"/>
      <c r="H788" s="11"/>
      <c r="I788" s="11"/>
      <c r="J788" s="11"/>
      <c r="N788" s="11"/>
      <c r="O788" s="11"/>
      <c r="P788" s="11"/>
      <c r="Q788" s="11"/>
      <c r="R788" s="11"/>
      <c r="CB788" s="11"/>
      <c r="CE788" s="11"/>
      <c r="CF788" s="11"/>
    </row>
    <row r="789" spans="4:84" x14ac:dyDescent="0.25">
      <c r="D789" s="11"/>
      <c r="E789" s="11"/>
      <c r="F789" s="11"/>
      <c r="G789" s="11"/>
      <c r="H789" s="11"/>
      <c r="I789" s="11"/>
      <c r="J789" s="11"/>
      <c r="N789" s="11"/>
      <c r="O789" s="11"/>
      <c r="P789" s="11"/>
      <c r="Q789" s="11"/>
      <c r="R789" s="11"/>
      <c r="CB789" s="11"/>
      <c r="CE789" s="11"/>
      <c r="CF789" s="11"/>
    </row>
    <row r="790" spans="4:84" x14ac:dyDescent="0.25">
      <c r="D790" s="11"/>
      <c r="E790" s="11"/>
      <c r="F790" s="11"/>
      <c r="G790" s="11"/>
      <c r="H790" s="11"/>
      <c r="I790" s="11"/>
      <c r="J790" s="11"/>
      <c r="N790" s="11"/>
      <c r="O790" s="11"/>
      <c r="P790" s="11"/>
      <c r="Q790" s="11"/>
      <c r="R790" s="11"/>
      <c r="CB790" s="11"/>
      <c r="CE790" s="11"/>
      <c r="CF790" s="11"/>
    </row>
    <row r="791" spans="4:84" x14ac:dyDescent="0.25">
      <c r="D791" s="11"/>
      <c r="E791" s="11"/>
      <c r="F791" s="11"/>
      <c r="G791" s="11"/>
      <c r="H791" s="11"/>
      <c r="I791" s="11"/>
      <c r="J791" s="11"/>
      <c r="N791" s="11"/>
      <c r="O791" s="11"/>
      <c r="P791" s="11"/>
      <c r="Q791" s="11"/>
      <c r="R791" s="11"/>
      <c r="CB791" s="11"/>
      <c r="CE791" s="11"/>
      <c r="CF791" s="11"/>
    </row>
    <row r="792" spans="4:84" x14ac:dyDescent="0.25">
      <c r="D792" s="11"/>
      <c r="E792" s="11"/>
      <c r="F792" s="11"/>
      <c r="G792" s="11"/>
      <c r="H792" s="11"/>
      <c r="I792" s="11"/>
      <c r="J792" s="11"/>
      <c r="N792" s="11"/>
      <c r="O792" s="11"/>
      <c r="P792" s="11"/>
      <c r="Q792" s="11"/>
      <c r="R792" s="11"/>
      <c r="CB792" s="11"/>
      <c r="CE792" s="11"/>
      <c r="CF792" s="11"/>
    </row>
    <row r="793" spans="4:84" x14ac:dyDescent="0.25">
      <c r="D793" s="11"/>
      <c r="E793" s="11"/>
      <c r="F793" s="11"/>
      <c r="G793" s="11"/>
      <c r="H793" s="11"/>
      <c r="I793" s="11"/>
      <c r="J793" s="11"/>
      <c r="N793" s="11"/>
      <c r="O793" s="11"/>
      <c r="P793" s="11"/>
      <c r="Q793" s="11"/>
      <c r="R793" s="11"/>
      <c r="CB793" s="11"/>
      <c r="CE793" s="11"/>
      <c r="CF793" s="11"/>
    </row>
    <row r="794" spans="4:84" x14ac:dyDescent="0.25">
      <c r="D794" s="11"/>
      <c r="E794" s="11"/>
      <c r="F794" s="11"/>
      <c r="G794" s="11"/>
      <c r="H794" s="11"/>
      <c r="I794" s="11"/>
      <c r="J794" s="11"/>
      <c r="N794" s="11"/>
      <c r="O794" s="11"/>
      <c r="P794" s="11"/>
      <c r="Q794" s="11"/>
      <c r="R794" s="11"/>
      <c r="CB794" s="11"/>
      <c r="CE794" s="11"/>
      <c r="CF794" s="11"/>
    </row>
    <row r="795" spans="4:84" x14ac:dyDescent="0.25">
      <c r="D795" s="11"/>
      <c r="E795" s="11"/>
      <c r="F795" s="11"/>
      <c r="G795" s="11"/>
      <c r="H795" s="11"/>
      <c r="I795" s="11"/>
      <c r="J795" s="11"/>
      <c r="N795" s="11"/>
      <c r="O795" s="11"/>
      <c r="P795" s="11"/>
      <c r="Q795" s="11"/>
      <c r="R795" s="11"/>
      <c r="CB795" s="11"/>
      <c r="CE795" s="11"/>
      <c r="CF795" s="11"/>
    </row>
    <row r="796" spans="4:84" x14ac:dyDescent="0.25">
      <c r="D796" s="11"/>
      <c r="E796" s="11"/>
      <c r="F796" s="11"/>
      <c r="G796" s="11"/>
      <c r="H796" s="11"/>
      <c r="I796" s="11"/>
      <c r="J796" s="11"/>
      <c r="N796" s="11"/>
      <c r="O796" s="11"/>
      <c r="P796" s="11"/>
      <c r="Q796" s="11"/>
      <c r="R796" s="11"/>
      <c r="CB796" s="11"/>
      <c r="CE796" s="11"/>
      <c r="CF796" s="11"/>
    </row>
    <row r="797" spans="4:84" x14ac:dyDescent="0.25">
      <c r="D797" s="11"/>
      <c r="E797" s="11"/>
      <c r="F797" s="11"/>
      <c r="G797" s="11"/>
      <c r="H797" s="11"/>
      <c r="I797" s="11"/>
      <c r="J797" s="11"/>
      <c r="N797" s="11"/>
      <c r="O797" s="11"/>
      <c r="P797" s="11"/>
      <c r="Q797" s="11"/>
      <c r="R797" s="11"/>
      <c r="CB797" s="11"/>
      <c r="CE797" s="11"/>
      <c r="CF797" s="11"/>
    </row>
    <row r="798" spans="4:84" x14ac:dyDescent="0.25">
      <c r="D798" s="11"/>
      <c r="E798" s="11"/>
      <c r="F798" s="11"/>
      <c r="G798" s="11"/>
      <c r="H798" s="11"/>
      <c r="I798" s="11"/>
      <c r="J798" s="11"/>
      <c r="N798" s="11"/>
      <c r="O798" s="11"/>
      <c r="P798" s="11"/>
      <c r="Q798" s="11"/>
      <c r="R798" s="11"/>
      <c r="CB798" s="11"/>
      <c r="CE798" s="11"/>
      <c r="CF798" s="11"/>
    </row>
    <row r="799" spans="4:84" x14ac:dyDescent="0.25">
      <c r="D799" s="11"/>
      <c r="E799" s="11"/>
      <c r="F799" s="11"/>
      <c r="G799" s="11"/>
      <c r="H799" s="11"/>
      <c r="I799" s="11"/>
      <c r="J799" s="11"/>
      <c r="N799" s="11"/>
      <c r="O799" s="11"/>
      <c r="P799" s="11"/>
      <c r="Q799" s="11"/>
      <c r="R799" s="11"/>
      <c r="CB799" s="11"/>
      <c r="CE799" s="11"/>
      <c r="CF799" s="11"/>
    </row>
    <row r="800" spans="4:84" x14ac:dyDescent="0.25">
      <c r="D800" s="11"/>
      <c r="E800" s="11"/>
      <c r="F800" s="11"/>
      <c r="G800" s="11"/>
      <c r="H800" s="11"/>
      <c r="I800" s="11"/>
      <c r="J800" s="11"/>
      <c r="N800" s="11"/>
      <c r="O800" s="11"/>
      <c r="P800" s="11"/>
      <c r="Q800" s="11"/>
      <c r="R800" s="11"/>
      <c r="CB800" s="11"/>
      <c r="CE800" s="11"/>
      <c r="CF800" s="11"/>
    </row>
    <row r="801" spans="4:84" x14ac:dyDescent="0.25">
      <c r="D801" s="11"/>
      <c r="E801" s="11"/>
      <c r="F801" s="11"/>
      <c r="G801" s="11"/>
      <c r="H801" s="11"/>
      <c r="I801" s="11"/>
      <c r="J801" s="11"/>
      <c r="N801" s="11"/>
      <c r="O801" s="11"/>
      <c r="P801" s="11"/>
      <c r="Q801" s="11"/>
      <c r="R801" s="11"/>
      <c r="CB801" s="11"/>
      <c r="CE801" s="11"/>
      <c r="CF801" s="11"/>
    </row>
    <row r="802" spans="4:84" x14ac:dyDescent="0.25">
      <c r="D802" s="11"/>
      <c r="E802" s="11"/>
      <c r="F802" s="11"/>
      <c r="G802" s="11"/>
      <c r="H802" s="11"/>
      <c r="I802" s="11"/>
      <c r="J802" s="11"/>
      <c r="N802" s="11"/>
      <c r="O802" s="11"/>
      <c r="P802" s="11"/>
      <c r="Q802" s="11"/>
      <c r="R802" s="11"/>
      <c r="CB802" s="11"/>
      <c r="CE802" s="11"/>
      <c r="CF802" s="11"/>
    </row>
    <row r="803" spans="4:84" x14ac:dyDescent="0.25">
      <c r="D803" s="11"/>
      <c r="E803" s="11"/>
      <c r="F803" s="11"/>
      <c r="G803" s="11"/>
      <c r="H803" s="11"/>
      <c r="I803" s="11"/>
      <c r="J803" s="11"/>
      <c r="N803" s="11"/>
      <c r="O803" s="11"/>
      <c r="P803" s="11"/>
      <c r="Q803" s="11"/>
      <c r="R803" s="11"/>
      <c r="CB803" s="11"/>
      <c r="CE803" s="11"/>
      <c r="CF803" s="11"/>
    </row>
    <row r="804" spans="4:84" x14ac:dyDescent="0.25">
      <c r="D804" s="11"/>
      <c r="E804" s="11"/>
      <c r="F804" s="11"/>
      <c r="G804" s="11"/>
      <c r="H804" s="11"/>
      <c r="I804" s="11"/>
      <c r="J804" s="11"/>
      <c r="N804" s="11"/>
      <c r="O804" s="11"/>
      <c r="P804" s="11"/>
      <c r="Q804" s="11"/>
      <c r="R804" s="11"/>
      <c r="CB804" s="11"/>
      <c r="CE804" s="11"/>
      <c r="CF804" s="11"/>
    </row>
    <row r="805" spans="4:84" x14ac:dyDescent="0.25">
      <c r="D805" s="11"/>
      <c r="E805" s="11"/>
      <c r="F805" s="11"/>
      <c r="G805" s="11"/>
      <c r="H805" s="11"/>
      <c r="I805" s="11"/>
      <c r="J805" s="11"/>
      <c r="N805" s="11"/>
      <c r="O805" s="11"/>
      <c r="P805" s="11"/>
      <c r="Q805" s="11"/>
      <c r="R805" s="11"/>
      <c r="CB805" s="11"/>
      <c r="CE805" s="11"/>
      <c r="CF805" s="11"/>
    </row>
    <row r="806" spans="4:84" x14ac:dyDescent="0.25">
      <c r="D806" s="11"/>
      <c r="E806" s="11"/>
      <c r="F806" s="11"/>
      <c r="G806" s="11"/>
      <c r="H806" s="11"/>
      <c r="I806" s="11"/>
      <c r="J806" s="11"/>
      <c r="N806" s="11"/>
      <c r="O806" s="11"/>
      <c r="P806" s="11"/>
      <c r="Q806" s="11"/>
      <c r="R806" s="11"/>
      <c r="CB806" s="11"/>
      <c r="CE806" s="11"/>
      <c r="CF806" s="11"/>
    </row>
    <row r="807" spans="4:84" x14ac:dyDescent="0.25">
      <c r="D807" s="11"/>
      <c r="E807" s="11"/>
      <c r="F807" s="11"/>
      <c r="G807" s="11"/>
      <c r="H807" s="11"/>
      <c r="I807" s="11"/>
      <c r="J807" s="11"/>
      <c r="N807" s="11"/>
      <c r="O807" s="11"/>
      <c r="P807" s="11"/>
      <c r="Q807" s="11"/>
      <c r="R807" s="11"/>
      <c r="CB807" s="11"/>
      <c r="CE807" s="11"/>
      <c r="CF807" s="11"/>
    </row>
    <row r="808" spans="4:84" x14ac:dyDescent="0.25">
      <c r="D808" s="11"/>
      <c r="E808" s="11"/>
      <c r="F808" s="11"/>
      <c r="G808" s="11"/>
      <c r="H808" s="11"/>
      <c r="I808" s="11"/>
      <c r="J808" s="11"/>
      <c r="N808" s="11"/>
      <c r="O808" s="11"/>
      <c r="P808" s="11"/>
      <c r="Q808" s="11"/>
      <c r="R808" s="11"/>
      <c r="CB808" s="11"/>
      <c r="CE808" s="11"/>
      <c r="CF808" s="11"/>
    </row>
    <row r="809" spans="4:84" x14ac:dyDescent="0.25">
      <c r="D809" s="11"/>
      <c r="E809" s="11"/>
      <c r="F809" s="11"/>
      <c r="G809" s="11"/>
      <c r="H809" s="11"/>
      <c r="I809" s="11"/>
      <c r="J809" s="11"/>
      <c r="N809" s="11"/>
      <c r="O809" s="11"/>
      <c r="P809" s="11"/>
      <c r="Q809" s="11"/>
      <c r="R809" s="11"/>
      <c r="CB809" s="11"/>
      <c r="CE809" s="11"/>
      <c r="CF809" s="11"/>
    </row>
    <row r="810" spans="4:84" x14ac:dyDescent="0.25">
      <c r="D810" s="11"/>
      <c r="E810" s="11"/>
      <c r="F810" s="11"/>
      <c r="G810" s="11"/>
      <c r="H810" s="11"/>
      <c r="I810" s="11"/>
      <c r="J810" s="11"/>
      <c r="N810" s="11"/>
      <c r="O810" s="11"/>
      <c r="P810" s="11"/>
      <c r="Q810" s="11"/>
      <c r="R810" s="11"/>
      <c r="CB810" s="11"/>
      <c r="CE810" s="11"/>
      <c r="CF810" s="11"/>
    </row>
    <row r="811" spans="4:84" x14ac:dyDescent="0.25">
      <c r="D811" s="11"/>
      <c r="E811" s="11"/>
      <c r="F811" s="11"/>
      <c r="G811" s="11"/>
      <c r="H811" s="11"/>
      <c r="I811" s="11"/>
      <c r="J811" s="11"/>
      <c r="N811" s="11"/>
      <c r="O811" s="11"/>
      <c r="P811" s="11"/>
      <c r="Q811" s="11"/>
      <c r="R811" s="11"/>
      <c r="CB811" s="11"/>
      <c r="CE811" s="11"/>
      <c r="CF811" s="11"/>
    </row>
    <row r="812" spans="4:84" x14ac:dyDescent="0.25">
      <c r="D812" s="11"/>
      <c r="E812" s="11"/>
      <c r="F812" s="11"/>
      <c r="G812" s="11"/>
      <c r="H812" s="11"/>
      <c r="I812" s="11"/>
      <c r="J812" s="11"/>
      <c r="N812" s="11"/>
      <c r="O812" s="11"/>
      <c r="P812" s="11"/>
      <c r="Q812" s="11"/>
      <c r="R812" s="11"/>
      <c r="CB812" s="11"/>
      <c r="CE812" s="11"/>
      <c r="CF812" s="11"/>
    </row>
    <row r="813" spans="4:84" x14ac:dyDescent="0.25">
      <c r="D813" s="11"/>
      <c r="E813" s="11"/>
      <c r="F813" s="11"/>
      <c r="G813" s="11"/>
      <c r="H813" s="11"/>
      <c r="I813" s="11"/>
      <c r="J813" s="11"/>
      <c r="N813" s="11"/>
      <c r="O813" s="11"/>
      <c r="P813" s="11"/>
      <c r="Q813" s="11"/>
      <c r="R813" s="11"/>
      <c r="CB813" s="11"/>
      <c r="CE813" s="11"/>
      <c r="CF813" s="11"/>
    </row>
    <row r="814" spans="4:84" x14ac:dyDescent="0.25">
      <c r="D814" s="11"/>
      <c r="E814" s="11"/>
      <c r="F814" s="11"/>
      <c r="G814" s="11"/>
      <c r="H814" s="11"/>
      <c r="I814" s="11"/>
      <c r="J814" s="11"/>
      <c r="N814" s="11"/>
      <c r="O814" s="11"/>
      <c r="P814" s="11"/>
      <c r="Q814" s="11"/>
      <c r="R814" s="11"/>
      <c r="CB814" s="11"/>
      <c r="CE814" s="11"/>
      <c r="CF814" s="11"/>
    </row>
    <row r="815" spans="4:84" x14ac:dyDescent="0.25">
      <c r="D815" s="11"/>
      <c r="E815" s="11"/>
      <c r="F815" s="11"/>
      <c r="G815" s="11"/>
      <c r="H815" s="11"/>
      <c r="I815" s="11"/>
      <c r="J815" s="11"/>
      <c r="N815" s="11"/>
      <c r="O815" s="11"/>
      <c r="P815" s="11"/>
      <c r="Q815" s="11"/>
      <c r="R815" s="11"/>
      <c r="CB815" s="11"/>
      <c r="CE815" s="11"/>
      <c r="CF815" s="11"/>
    </row>
    <row r="816" spans="4:84" x14ac:dyDescent="0.25">
      <c r="D816" s="11"/>
      <c r="E816" s="11"/>
      <c r="F816" s="11"/>
      <c r="G816" s="11"/>
      <c r="H816" s="11"/>
      <c r="I816" s="11"/>
      <c r="J816" s="11"/>
      <c r="N816" s="11"/>
      <c r="O816" s="11"/>
      <c r="P816" s="11"/>
      <c r="Q816" s="11"/>
      <c r="R816" s="11"/>
      <c r="CB816" s="11"/>
      <c r="CE816" s="11"/>
      <c r="CF816" s="11"/>
    </row>
    <row r="817" spans="4:84" x14ac:dyDescent="0.25">
      <c r="D817" s="11"/>
      <c r="E817" s="11"/>
      <c r="F817" s="11"/>
      <c r="G817" s="11"/>
      <c r="H817" s="11"/>
      <c r="I817" s="11"/>
      <c r="J817" s="11"/>
      <c r="N817" s="11"/>
      <c r="O817" s="11"/>
      <c r="P817" s="11"/>
      <c r="Q817" s="11"/>
      <c r="R817" s="11"/>
      <c r="CB817" s="11"/>
      <c r="CE817" s="11"/>
      <c r="CF817" s="11"/>
    </row>
    <row r="818" spans="4:84" x14ac:dyDescent="0.25">
      <c r="D818" s="11"/>
      <c r="E818" s="11"/>
      <c r="F818" s="11"/>
      <c r="G818" s="11"/>
      <c r="H818" s="11"/>
      <c r="I818" s="11"/>
      <c r="J818" s="11"/>
      <c r="N818" s="11"/>
      <c r="O818" s="11"/>
      <c r="P818" s="11"/>
      <c r="Q818" s="11"/>
      <c r="R818" s="11"/>
      <c r="CB818" s="11"/>
      <c r="CE818" s="11"/>
      <c r="CF818" s="11"/>
    </row>
    <row r="819" spans="4:84" x14ac:dyDescent="0.25">
      <c r="D819" s="11"/>
      <c r="E819" s="11"/>
      <c r="F819" s="11"/>
      <c r="G819" s="11"/>
      <c r="H819" s="11"/>
      <c r="I819" s="11"/>
      <c r="J819" s="11"/>
      <c r="N819" s="11"/>
      <c r="O819" s="11"/>
      <c r="P819" s="11"/>
      <c r="Q819" s="11"/>
      <c r="R819" s="11"/>
      <c r="CB819" s="11"/>
      <c r="CE819" s="11"/>
      <c r="CF819" s="11"/>
    </row>
    <row r="820" spans="4:84" x14ac:dyDescent="0.25">
      <c r="D820" s="11"/>
      <c r="E820" s="11"/>
      <c r="F820" s="11"/>
      <c r="G820" s="11"/>
      <c r="H820" s="11"/>
      <c r="I820" s="11"/>
      <c r="J820" s="11"/>
      <c r="N820" s="11"/>
      <c r="O820" s="11"/>
      <c r="P820" s="11"/>
      <c r="Q820" s="11"/>
      <c r="R820" s="11"/>
      <c r="CB820" s="11"/>
      <c r="CE820" s="11"/>
      <c r="CF820" s="11"/>
    </row>
    <row r="821" spans="4:84" x14ac:dyDescent="0.25">
      <c r="D821" s="11"/>
      <c r="E821" s="11"/>
      <c r="F821" s="11"/>
      <c r="G821" s="11"/>
      <c r="H821" s="11"/>
      <c r="I821" s="11"/>
      <c r="J821" s="11"/>
      <c r="N821" s="11"/>
      <c r="O821" s="11"/>
      <c r="P821" s="11"/>
      <c r="Q821" s="11"/>
      <c r="R821" s="11"/>
      <c r="CB821" s="11"/>
      <c r="CE821" s="11"/>
      <c r="CF821" s="11"/>
    </row>
    <row r="822" spans="4:84" x14ac:dyDescent="0.25">
      <c r="D822" s="11"/>
      <c r="E822" s="11"/>
      <c r="F822" s="11"/>
      <c r="G822" s="11"/>
      <c r="H822" s="11"/>
      <c r="I822" s="11"/>
      <c r="J822" s="11"/>
      <c r="N822" s="11"/>
      <c r="O822" s="11"/>
      <c r="P822" s="11"/>
      <c r="Q822" s="11"/>
      <c r="R822" s="11"/>
      <c r="CB822" s="11"/>
      <c r="CE822" s="11"/>
      <c r="CF822" s="11"/>
    </row>
    <row r="823" spans="4:84" x14ac:dyDescent="0.25">
      <c r="D823" s="11"/>
      <c r="E823" s="11"/>
      <c r="F823" s="11"/>
      <c r="G823" s="11"/>
      <c r="H823" s="11"/>
      <c r="I823" s="11"/>
      <c r="J823" s="11"/>
      <c r="N823" s="11"/>
      <c r="O823" s="11"/>
      <c r="P823" s="11"/>
      <c r="Q823" s="11"/>
      <c r="R823" s="11"/>
      <c r="CB823" s="11"/>
      <c r="CE823" s="11"/>
      <c r="CF823" s="11"/>
    </row>
    <row r="824" spans="4:84" x14ac:dyDescent="0.25">
      <c r="D824" s="11"/>
      <c r="E824" s="11"/>
      <c r="F824" s="11"/>
      <c r="G824" s="11"/>
      <c r="H824" s="11"/>
      <c r="I824" s="11"/>
      <c r="J824" s="11"/>
      <c r="N824" s="11"/>
      <c r="O824" s="11"/>
      <c r="P824" s="11"/>
      <c r="Q824" s="11"/>
      <c r="R824" s="11"/>
      <c r="CB824" s="11"/>
      <c r="CE824" s="11"/>
      <c r="CF824" s="11"/>
    </row>
    <row r="825" spans="4:84" x14ac:dyDescent="0.25">
      <c r="D825" s="11"/>
      <c r="E825" s="11"/>
      <c r="F825" s="11"/>
      <c r="G825" s="11"/>
      <c r="H825" s="11"/>
      <c r="I825" s="11"/>
      <c r="J825" s="11"/>
      <c r="N825" s="11"/>
      <c r="O825" s="11"/>
      <c r="P825" s="11"/>
      <c r="Q825" s="11"/>
      <c r="R825" s="11"/>
      <c r="CB825" s="11"/>
      <c r="CE825" s="11"/>
      <c r="CF825" s="11"/>
    </row>
    <row r="826" spans="4:84" x14ac:dyDescent="0.25">
      <c r="D826" s="11"/>
      <c r="E826" s="11"/>
      <c r="F826" s="11"/>
      <c r="G826" s="11"/>
      <c r="H826" s="11"/>
      <c r="I826" s="11"/>
      <c r="J826" s="11"/>
      <c r="N826" s="11"/>
      <c r="O826" s="11"/>
      <c r="P826" s="11"/>
      <c r="Q826" s="11"/>
      <c r="R826" s="11"/>
      <c r="CB826" s="11"/>
      <c r="CE826" s="11"/>
      <c r="CF826" s="11"/>
    </row>
    <row r="827" spans="4:84" x14ac:dyDescent="0.25">
      <c r="D827" s="11"/>
      <c r="E827" s="11"/>
      <c r="F827" s="11"/>
      <c r="G827" s="11"/>
      <c r="H827" s="11"/>
      <c r="I827" s="11"/>
      <c r="J827" s="11"/>
      <c r="N827" s="11"/>
      <c r="O827" s="11"/>
      <c r="P827" s="11"/>
      <c r="Q827" s="11"/>
      <c r="R827" s="11"/>
      <c r="CB827" s="11"/>
      <c r="CE827" s="11"/>
      <c r="CF827" s="11"/>
    </row>
    <row r="828" spans="4:84" x14ac:dyDescent="0.25">
      <c r="D828" s="11"/>
      <c r="E828" s="11"/>
      <c r="F828" s="11"/>
      <c r="G828" s="11"/>
      <c r="H828" s="11"/>
      <c r="I828" s="11"/>
      <c r="J828" s="11"/>
      <c r="N828" s="11"/>
      <c r="O828" s="11"/>
      <c r="P828" s="11"/>
      <c r="Q828" s="11"/>
      <c r="R828" s="11"/>
      <c r="CB828" s="11"/>
      <c r="CE828" s="11"/>
      <c r="CF828" s="11"/>
    </row>
    <row r="829" spans="4:84" x14ac:dyDescent="0.25">
      <c r="D829" s="11"/>
      <c r="E829" s="11"/>
      <c r="F829" s="11"/>
      <c r="G829" s="11"/>
      <c r="H829" s="11"/>
      <c r="I829" s="11"/>
      <c r="J829" s="11"/>
      <c r="N829" s="11"/>
      <c r="O829" s="11"/>
      <c r="P829" s="11"/>
      <c r="Q829" s="11"/>
      <c r="R829" s="11"/>
      <c r="CB829" s="11"/>
      <c r="CE829" s="11"/>
      <c r="CF829" s="11"/>
    </row>
    <row r="830" spans="4:84" x14ac:dyDescent="0.25">
      <c r="D830" s="11"/>
      <c r="E830" s="11"/>
      <c r="F830" s="11"/>
      <c r="G830" s="11"/>
      <c r="H830" s="11"/>
      <c r="I830" s="11"/>
      <c r="J830" s="11"/>
      <c r="N830" s="11"/>
      <c r="O830" s="11"/>
      <c r="P830" s="11"/>
      <c r="Q830" s="11"/>
      <c r="R830" s="11"/>
      <c r="CB830" s="11"/>
      <c r="CE830" s="11"/>
      <c r="CF830" s="11"/>
    </row>
    <row r="831" spans="4:84" x14ac:dyDescent="0.25">
      <c r="D831" s="11"/>
      <c r="E831" s="11"/>
      <c r="F831" s="11"/>
      <c r="G831" s="11"/>
      <c r="H831" s="11"/>
      <c r="I831" s="11"/>
      <c r="J831" s="11"/>
      <c r="N831" s="11"/>
      <c r="O831" s="11"/>
      <c r="P831" s="11"/>
      <c r="Q831" s="11"/>
      <c r="R831" s="11"/>
      <c r="CB831" s="11"/>
      <c r="CE831" s="11"/>
      <c r="CF831" s="11"/>
    </row>
    <row r="832" spans="4:84" x14ac:dyDescent="0.25">
      <c r="D832" s="11"/>
      <c r="E832" s="11"/>
      <c r="F832" s="11"/>
      <c r="G832" s="11"/>
      <c r="H832" s="11"/>
      <c r="I832" s="11"/>
      <c r="J832" s="11"/>
      <c r="N832" s="11"/>
      <c r="O832" s="11"/>
      <c r="P832" s="11"/>
      <c r="Q832" s="11"/>
      <c r="R832" s="11"/>
      <c r="CB832" s="11"/>
      <c r="CE832" s="11"/>
      <c r="CF832" s="11"/>
    </row>
    <row r="833" spans="4:84" x14ac:dyDescent="0.25">
      <c r="D833" s="11"/>
      <c r="E833" s="11"/>
      <c r="F833" s="11"/>
      <c r="G833" s="11"/>
      <c r="H833" s="11"/>
      <c r="I833" s="11"/>
      <c r="J833" s="11"/>
      <c r="N833" s="11"/>
      <c r="O833" s="11"/>
      <c r="P833" s="11"/>
      <c r="Q833" s="11"/>
      <c r="R833" s="11"/>
      <c r="CB833" s="11"/>
      <c r="CE833" s="11"/>
      <c r="CF833" s="11"/>
    </row>
    <row r="834" spans="4:84" x14ac:dyDescent="0.25">
      <c r="D834" s="11"/>
      <c r="E834" s="11"/>
      <c r="F834" s="11"/>
      <c r="G834" s="11"/>
      <c r="H834" s="11"/>
      <c r="I834" s="11"/>
      <c r="J834" s="11"/>
      <c r="N834" s="11"/>
      <c r="O834" s="11"/>
      <c r="P834" s="11"/>
      <c r="Q834" s="11"/>
      <c r="R834" s="11"/>
      <c r="CB834" s="11"/>
      <c r="CE834" s="11"/>
      <c r="CF834" s="11"/>
    </row>
    <row r="835" spans="4:84" x14ac:dyDescent="0.25">
      <c r="D835" s="11"/>
      <c r="E835" s="11"/>
      <c r="F835" s="11"/>
      <c r="G835" s="11"/>
      <c r="H835" s="11"/>
      <c r="I835" s="11"/>
      <c r="J835" s="11"/>
      <c r="N835" s="11"/>
      <c r="O835" s="11"/>
      <c r="P835" s="11"/>
      <c r="Q835" s="11"/>
      <c r="R835" s="11"/>
      <c r="CB835" s="11"/>
      <c r="CE835" s="11"/>
      <c r="CF835" s="11"/>
    </row>
    <row r="836" spans="4:84" x14ac:dyDescent="0.25">
      <c r="D836" s="11"/>
      <c r="E836" s="11"/>
      <c r="F836" s="11"/>
      <c r="G836" s="11"/>
      <c r="H836" s="11"/>
      <c r="I836" s="11"/>
      <c r="J836" s="11"/>
      <c r="N836" s="11"/>
      <c r="O836" s="11"/>
      <c r="P836" s="11"/>
      <c r="Q836" s="11"/>
      <c r="R836" s="11"/>
      <c r="CB836" s="11"/>
      <c r="CE836" s="11"/>
      <c r="CF836" s="11"/>
    </row>
    <row r="837" spans="4:84" x14ac:dyDescent="0.25">
      <c r="D837" s="11"/>
      <c r="E837" s="11"/>
      <c r="F837" s="11"/>
      <c r="G837" s="11"/>
      <c r="H837" s="11"/>
      <c r="I837" s="11"/>
      <c r="J837" s="11"/>
      <c r="N837" s="11"/>
      <c r="O837" s="11"/>
      <c r="P837" s="11"/>
      <c r="Q837" s="11"/>
      <c r="R837" s="11"/>
      <c r="CB837" s="11"/>
      <c r="CE837" s="11"/>
      <c r="CF837" s="11"/>
    </row>
    <row r="838" spans="4:84" x14ac:dyDescent="0.25">
      <c r="D838" s="11"/>
      <c r="E838" s="11"/>
      <c r="F838" s="11"/>
      <c r="G838" s="11"/>
      <c r="H838" s="11"/>
      <c r="I838" s="11"/>
      <c r="J838" s="11"/>
      <c r="N838" s="11"/>
      <c r="O838" s="11"/>
      <c r="P838" s="11"/>
      <c r="Q838" s="11"/>
      <c r="R838" s="11"/>
      <c r="CB838" s="11"/>
      <c r="CE838" s="11"/>
      <c r="CF838" s="11"/>
    </row>
    <row r="839" spans="4:84" x14ac:dyDescent="0.25">
      <c r="D839" s="11"/>
      <c r="E839" s="11"/>
      <c r="F839" s="11"/>
      <c r="G839" s="11"/>
      <c r="H839" s="11"/>
      <c r="I839" s="11"/>
      <c r="J839" s="11"/>
      <c r="N839" s="11"/>
      <c r="O839" s="11"/>
      <c r="P839" s="11"/>
      <c r="Q839" s="11"/>
      <c r="R839" s="11"/>
      <c r="CB839" s="11"/>
      <c r="CE839" s="11"/>
      <c r="CF839" s="11"/>
    </row>
    <row r="840" spans="4:84" x14ac:dyDescent="0.25">
      <c r="D840" s="11"/>
      <c r="E840" s="11"/>
      <c r="F840" s="11"/>
      <c r="G840" s="11"/>
      <c r="H840" s="11"/>
      <c r="I840" s="11"/>
      <c r="J840" s="11"/>
      <c r="N840" s="11"/>
      <c r="O840" s="11"/>
      <c r="P840" s="11"/>
      <c r="Q840" s="11"/>
      <c r="R840" s="11"/>
      <c r="CB840" s="11"/>
      <c r="CE840" s="11"/>
      <c r="CF840" s="11"/>
    </row>
    <row r="841" spans="4:84" x14ac:dyDescent="0.25">
      <c r="D841" s="11"/>
      <c r="E841" s="11"/>
      <c r="F841" s="11"/>
      <c r="G841" s="11"/>
      <c r="H841" s="11"/>
      <c r="I841" s="11"/>
      <c r="J841" s="11"/>
      <c r="N841" s="11"/>
      <c r="O841" s="11"/>
      <c r="P841" s="11"/>
      <c r="Q841" s="11"/>
      <c r="R841" s="11"/>
      <c r="CB841" s="11"/>
      <c r="CE841" s="11"/>
      <c r="CF841" s="11"/>
    </row>
    <row r="842" spans="4:84" x14ac:dyDescent="0.25">
      <c r="D842" s="11"/>
      <c r="E842" s="11"/>
      <c r="F842" s="11"/>
      <c r="G842" s="11"/>
      <c r="H842" s="11"/>
      <c r="I842" s="11"/>
      <c r="J842" s="11"/>
      <c r="N842" s="11"/>
      <c r="O842" s="11"/>
      <c r="P842" s="11"/>
      <c r="Q842" s="11"/>
      <c r="R842" s="11"/>
      <c r="CB842" s="11"/>
      <c r="CE842" s="11"/>
      <c r="CF842" s="11"/>
    </row>
    <row r="843" spans="4:84" x14ac:dyDescent="0.25">
      <c r="D843" s="11"/>
      <c r="E843" s="11"/>
      <c r="F843" s="11"/>
      <c r="G843" s="11"/>
      <c r="H843" s="11"/>
      <c r="I843" s="11"/>
      <c r="J843" s="11"/>
      <c r="N843" s="11"/>
      <c r="O843" s="11"/>
      <c r="P843" s="11"/>
      <c r="Q843" s="11"/>
      <c r="R843" s="11"/>
      <c r="CB843" s="11"/>
      <c r="CE843" s="11"/>
      <c r="CF843" s="11"/>
    </row>
    <row r="844" spans="4:84" x14ac:dyDescent="0.25">
      <c r="D844" s="11"/>
      <c r="E844" s="11"/>
      <c r="F844" s="11"/>
      <c r="G844" s="11"/>
      <c r="H844" s="11"/>
      <c r="I844" s="11"/>
      <c r="J844" s="11"/>
      <c r="N844" s="11"/>
      <c r="O844" s="11"/>
      <c r="P844" s="11"/>
      <c r="Q844" s="11"/>
      <c r="R844" s="11"/>
      <c r="CB844" s="11"/>
      <c r="CE844" s="11"/>
      <c r="CF844" s="11"/>
    </row>
    <row r="845" spans="4:84" x14ac:dyDescent="0.25">
      <c r="D845" s="11"/>
      <c r="E845" s="11"/>
      <c r="F845" s="11"/>
      <c r="G845" s="11"/>
      <c r="H845" s="11"/>
      <c r="I845" s="11"/>
      <c r="J845" s="11"/>
      <c r="N845" s="11"/>
      <c r="O845" s="11"/>
      <c r="P845" s="11"/>
      <c r="Q845" s="11"/>
      <c r="R845" s="11"/>
      <c r="CB845" s="11"/>
      <c r="CE845" s="11"/>
      <c r="CF845" s="11"/>
    </row>
    <row r="846" spans="4:84" x14ac:dyDescent="0.25">
      <c r="D846" s="11"/>
      <c r="E846" s="11"/>
      <c r="F846" s="11"/>
      <c r="G846" s="11"/>
      <c r="H846" s="11"/>
      <c r="I846" s="11"/>
      <c r="J846" s="11"/>
      <c r="N846" s="11"/>
      <c r="O846" s="11"/>
      <c r="P846" s="11"/>
      <c r="Q846" s="11"/>
      <c r="R846" s="11"/>
      <c r="CB846" s="11"/>
      <c r="CE846" s="11"/>
      <c r="CF846" s="11"/>
    </row>
    <row r="847" spans="4:84" x14ac:dyDescent="0.25">
      <c r="D847" s="11"/>
      <c r="E847" s="11"/>
      <c r="F847" s="11"/>
      <c r="G847" s="11"/>
      <c r="H847" s="11"/>
      <c r="I847" s="11"/>
      <c r="J847" s="11"/>
      <c r="N847" s="11"/>
      <c r="O847" s="11"/>
      <c r="P847" s="11"/>
      <c r="Q847" s="11"/>
      <c r="R847" s="11"/>
      <c r="CB847" s="11"/>
      <c r="CE847" s="11"/>
      <c r="CF847" s="11"/>
    </row>
    <row r="848" spans="4:84" x14ac:dyDescent="0.25">
      <c r="D848" s="11"/>
      <c r="E848" s="11"/>
      <c r="F848" s="11"/>
      <c r="G848" s="11"/>
      <c r="H848" s="11"/>
      <c r="I848" s="11"/>
      <c r="J848" s="11"/>
      <c r="N848" s="11"/>
      <c r="O848" s="11"/>
      <c r="P848" s="11"/>
      <c r="Q848" s="11"/>
      <c r="R848" s="11"/>
      <c r="CB848" s="11"/>
      <c r="CE848" s="11"/>
      <c r="CF848" s="11"/>
    </row>
    <row r="849" spans="4:84" x14ac:dyDescent="0.25">
      <c r="D849" s="11"/>
      <c r="E849" s="11"/>
      <c r="F849" s="11"/>
      <c r="G849" s="11"/>
      <c r="H849" s="11"/>
      <c r="I849" s="11"/>
      <c r="J849" s="11"/>
      <c r="N849" s="11"/>
      <c r="O849" s="11"/>
      <c r="P849" s="11"/>
      <c r="Q849" s="11"/>
      <c r="R849" s="11"/>
      <c r="CB849" s="11"/>
      <c r="CE849" s="11"/>
      <c r="CF849" s="11"/>
    </row>
    <row r="850" spans="4:84" x14ac:dyDescent="0.25">
      <c r="D850" s="11"/>
      <c r="E850" s="11"/>
      <c r="F850" s="11"/>
      <c r="G850" s="11"/>
      <c r="H850" s="11"/>
      <c r="I850" s="11"/>
      <c r="J850" s="11"/>
      <c r="N850" s="11"/>
      <c r="O850" s="11"/>
      <c r="P850" s="11"/>
      <c r="Q850" s="11"/>
      <c r="R850" s="11"/>
      <c r="CB850" s="11"/>
      <c r="CE850" s="11"/>
      <c r="CF850" s="11"/>
    </row>
    <row r="851" spans="4:84" x14ac:dyDescent="0.25">
      <c r="D851" s="11"/>
      <c r="E851" s="11"/>
      <c r="F851" s="11"/>
      <c r="G851" s="11"/>
      <c r="H851" s="11"/>
      <c r="I851" s="11"/>
      <c r="J851" s="11"/>
      <c r="N851" s="11"/>
      <c r="O851" s="11"/>
      <c r="P851" s="11"/>
      <c r="Q851" s="11"/>
      <c r="R851" s="11"/>
      <c r="CB851" s="11"/>
      <c r="CE851" s="11"/>
      <c r="CF851" s="11"/>
    </row>
    <row r="852" spans="4:84" x14ac:dyDescent="0.25">
      <c r="D852" s="11"/>
      <c r="E852" s="11"/>
      <c r="F852" s="11"/>
      <c r="G852" s="11"/>
      <c r="H852" s="11"/>
      <c r="I852" s="11"/>
      <c r="J852" s="11"/>
      <c r="N852" s="11"/>
      <c r="O852" s="11"/>
      <c r="P852" s="11"/>
      <c r="Q852" s="11"/>
      <c r="R852" s="11"/>
      <c r="CB852" s="11"/>
      <c r="CE852" s="11"/>
      <c r="CF852" s="11"/>
    </row>
    <row r="853" spans="4:84" x14ac:dyDescent="0.25">
      <c r="D853" s="11"/>
      <c r="E853" s="11"/>
      <c r="F853" s="11"/>
      <c r="G853" s="11"/>
      <c r="H853" s="11"/>
      <c r="I853" s="11"/>
      <c r="J853" s="11"/>
      <c r="N853" s="11"/>
      <c r="O853" s="11"/>
      <c r="P853" s="11"/>
      <c r="Q853" s="11"/>
      <c r="R853" s="11"/>
      <c r="CB853" s="11"/>
      <c r="CE853" s="11"/>
      <c r="CF853" s="11"/>
    </row>
    <row r="854" spans="4:84" x14ac:dyDescent="0.25">
      <c r="D854" s="11"/>
      <c r="E854" s="11"/>
      <c r="F854" s="11"/>
      <c r="G854" s="11"/>
      <c r="H854" s="11"/>
      <c r="I854" s="11"/>
      <c r="J854" s="11"/>
      <c r="N854" s="11"/>
      <c r="O854" s="11"/>
      <c r="P854" s="11"/>
      <c r="Q854" s="11"/>
      <c r="R854" s="11"/>
      <c r="CB854" s="11"/>
      <c r="CE854" s="11"/>
      <c r="CF854" s="11"/>
    </row>
    <row r="855" spans="4:84" x14ac:dyDescent="0.25">
      <c r="D855" s="11"/>
      <c r="E855" s="11"/>
      <c r="F855" s="11"/>
      <c r="G855" s="11"/>
      <c r="H855" s="11"/>
      <c r="I855" s="11"/>
      <c r="J855" s="11"/>
      <c r="N855" s="11"/>
      <c r="O855" s="11"/>
      <c r="P855" s="11"/>
      <c r="Q855" s="11"/>
      <c r="R855" s="11"/>
      <c r="CB855" s="11"/>
      <c r="CE855" s="11"/>
      <c r="CF855" s="11"/>
    </row>
    <row r="856" spans="4:84" x14ac:dyDescent="0.25">
      <c r="D856" s="11"/>
      <c r="E856" s="11"/>
      <c r="F856" s="11"/>
      <c r="G856" s="11"/>
      <c r="H856" s="11"/>
      <c r="I856" s="11"/>
      <c r="J856" s="11"/>
      <c r="N856" s="11"/>
      <c r="O856" s="11"/>
      <c r="P856" s="11"/>
      <c r="Q856" s="11"/>
      <c r="R856" s="11"/>
      <c r="CB856" s="11"/>
      <c r="CE856" s="11"/>
      <c r="CF856" s="11"/>
    </row>
    <row r="857" spans="4:84" x14ac:dyDescent="0.25">
      <c r="D857" s="11"/>
      <c r="E857" s="11"/>
      <c r="F857" s="11"/>
      <c r="G857" s="11"/>
      <c r="H857" s="11"/>
      <c r="I857" s="11"/>
      <c r="J857" s="11"/>
      <c r="N857" s="11"/>
      <c r="O857" s="11"/>
      <c r="P857" s="11"/>
      <c r="Q857" s="11"/>
      <c r="R857" s="11"/>
      <c r="CB857" s="11"/>
      <c r="CE857" s="11"/>
      <c r="CF857" s="11"/>
    </row>
    <row r="858" spans="4:84" x14ac:dyDescent="0.25">
      <c r="D858" s="11"/>
      <c r="E858" s="11"/>
      <c r="F858" s="11"/>
      <c r="G858" s="11"/>
      <c r="H858" s="11"/>
      <c r="I858" s="11"/>
      <c r="J858" s="11"/>
      <c r="N858" s="11"/>
      <c r="O858" s="11"/>
      <c r="P858" s="11"/>
      <c r="Q858" s="11"/>
      <c r="R858" s="11"/>
      <c r="CB858" s="11"/>
      <c r="CE858" s="11"/>
      <c r="CF858" s="11"/>
    </row>
    <row r="859" spans="4:84" x14ac:dyDescent="0.25">
      <c r="D859" s="11"/>
      <c r="E859" s="11"/>
      <c r="F859" s="11"/>
      <c r="G859" s="11"/>
      <c r="H859" s="11"/>
      <c r="I859" s="11"/>
      <c r="J859" s="11"/>
      <c r="N859" s="11"/>
      <c r="O859" s="11"/>
      <c r="P859" s="11"/>
      <c r="Q859" s="11"/>
      <c r="R859" s="11"/>
      <c r="CB859" s="11"/>
      <c r="CE859" s="11"/>
      <c r="CF859" s="11"/>
    </row>
    <row r="860" spans="4:84" x14ac:dyDescent="0.25">
      <c r="D860" s="11"/>
      <c r="E860" s="11"/>
      <c r="F860" s="11"/>
      <c r="G860" s="11"/>
      <c r="H860" s="11"/>
      <c r="I860" s="11"/>
      <c r="J860" s="11"/>
      <c r="N860" s="11"/>
      <c r="O860" s="11"/>
      <c r="P860" s="11"/>
      <c r="Q860" s="11"/>
      <c r="R860" s="11"/>
      <c r="CB860" s="11"/>
      <c r="CE860" s="11"/>
      <c r="CF860" s="11"/>
    </row>
    <row r="861" spans="4:84" x14ac:dyDescent="0.25">
      <c r="D861" s="11"/>
      <c r="E861" s="11"/>
      <c r="F861" s="11"/>
      <c r="G861" s="11"/>
      <c r="H861" s="11"/>
      <c r="I861" s="11"/>
      <c r="J861" s="11"/>
      <c r="N861" s="11"/>
      <c r="O861" s="11"/>
      <c r="P861" s="11"/>
      <c r="Q861" s="11"/>
      <c r="R861" s="11"/>
      <c r="CB861" s="11"/>
      <c r="CE861" s="11"/>
      <c r="CF861" s="11"/>
    </row>
    <row r="862" spans="4:84" x14ac:dyDescent="0.25">
      <c r="D862" s="11"/>
      <c r="E862" s="11"/>
      <c r="F862" s="11"/>
      <c r="G862" s="11"/>
      <c r="H862" s="11"/>
      <c r="I862" s="11"/>
      <c r="J862" s="11"/>
      <c r="N862" s="11"/>
      <c r="O862" s="11"/>
      <c r="P862" s="11"/>
      <c r="Q862" s="11"/>
      <c r="R862" s="11"/>
      <c r="CB862" s="11"/>
      <c r="CE862" s="11"/>
      <c r="CF862" s="11"/>
    </row>
    <row r="863" spans="4:84" x14ac:dyDescent="0.25">
      <c r="D863" s="11"/>
      <c r="E863" s="11"/>
      <c r="F863" s="11"/>
      <c r="G863" s="11"/>
      <c r="H863" s="11"/>
      <c r="I863" s="11"/>
      <c r="J863" s="11"/>
      <c r="N863" s="11"/>
      <c r="O863" s="11"/>
      <c r="P863" s="11"/>
      <c r="Q863" s="11"/>
      <c r="R863" s="11"/>
      <c r="CB863" s="11"/>
      <c r="CE863" s="11"/>
      <c r="CF863" s="11"/>
    </row>
    <row r="864" spans="4:84" x14ac:dyDescent="0.25">
      <c r="D864" s="11"/>
      <c r="E864" s="11"/>
      <c r="F864" s="11"/>
      <c r="G864" s="11"/>
      <c r="H864" s="11"/>
      <c r="I864" s="11"/>
      <c r="J864" s="11"/>
      <c r="N864" s="11"/>
      <c r="O864" s="11"/>
      <c r="P864" s="11"/>
      <c r="Q864" s="11"/>
      <c r="R864" s="11"/>
      <c r="CB864" s="11"/>
      <c r="CE864" s="11"/>
      <c r="CF864" s="11"/>
    </row>
    <row r="865" spans="4:84" x14ac:dyDescent="0.25">
      <c r="D865" s="11"/>
      <c r="E865" s="11"/>
      <c r="F865" s="11"/>
      <c r="G865" s="11"/>
      <c r="H865" s="11"/>
      <c r="I865" s="11"/>
      <c r="J865" s="11"/>
      <c r="N865" s="11"/>
      <c r="O865" s="11"/>
      <c r="P865" s="11"/>
      <c r="Q865" s="11"/>
      <c r="R865" s="11"/>
      <c r="CB865" s="11"/>
      <c r="CE865" s="11"/>
      <c r="CF865" s="11"/>
    </row>
    <row r="866" spans="4:84" x14ac:dyDescent="0.25">
      <c r="D866" s="11"/>
      <c r="E866" s="11"/>
      <c r="F866" s="11"/>
      <c r="G866" s="11"/>
      <c r="H866" s="11"/>
      <c r="I866" s="11"/>
      <c r="J866" s="11"/>
      <c r="N866" s="11"/>
      <c r="O866" s="11"/>
      <c r="P866" s="11"/>
      <c r="Q866" s="11"/>
      <c r="R866" s="11"/>
      <c r="CB866" s="11"/>
      <c r="CE866" s="11"/>
      <c r="CF866" s="11"/>
    </row>
    <row r="867" spans="4:84" x14ac:dyDescent="0.25">
      <c r="D867" s="11"/>
      <c r="E867" s="11"/>
      <c r="F867" s="11"/>
      <c r="G867" s="11"/>
      <c r="H867" s="11"/>
      <c r="I867" s="11"/>
      <c r="J867" s="11"/>
      <c r="N867" s="11"/>
      <c r="O867" s="11"/>
      <c r="P867" s="11"/>
      <c r="Q867" s="11"/>
      <c r="R867" s="11"/>
      <c r="CB867" s="11"/>
      <c r="CE867" s="11"/>
      <c r="CF867" s="11"/>
    </row>
    <row r="868" spans="4:84" x14ac:dyDescent="0.25">
      <c r="D868" s="11"/>
      <c r="E868" s="11"/>
      <c r="F868" s="11"/>
      <c r="G868" s="11"/>
      <c r="H868" s="11"/>
      <c r="I868" s="11"/>
      <c r="J868" s="11"/>
      <c r="N868" s="11"/>
      <c r="O868" s="11"/>
      <c r="P868" s="11"/>
      <c r="Q868" s="11"/>
      <c r="R868" s="11"/>
      <c r="CB868" s="11"/>
      <c r="CE868" s="11"/>
      <c r="CF868" s="11"/>
    </row>
    <row r="869" spans="4:84" x14ac:dyDescent="0.25">
      <c r="D869" s="11"/>
      <c r="E869" s="11"/>
      <c r="F869" s="11"/>
      <c r="G869" s="11"/>
      <c r="H869" s="11"/>
      <c r="I869" s="11"/>
      <c r="J869" s="11"/>
      <c r="N869" s="11"/>
      <c r="O869" s="11"/>
      <c r="P869" s="11"/>
      <c r="Q869" s="11"/>
      <c r="R869" s="11"/>
      <c r="CB869" s="11"/>
      <c r="CE869" s="11"/>
      <c r="CF869" s="11"/>
    </row>
    <row r="870" spans="4:84" x14ac:dyDescent="0.25">
      <c r="D870" s="11"/>
      <c r="E870" s="11"/>
      <c r="F870" s="11"/>
      <c r="G870" s="11"/>
      <c r="H870" s="11"/>
      <c r="I870" s="11"/>
      <c r="J870" s="11"/>
      <c r="N870" s="11"/>
      <c r="O870" s="11"/>
      <c r="P870" s="11"/>
      <c r="Q870" s="11"/>
      <c r="R870" s="11"/>
      <c r="CB870" s="11"/>
      <c r="CE870" s="11"/>
      <c r="CF870" s="11"/>
    </row>
    <row r="871" spans="4:84" x14ac:dyDescent="0.25">
      <c r="D871" s="11"/>
      <c r="E871" s="11"/>
      <c r="F871" s="11"/>
      <c r="G871" s="11"/>
      <c r="H871" s="11"/>
      <c r="I871" s="11"/>
      <c r="J871" s="11"/>
      <c r="N871" s="11"/>
      <c r="O871" s="11"/>
      <c r="P871" s="11"/>
      <c r="Q871" s="11"/>
      <c r="R871" s="11"/>
      <c r="CB871" s="11"/>
      <c r="CE871" s="11"/>
      <c r="CF871" s="11"/>
    </row>
    <row r="872" spans="4:84" x14ac:dyDescent="0.25">
      <c r="D872" s="11"/>
      <c r="E872" s="11"/>
      <c r="F872" s="11"/>
      <c r="G872" s="11"/>
      <c r="H872" s="11"/>
      <c r="I872" s="11"/>
      <c r="J872" s="11"/>
      <c r="N872" s="11"/>
      <c r="O872" s="11"/>
      <c r="P872" s="11"/>
      <c r="Q872" s="11"/>
      <c r="R872" s="11"/>
      <c r="CB872" s="11"/>
      <c r="CE872" s="11"/>
      <c r="CF872" s="11"/>
    </row>
    <row r="873" spans="4:84" x14ac:dyDescent="0.25">
      <c r="D873" s="11"/>
      <c r="E873" s="11"/>
      <c r="F873" s="11"/>
      <c r="G873" s="11"/>
      <c r="H873" s="11"/>
      <c r="I873" s="11"/>
      <c r="J873" s="11"/>
      <c r="N873" s="11"/>
      <c r="O873" s="11"/>
      <c r="P873" s="11"/>
      <c r="Q873" s="11"/>
      <c r="R873" s="11"/>
      <c r="CB873" s="11"/>
      <c r="CE873" s="11"/>
      <c r="CF873" s="11"/>
    </row>
    <row r="874" spans="4:84" x14ac:dyDescent="0.25">
      <c r="D874" s="11"/>
      <c r="E874" s="11"/>
      <c r="F874" s="11"/>
      <c r="G874" s="11"/>
      <c r="H874" s="11"/>
      <c r="I874" s="11"/>
      <c r="J874" s="11"/>
      <c r="N874" s="11"/>
      <c r="O874" s="11"/>
      <c r="P874" s="11"/>
      <c r="Q874" s="11"/>
      <c r="R874" s="11"/>
      <c r="CB874" s="11"/>
      <c r="CE874" s="11"/>
      <c r="CF874" s="11"/>
    </row>
    <row r="875" spans="4:84" x14ac:dyDescent="0.25">
      <c r="D875" s="11"/>
      <c r="E875" s="11"/>
      <c r="F875" s="11"/>
      <c r="G875" s="11"/>
      <c r="H875" s="11"/>
      <c r="I875" s="11"/>
      <c r="J875" s="11"/>
      <c r="N875" s="11"/>
      <c r="O875" s="11"/>
      <c r="P875" s="11"/>
      <c r="Q875" s="11"/>
      <c r="R875" s="11"/>
      <c r="CB875" s="11"/>
      <c r="CE875" s="11"/>
      <c r="CF875" s="11"/>
    </row>
    <row r="876" spans="4:84" x14ac:dyDescent="0.25">
      <c r="D876" s="11"/>
      <c r="E876" s="11"/>
      <c r="F876" s="11"/>
      <c r="G876" s="11"/>
      <c r="H876" s="11"/>
      <c r="I876" s="11"/>
      <c r="J876" s="11"/>
      <c r="N876" s="11"/>
      <c r="O876" s="11"/>
      <c r="P876" s="11"/>
      <c r="Q876" s="11"/>
      <c r="R876" s="11"/>
      <c r="CB876" s="11"/>
      <c r="CE876" s="11"/>
      <c r="CF876" s="11"/>
    </row>
    <row r="877" spans="4:84" x14ac:dyDescent="0.25">
      <c r="D877" s="11"/>
      <c r="E877" s="11"/>
      <c r="F877" s="11"/>
      <c r="G877" s="11"/>
      <c r="H877" s="11"/>
      <c r="I877" s="11"/>
      <c r="J877" s="11"/>
      <c r="N877" s="11"/>
      <c r="O877" s="11"/>
      <c r="P877" s="11"/>
      <c r="Q877" s="11"/>
      <c r="R877" s="11"/>
      <c r="CB877" s="11"/>
      <c r="CE877" s="11"/>
      <c r="CF877" s="11"/>
    </row>
    <row r="878" spans="4:84" x14ac:dyDescent="0.25">
      <c r="D878" s="11"/>
      <c r="E878" s="11"/>
      <c r="F878" s="11"/>
      <c r="G878" s="11"/>
      <c r="H878" s="11"/>
      <c r="I878" s="11"/>
      <c r="J878" s="11"/>
      <c r="N878" s="11"/>
      <c r="O878" s="11"/>
      <c r="P878" s="11"/>
      <c r="Q878" s="11"/>
      <c r="R878" s="11"/>
      <c r="CB878" s="11"/>
      <c r="CE878" s="11"/>
      <c r="CF878" s="11"/>
    </row>
    <row r="879" spans="4:84" x14ac:dyDescent="0.25">
      <c r="D879" s="11"/>
      <c r="E879" s="11"/>
      <c r="F879" s="11"/>
      <c r="G879" s="11"/>
      <c r="H879" s="11"/>
      <c r="I879" s="11"/>
      <c r="J879" s="11"/>
      <c r="N879" s="11"/>
      <c r="O879" s="11"/>
      <c r="P879" s="11"/>
      <c r="Q879" s="11"/>
      <c r="R879" s="11"/>
      <c r="CB879" s="11"/>
      <c r="CE879" s="11"/>
      <c r="CF879" s="11"/>
    </row>
    <row r="880" spans="4:84" x14ac:dyDescent="0.25">
      <c r="D880" s="11"/>
      <c r="E880" s="11"/>
      <c r="F880" s="11"/>
      <c r="G880" s="11"/>
      <c r="H880" s="11"/>
      <c r="I880" s="11"/>
      <c r="J880" s="11"/>
      <c r="N880" s="11"/>
      <c r="O880" s="11"/>
      <c r="P880" s="11"/>
      <c r="Q880" s="11"/>
      <c r="R880" s="11"/>
      <c r="CB880" s="11"/>
      <c r="CE880" s="11"/>
      <c r="CF880" s="11"/>
    </row>
    <row r="881" spans="4:84" x14ac:dyDescent="0.25">
      <c r="D881" s="11"/>
      <c r="E881" s="11"/>
      <c r="F881" s="11"/>
      <c r="G881" s="11"/>
      <c r="H881" s="11"/>
      <c r="I881" s="11"/>
      <c r="J881" s="11"/>
      <c r="N881" s="11"/>
      <c r="O881" s="11"/>
      <c r="P881" s="11"/>
      <c r="Q881" s="11"/>
      <c r="R881" s="11"/>
      <c r="CB881" s="11"/>
      <c r="CE881" s="11"/>
      <c r="CF881" s="11"/>
    </row>
    <row r="882" spans="4:84" x14ac:dyDescent="0.25">
      <c r="D882" s="11"/>
      <c r="E882" s="11"/>
      <c r="F882" s="11"/>
      <c r="G882" s="11"/>
      <c r="H882" s="11"/>
      <c r="I882" s="11"/>
      <c r="J882" s="11"/>
      <c r="N882" s="11"/>
      <c r="O882" s="11"/>
      <c r="P882" s="11"/>
      <c r="Q882" s="11"/>
      <c r="R882" s="11"/>
      <c r="CB882" s="11"/>
      <c r="CE882" s="11"/>
      <c r="CF882" s="11"/>
    </row>
    <row r="883" spans="4:84" x14ac:dyDescent="0.25">
      <c r="D883" s="11"/>
      <c r="E883" s="11"/>
      <c r="F883" s="11"/>
      <c r="G883" s="11"/>
      <c r="H883" s="11"/>
      <c r="I883" s="11"/>
      <c r="J883" s="11"/>
      <c r="N883" s="11"/>
      <c r="O883" s="11"/>
      <c r="P883" s="11"/>
      <c r="Q883" s="11"/>
      <c r="R883" s="11"/>
      <c r="CB883" s="11"/>
      <c r="CE883" s="11"/>
      <c r="CF883" s="11"/>
    </row>
    <row r="884" spans="4:84" x14ac:dyDescent="0.25">
      <c r="D884" s="11"/>
      <c r="E884" s="11"/>
      <c r="F884" s="11"/>
      <c r="G884" s="11"/>
      <c r="H884" s="11"/>
      <c r="I884" s="11"/>
      <c r="J884" s="11"/>
      <c r="N884" s="11"/>
      <c r="O884" s="11"/>
      <c r="P884" s="11"/>
      <c r="Q884" s="11"/>
      <c r="R884" s="11"/>
      <c r="CB884" s="11"/>
      <c r="CE884" s="11"/>
      <c r="CF884" s="11"/>
    </row>
    <row r="885" spans="4:84" x14ac:dyDescent="0.25">
      <c r="D885" s="11"/>
      <c r="E885" s="11"/>
      <c r="F885" s="11"/>
      <c r="G885" s="11"/>
      <c r="H885" s="11"/>
      <c r="I885" s="11"/>
      <c r="J885" s="11"/>
      <c r="N885" s="11"/>
      <c r="O885" s="11"/>
      <c r="P885" s="11"/>
      <c r="Q885" s="11"/>
      <c r="R885" s="11"/>
      <c r="CB885" s="11"/>
      <c r="CE885" s="11"/>
      <c r="CF885" s="11"/>
    </row>
    <row r="886" spans="4:84" x14ac:dyDescent="0.25">
      <c r="D886" s="11"/>
      <c r="E886" s="11"/>
      <c r="F886" s="11"/>
      <c r="G886" s="11"/>
      <c r="H886" s="11"/>
      <c r="I886" s="11"/>
      <c r="J886" s="11"/>
      <c r="N886" s="11"/>
      <c r="O886" s="11"/>
      <c r="P886" s="11"/>
      <c r="Q886" s="11"/>
      <c r="R886" s="11"/>
      <c r="CB886" s="11"/>
      <c r="CE886" s="11"/>
      <c r="CF886" s="11"/>
    </row>
    <row r="887" spans="4:84" x14ac:dyDescent="0.25">
      <c r="D887" s="11"/>
      <c r="E887" s="11"/>
      <c r="F887" s="11"/>
      <c r="G887" s="11"/>
      <c r="H887" s="11"/>
      <c r="I887" s="11"/>
      <c r="J887" s="11"/>
      <c r="N887" s="11"/>
      <c r="O887" s="11"/>
      <c r="P887" s="11"/>
      <c r="Q887" s="11"/>
      <c r="R887" s="11"/>
      <c r="CB887" s="11"/>
      <c r="CE887" s="11"/>
      <c r="CF887" s="11"/>
    </row>
    <row r="888" spans="4:84" x14ac:dyDescent="0.25">
      <c r="D888" s="11"/>
      <c r="E888" s="11"/>
      <c r="F888" s="11"/>
      <c r="G888" s="11"/>
      <c r="H888" s="11"/>
      <c r="I888" s="11"/>
      <c r="J888" s="11"/>
      <c r="N888" s="11"/>
      <c r="O888" s="11"/>
      <c r="P888" s="11"/>
      <c r="Q888" s="11"/>
      <c r="R888" s="11"/>
      <c r="CB888" s="11"/>
      <c r="CE888" s="11"/>
      <c r="CF888" s="11"/>
    </row>
    <row r="889" spans="4:84" x14ac:dyDescent="0.25">
      <c r="D889" s="11"/>
      <c r="E889" s="11"/>
      <c r="F889" s="11"/>
      <c r="G889" s="11"/>
      <c r="H889" s="11"/>
      <c r="I889" s="11"/>
      <c r="J889" s="11"/>
      <c r="N889" s="11"/>
      <c r="O889" s="11"/>
      <c r="P889" s="11"/>
      <c r="Q889" s="11"/>
      <c r="R889" s="11"/>
      <c r="CB889" s="11"/>
      <c r="CE889" s="11"/>
      <c r="CF889" s="11"/>
    </row>
    <row r="890" spans="4:84" x14ac:dyDescent="0.25">
      <c r="D890" s="11"/>
      <c r="E890" s="11"/>
      <c r="F890" s="11"/>
      <c r="G890" s="11"/>
      <c r="H890" s="11"/>
      <c r="I890" s="11"/>
      <c r="J890" s="11"/>
      <c r="N890" s="11"/>
      <c r="O890" s="11"/>
      <c r="P890" s="11"/>
      <c r="Q890" s="11"/>
      <c r="R890" s="11"/>
      <c r="CB890" s="11"/>
      <c r="CE890" s="11"/>
      <c r="CF890" s="11"/>
    </row>
    <row r="891" spans="4:84" x14ac:dyDescent="0.25">
      <c r="D891" s="11"/>
      <c r="E891" s="11"/>
      <c r="F891" s="11"/>
      <c r="G891" s="11"/>
      <c r="H891" s="11"/>
      <c r="I891" s="11"/>
      <c r="J891" s="11"/>
      <c r="N891" s="11"/>
      <c r="O891" s="11"/>
      <c r="P891" s="11"/>
      <c r="Q891" s="11"/>
      <c r="R891" s="11"/>
      <c r="CB891" s="11"/>
      <c r="CE891" s="11"/>
      <c r="CF891" s="11"/>
    </row>
    <row r="892" spans="4:84" x14ac:dyDescent="0.25">
      <c r="D892" s="11"/>
      <c r="E892" s="11"/>
      <c r="F892" s="11"/>
      <c r="G892" s="11"/>
      <c r="H892" s="11"/>
      <c r="I892" s="11"/>
      <c r="J892" s="11"/>
      <c r="N892" s="11"/>
      <c r="O892" s="11"/>
      <c r="P892" s="11"/>
      <c r="Q892" s="11"/>
      <c r="R892" s="11"/>
      <c r="CB892" s="11"/>
      <c r="CE892" s="11"/>
      <c r="CF892" s="11"/>
    </row>
    <row r="893" spans="4:84" x14ac:dyDescent="0.25">
      <c r="D893" s="11"/>
      <c r="E893" s="11"/>
      <c r="F893" s="11"/>
      <c r="G893" s="11"/>
      <c r="H893" s="11"/>
      <c r="I893" s="11"/>
      <c r="J893" s="11"/>
      <c r="N893" s="11"/>
      <c r="O893" s="11"/>
      <c r="P893" s="11"/>
      <c r="Q893" s="11"/>
      <c r="R893" s="11"/>
      <c r="CB893" s="11"/>
      <c r="CE893" s="11"/>
      <c r="CF893" s="11"/>
    </row>
    <row r="894" spans="4:84" x14ac:dyDescent="0.25">
      <c r="D894" s="11"/>
      <c r="E894" s="11"/>
      <c r="F894" s="11"/>
      <c r="G894" s="11"/>
      <c r="H894" s="11"/>
      <c r="I894" s="11"/>
      <c r="J894" s="11"/>
      <c r="N894" s="11"/>
      <c r="O894" s="11"/>
      <c r="P894" s="11"/>
      <c r="Q894" s="11"/>
      <c r="R894" s="11"/>
      <c r="CB894" s="11"/>
      <c r="CE894" s="11"/>
      <c r="CF894" s="11"/>
    </row>
    <row r="895" spans="4:84" x14ac:dyDescent="0.25">
      <c r="D895" s="11"/>
      <c r="E895" s="11"/>
      <c r="F895" s="11"/>
      <c r="G895" s="11"/>
      <c r="H895" s="11"/>
      <c r="I895" s="11"/>
      <c r="J895" s="11"/>
      <c r="N895" s="11"/>
      <c r="O895" s="11"/>
      <c r="P895" s="11"/>
      <c r="Q895" s="11"/>
      <c r="R895" s="11"/>
      <c r="CB895" s="11"/>
      <c r="CE895" s="11"/>
      <c r="CF895" s="11"/>
    </row>
    <row r="896" spans="4:84" x14ac:dyDescent="0.25">
      <c r="D896" s="11"/>
      <c r="E896" s="11"/>
      <c r="F896" s="11"/>
      <c r="G896" s="11"/>
      <c r="H896" s="11"/>
      <c r="I896" s="11"/>
      <c r="J896" s="11"/>
      <c r="N896" s="11"/>
      <c r="O896" s="11"/>
      <c r="P896" s="11"/>
      <c r="Q896" s="11"/>
      <c r="R896" s="11"/>
      <c r="CB896" s="11"/>
      <c r="CE896" s="11"/>
      <c r="CF896" s="11"/>
    </row>
    <row r="897" spans="4:84" x14ac:dyDescent="0.25">
      <c r="D897" s="11"/>
      <c r="E897" s="11"/>
      <c r="F897" s="11"/>
      <c r="G897" s="11"/>
      <c r="H897" s="11"/>
      <c r="I897" s="11"/>
      <c r="J897" s="11"/>
      <c r="N897" s="11"/>
      <c r="O897" s="11"/>
      <c r="P897" s="11"/>
      <c r="Q897" s="11"/>
      <c r="R897" s="11"/>
      <c r="CB897" s="11"/>
      <c r="CE897" s="11"/>
      <c r="CF897" s="11"/>
    </row>
    <row r="898" spans="4:84" x14ac:dyDescent="0.25">
      <c r="D898" s="11"/>
      <c r="E898" s="11"/>
      <c r="F898" s="11"/>
      <c r="G898" s="11"/>
      <c r="H898" s="11"/>
      <c r="I898" s="11"/>
      <c r="J898" s="11"/>
      <c r="N898" s="11"/>
      <c r="O898" s="11"/>
      <c r="P898" s="11"/>
      <c r="Q898" s="11"/>
      <c r="R898" s="11"/>
      <c r="CB898" s="11"/>
      <c r="CE898" s="11"/>
      <c r="CF898" s="11"/>
    </row>
    <row r="899" spans="4:84" x14ac:dyDescent="0.25">
      <c r="D899" s="11"/>
      <c r="E899" s="11"/>
      <c r="F899" s="11"/>
      <c r="G899" s="11"/>
      <c r="H899" s="11"/>
      <c r="I899" s="11"/>
      <c r="J899" s="11"/>
      <c r="N899" s="11"/>
      <c r="O899" s="11"/>
      <c r="P899" s="11"/>
      <c r="Q899" s="11"/>
      <c r="R899" s="11"/>
      <c r="CB899" s="11"/>
      <c r="CE899" s="11"/>
      <c r="CF899" s="11"/>
    </row>
    <row r="900" spans="4:84" x14ac:dyDescent="0.25">
      <c r="D900" s="11"/>
      <c r="E900" s="11"/>
      <c r="F900" s="11"/>
      <c r="G900" s="11"/>
      <c r="H900" s="11"/>
      <c r="I900" s="11"/>
      <c r="J900" s="11"/>
      <c r="N900" s="11"/>
      <c r="O900" s="11"/>
      <c r="P900" s="11"/>
      <c r="Q900" s="11"/>
      <c r="R900" s="11"/>
      <c r="CB900" s="11"/>
      <c r="CE900" s="11"/>
      <c r="CF900" s="11"/>
    </row>
    <row r="901" spans="4:84" x14ac:dyDescent="0.25">
      <c r="D901" s="11"/>
      <c r="E901" s="11"/>
      <c r="F901" s="11"/>
      <c r="G901" s="11"/>
      <c r="H901" s="11"/>
      <c r="I901" s="11"/>
      <c r="J901" s="11"/>
      <c r="N901" s="11"/>
      <c r="O901" s="11"/>
      <c r="P901" s="11"/>
      <c r="Q901" s="11"/>
      <c r="R901" s="11"/>
      <c r="CB901" s="11"/>
      <c r="CE901" s="11"/>
      <c r="CF901" s="11"/>
    </row>
    <row r="902" spans="4:84" x14ac:dyDescent="0.25">
      <c r="D902" s="11"/>
      <c r="E902" s="11"/>
      <c r="F902" s="11"/>
      <c r="G902" s="11"/>
      <c r="H902" s="11"/>
      <c r="I902" s="11"/>
      <c r="J902" s="11"/>
      <c r="N902" s="11"/>
      <c r="O902" s="11"/>
      <c r="P902" s="11"/>
      <c r="Q902" s="11"/>
      <c r="R902" s="11"/>
      <c r="CB902" s="11"/>
      <c r="CE902" s="11"/>
      <c r="CF902" s="11"/>
    </row>
    <row r="903" spans="4:84" x14ac:dyDescent="0.25">
      <c r="D903" s="11"/>
      <c r="E903" s="11"/>
      <c r="F903" s="11"/>
      <c r="G903" s="11"/>
      <c r="H903" s="11"/>
      <c r="I903" s="11"/>
      <c r="J903" s="11"/>
      <c r="N903" s="11"/>
      <c r="O903" s="11"/>
      <c r="P903" s="11"/>
      <c r="Q903" s="11"/>
      <c r="R903" s="11"/>
      <c r="CB903" s="11"/>
      <c r="CE903" s="11"/>
      <c r="CF903" s="11"/>
    </row>
    <row r="904" spans="4:84" x14ac:dyDescent="0.25">
      <c r="D904" s="11"/>
      <c r="E904" s="11"/>
      <c r="F904" s="11"/>
      <c r="G904" s="11"/>
      <c r="H904" s="11"/>
      <c r="I904" s="11"/>
      <c r="J904" s="11"/>
      <c r="N904" s="11"/>
      <c r="O904" s="11"/>
      <c r="P904" s="11"/>
      <c r="Q904" s="11"/>
      <c r="R904" s="11"/>
      <c r="CB904" s="11"/>
      <c r="CE904" s="11"/>
      <c r="CF904" s="11"/>
    </row>
    <row r="905" spans="4:84" x14ac:dyDescent="0.25">
      <c r="D905" s="11"/>
      <c r="E905" s="11"/>
      <c r="F905" s="11"/>
      <c r="G905" s="11"/>
      <c r="H905" s="11"/>
      <c r="I905" s="11"/>
      <c r="J905" s="11"/>
      <c r="N905" s="11"/>
      <c r="O905" s="11"/>
      <c r="P905" s="11"/>
      <c r="Q905" s="11"/>
      <c r="R905" s="11"/>
      <c r="CB905" s="11"/>
      <c r="CE905" s="11"/>
      <c r="CF905" s="11"/>
    </row>
    <row r="906" spans="4:84" x14ac:dyDescent="0.25">
      <c r="D906" s="11"/>
      <c r="E906" s="11"/>
      <c r="F906" s="11"/>
      <c r="G906" s="11"/>
      <c r="H906" s="11"/>
      <c r="I906" s="11"/>
      <c r="J906" s="11"/>
      <c r="N906" s="11"/>
      <c r="O906" s="11"/>
      <c r="P906" s="11"/>
      <c r="Q906" s="11"/>
      <c r="R906" s="11"/>
      <c r="CB906" s="11"/>
      <c r="CE906" s="11"/>
      <c r="CF906" s="11"/>
    </row>
    <row r="907" spans="4:84" x14ac:dyDescent="0.25">
      <c r="D907" s="11"/>
      <c r="E907" s="11"/>
      <c r="F907" s="11"/>
      <c r="G907" s="11"/>
      <c r="H907" s="11"/>
      <c r="I907" s="11"/>
      <c r="J907" s="11"/>
      <c r="N907" s="11"/>
      <c r="O907" s="11"/>
      <c r="P907" s="11"/>
      <c r="Q907" s="11"/>
      <c r="R907" s="11"/>
      <c r="CB907" s="11"/>
      <c r="CE907" s="11"/>
      <c r="CF907" s="11"/>
    </row>
  </sheetData>
  <mergeCells count="20">
    <mergeCell ref="AO64:AV64"/>
    <mergeCell ref="AX64:BE64"/>
    <mergeCell ref="BG64:BN64"/>
    <mergeCell ref="BP64:BW64"/>
    <mergeCell ref="E64:L64"/>
    <mergeCell ref="N64:U64"/>
    <mergeCell ref="W64:AD64"/>
    <mergeCell ref="AF64:AM64"/>
    <mergeCell ref="A1:CA1"/>
    <mergeCell ref="A2:CA2"/>
    <mergeCell ref="A3:CA3"/>
    <mergeCell ref="A4:CA4"/>
    <mergeCell ref="N6:U6"/>
    <mergeCell ref="BP6:BW6"/>
    <mergeCell ref="W6:AD6"/>
    <mergeCell ref="AF6:AM6"/>
    <mergeCell ref="AO6:AV6"/>
    <mergeCell ref="AX6:BE6"/>
    <mergeCell ref="BG6:BN6"/>
    <mergeCell ref="D6:L6"/>
  </mergeCells>
  <conditionalFormatting sqref="BJ8:BO8 BJ9:BJ29 Y8:AE63 BJ32:BJ63 BK9:BO63 Q8:V63 BS8:BX63 AI8:AN8 AI10:AN63 AI9:AM9 AO9 AR8:AW63 H8:M63 BA8:BF63">
    <cfRule type="containsText" dxfId="90" priority="38" operator="containsText" text="N">
      <formula>NOT(ISERROR(SEARCH("N",H8)))</formula>
    </cfRule>
    <cfRule type="containsText" dxfId="89" priority="39" operator="containsText" text="F">
      <formula>NOT(ISERROR(SEARCH("F",H8)))</formula>
    </cfRule>
    <cfRule type="containsText" dxfId="88" priority="40" operator="containsText" text="N">
      <formula>NOT(ISERROR(SEARCH("N",H8)))</formula>
    </cfRule>
  </conditionalFormatting>
  <conditionalFormatting sqref="AF9">
    <cfRule type="expression" dxfId="87" priority="35">
      <formula>NOT(ISERROR(SEARCH("A",BF64)))</formula>
    </cfRule>
  </conditionalFormatting>
  <conditionalFormatting sqref="AF10:AF13">
    <cfRule type="expression" dxfId="86" priority="37">
      <formula>NOT(ISERROR(SEARCH("A",#REF!)))</formula>
    </cfRule>
  </conditionalFormatting>
  <conditionalFormatting sqref="AO10:AO13">
    <cfRule type="expression" dxfId="85" priority="34">
      <formula>NOT(ISERROR(SEARCH("A",#REF!)))</formula>
    </cfRule>
  </conditionalFormatting>
  <conditionalFormatting sqref="BQ45:BR63 BR35:BR44 BQ9:BR34">
    <cfRule type="cellIs" dxfId="84" priority="31" operator="lessThan">
      <formula>20</formula>
    </cfRule>
  </conditionalFormatting>
  <conditionalFormatting sqref="AF18:AF21">
    <cfRule type="expression" dxfId="83" priority="43">
      <formula>NOT(ISERROR(SEARCH("A",#REF!)))</formula>
    </cfRule>
  </conditionalFormatting>
  <conditionalFormatting sqref="AO18:AO21">
    <cfRule type="expression" dxfId="82" priority="46">
      <formula>NOT(ISERROR(SEARCH("A",#REF!)))</formula>
    </cfRule>
  </conditionalFormatting>
  <conditionalFormatting sqref="BR35:BT44 BL35:BP44 BL9:BT34 AB9:AC63 AK9:AL63 AT9:AU63 BB9:BD63 BK9:BM63 BL45:BT63 R9:T63 BT9:BX63 BY8:CB63 AO9:BJ9 G9:AM9 I9:K63 G8:BX8 G10:BJ29 G30:BI31 G32:BJ63">
    <cfRule type="cellIs" dxfId="81" priority="29" operator="equal">
      <formula>95</formula>
    </cfRule>
    <cfRule type="cellIs" dxfId="80" priority="30" operator="equal">
      <formula>"f"</formula>
    </cfRule>
  </conditionalFormatting>
  <conditionalFormatting sqref="AF59">
    <cfRule type="expression" dxfId="79" priority="97">
      <formula>NOT(ISERROR(SEARCH("A",BF113)))</formula>
    </cfRule>
  </conditionalFormatting>
  <conditionalFormatting sqref="AO59">
    <cfRule type="expression" dxfId="78" priority="99">
      <formula>NOT(ISERROR(SEARCH("A",BP113)))</formula>
    </cfRule>
  </conditionalFormatting>
  <conditionalFormatting sqref="AF58">
    <cfRule type="expression" dxfId="77" priority="103">
      <formula>NOT(ISERROR(SEARCH("A",BF113)))</formula>
    </cfRule>
  </conditionalFormatting>
  <conditionalFormatting sqref="AO58">
    <cfRule type="expression" dxfId="76" priority="105">
      <formula>NOT(ISERROR(SEARCH("A",BP113)))</formula>
    </cfRule>
  </conditionalFormatting>
  <conditionalFormatting sqref="AF22:AF29 AF57">
    <cfRule type="expression" dxfId="75" priority="108">
      <formula>NOT(ISERROR(SEARCH("A",BF78)))</formula>
    </cfRule>
  </conditionalFormatting>
  <conditionalFormatting sqref="AO22:AO29 AO57">
    <cfRule type="expression" dxfId="74" priority="110">
      <formula>NOT(ISERROR(SEARCH("A",BP78)))</formula>
    </cfRule>
  </conditionalFormatting>
  <conditionalFormatting sqref="AF30:AF56">
    <cfRule type="expression" dxfId="73" priority="113">
      <formula>NOT(ISERROR(SEARCH("A",BF87)))</formula>
    </cfRule>
  </conditionalFormatting>
  <conditionalFormatting sqref="AO30:AO56">
    <cfRule type="expression" dxfId="72" priority="115">
      <formula>NOT(ISERROR(SEARCH("A",BP87)))</formula>
    </cfRule>
  </conditionalFormatting>
  <conditionalFormatting sqref="AF14:AF17">
    <cfRule type="expression" dxfId="71" priority="117">
      <formula>NOT(ISERROR(SEARCH("A",BF74)))</formula>
    </cfRule>
  </conditionalFormatting>
  <conditionalFormatting sqref="AO14:AO17">
    <cfRule type="expression" dxfId="70" priority="119">
      <formula>NOT(ISERROR(SEARCH("A",BP74)))</formula>
    </cfRule>
  </conditionalFormatting>
  <conditionalFormatting sqref="AO9:BX9 G9:AM9 J9:K10 G8:BX8 G10:BX63">
    <cfRule type="cellIs" dxfId="69" priority="28" operator="equal">
      <formula>"AB"</formula>
    </cfRule>
  </conditionalFormatting>
  <conditionalFormatting sqref="CA8:CA63">
    <cfRule type="cellIs" dxfId="68" priority="26" operator="greaterThan">
      <formula>9</formula>
    </cfRule>
    <cfRule type="cellIs" dxfId="67" priority="27" operator="greaterThan">
      <formula>9.5</formula>
    </cfRule>
  </conditionalFormatting>
  <conditionalFormatting sqref="AF63">
    <cfRule type="expression" dxfId="66" priority="130">
      <formula>NOT(ISERROR(SEARCH("A",BF114)))</formula>
    </cfRule>
  </conditionalFormatting>
  <conditionalFormatting sqref="AO63">
    <cfRule type="expression" dxfId="65" priority="132">
      <formula>NOT(ISERROR(SEARCH("A",BP114)))</formula>
    </cfRule>
  </conditionalFormatting>
  <conditionalFormatting sqref="AF60:AF62">
    <cfRule type="expression" dxfId="64" priority="135">
      <formula>NOT(ISERROR(SEARCH("A",BF112)))</formula>
    </cfRule>
  </conditionalFormatting>
  <conditionalFormatting sqref="AO60:AO62">
    <cfRule type="expression" dxfId="63" priority="137">
      <formula>NOT(ISERROR(SEARCH("A",BP112)))</formula>
    </cfRule>
  </conditionalFormatting>
  <conditionalFormatting sqref="E8:F62">
    <cfRule type="cellIs" dxfId="5" priority="5" operator="equal">
      <formula>95</formula>
    </cfRule>
    <cfRule type="cellIs" dxfId="4" priority="6" operator="equal">
      <formula>"f"</formula>
    </cfRule>
  </conditionalFormatting>
  <conditionalFormatting sqref="E8:F62">
    <cfRule type="cellIs" dxfId="3" priority="4" operator="equal">
      <formula>"AB"</formula>
    </cfRule>
  </conditionalFormatting>
  <conditionalFormatting sqref="E63:F63">
    <cfRule type="cellIs" dxfId="2" priority="2" operator="equal">
      <formula>95</formula>
    </cfRule>
    <cfRule type="cellIs" dxfId="1" priority="3" operator="equal">
      <formula>"f"</formula>
    </cfRule>
  </conditionalFormatting>
  <conditionalFormatting sqref="E63:F63">
    <cfRule type="cellIs" dxfId="0" priority="1" operator="equal">
      <formula>"AB"</formula>
    </cfRule>
  </conditionalFormatting>
  <pageMargins left="0.25" right="0.25" top="0.75" bottom="0.75" header="0.3" footer="0.3"/>
  <pageSetup fitToWidth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B41"/>
  <sheetViews>
    <sheetView topLeftCell="C7" zoomScaleNormal="100" workbookViewId="0">
      <selection activeCell="L9" sqref="L9"/>
    </sheetView>
  </sheetViews>
  <sheetFormatPr defaultRowHeight="14.25" x14ac:dyDescent="0.2"/>
  <cols>
    <col min="1" max="1" width="5.5" customWidth="1"/>
    <col min="2" max="2" width="12" customWidth="1"/>
    <col min="3" max="3" width="36.25" customWidth="1"/>
    <col min="16" max="16" width="12" customWidth="1"/>
  </cols>
  <sheetData>
    <row r="1" spans="1:80" ht="19.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ht="26.25" customHeight="1" x14ac:dyDescent="0.2">
      <c r="A2" s="114" t="s">
        <v>19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</row>
    <row r="3" spans="1:80" ht="18" x14ac:dyDescent="0.25">
      <c r="A3" s="115" t="s">
        <v>223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</row>
    <row r="4" spans="1:80" ht="15.75" x14ac:dyDescent="0.25"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</row>
    <row r="5" spans="1:80" ht="15.75" x14ac:dyDescent="0.25">
      <c r="A5" s="116" t="s">
        <v>94</v>
      </c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3"/>
      <c r="Q5" s="3"/>
    </row>
    <row r="7" spans="1:80" ht="31.5" x14ac:dyDescent="0.25">
      <c r="A7" s="39" t="s">
        <v>20</v>
      </c>
      <c r="B7" s="39" t="s">
        <v>64</v>
      </c>
      <c r="C7" s="10" t="s">
        <v>65</v>
      </c>
      <c r="D7" s="7" t="s">
        <v>21</v>
      </c>
      <c r="E7" s="8" t="s">
        <v>22</v>
      </c>
      <c r="F7" s="8" t="s">
        <v>51</v>
      </c>
      <c r="G7" s="8" t="s">
        <v>52</v>
      </c>
      <c r="H7" s="8" t="s">
        <v>23</v>
      </c>
      <c r="I7" s="8" t="s">
        <v>53</v>
      </c>
      <c r="J7" s="8" t="s">
        <v>24</v>
      </c>
      <c r="K7" s="8" t="s">
        <v>25</v>
      </c>
      <c r="L7" s="8" t="s">
        <v>54</v>
      </c>
      <c r="M7" s="8" t="s">
        <v>26</v>
      </c>
      <c r="N7" s="8" t="s">
        <v>44</v>
      </c>
      <c r="O7" s="8" t="s">
        <v>27</v>
      </c>
      <c r="P7" s="48" t="s">
        <v>66</v>
      </c>
    </row>
    <row r="8" spans="1:80" ht="15.75" x14ac:dyDescent="0.2">
      <c r="A8" s="29">
        <v>1</v>
      </c>
      <c r="B8" s="50" t="s">
        <v>83</v>
      </c>
      <c r="C8" s="37" t="s">
        <v>74</v>
      </c>
      <c r="D8" s="29">
        <v>63</v>
      </c>
      <c r="E8" s="29">
        <v>63</v>
      </c>
      <c r="F8" s="29">
        <f>OverallResult!K65</f>
        <v>0</v>
      </c>
      <c r="G8" s="29">
        <f>OverallResult!K66</f>
        <v>1</v>
      </c>
      <c r="H8" s="29">
        <f>OverallResult!K67</f>
        <v>0</v>
      </c>
      <c r="I8" s="29">
        <f>OverallResult!K68</f>
        <v>0</v>
      </c>
      <c r="J8" s="29">
        <f>OverallResult!K69</f>
        <v>0</v>
      </c>
      <c r="K8" s="29">
        <f>OverallResult!K70</f>
        <v>0</v>
      </c>
      <c r="L8" s="29">
        <f>OverallResult!K71</f>
        <v>0</v>
      </c>
      <c r="M8" s="29">
        <f>OverallResult!K72</f>
        <v>55</v>
      </c>
      <c r="N8" s="29">
        <f>OverallResult!K73</f>
        <v>0</v>
      </c>
      <c r="O8" s="29">
        <f>OverallResult!K76</f>
        <v>8</v>
      </c>
      <c r="P8" s="49">
        <f>(O8/63)*100</f>
        <v>12.698412698412698</v>
      </c>
    </row>
    <row r="9" spans="1:80" ht="15.75" x14ac:dyDescent="0.2">
      <c r="A9" s="29">
        <v>2</v>
      </c>
      <c r="B9" s="50" t="s">
        <v>84</v>
      </c>
      <c r="C9" s="38" t="s">
        <v>75</v>
      </c>
      <c r="D9" s="29">
        <v>63</v>
      </c>
      <c r="E9" s="29">
        <v>63</v>
      </c>
      <c r="F9" s="29">
        <f>OverallResult!T65</f>
        <v>0</v>
      </c>
      <c r="G9" s="29">
        <f>OverallResult!T66</f>
        <v>0</v>
      </c>
      <c r="H9" s="29">
        <f>OverallResult!T67</f>
        <v>0</v>
      </c>
      <c r="I9" s="29">
        <f>OverallResult!T68</f>
        <v>0</v>
      </c>
      <c r="J9" s="29">
        <f>OverallResult!T69</f>
        <v>0</v>
      </c>
      <c r="K9" s="29">
        <f>OverallResult!T70</f>
        <v>0</v>
      </c>
      <c r="L9" s="29">
        <f>OverallResult!T71</f>
        <v>0</v>
      </c>
      <c r="M9" s="29">
        <f>OverallResult!T72</f>
        <v>56</v>
      </c>
      <c r="N9" s="29">
        <f>OverallResult!T73</f>
        <v>0</v>
      </c>
      <c r="O9" s="29">
        <f>OverallResult!T76</f>
        <v>7</v>
      </c>
      <c r="P9" s="49">
        <f t="shared" ref="P9:P16" si="0">(O9/63)*100</f>
        <v>11.111111111111111</v>
      </c>
    </row>
    <row r="10" spans="1:80" ht="15.75" x14ac:dyDescent="0.2">
      <c r="A10" s="29">
        <v>3</v>
      </c>
      <c r="B10" s="50" t="s">
        <v>85</v>
      </c>
      <c r="C10" s="52" t="s">
        <v>76</v>
      </c>
      <c r="D10" s="29">
        <v>63</v>
      </c>
      <c r="E10" s="29">
        <v>63</v>
      </c>
      <c r="F10" s="29">
        <f>OverallResult!AC65</f>
        <v>0</v>
      </c>
      <c r="G10" s="29">
        <f>OverallResult!AC66</f>
        <v>0</v>
      </c>
      <c r="H10" s="29">
        <f>OverallResult!AC67</f>
        <v>0</v>
      </c>
      <c r="I10" s="29">
        <f>OverallResult!AC68</f>
        <v>0</v>
      </c>
      <c r="J10" s="29">
        <f>OverallResult!AC69</f>
        <v>0</v>
      </c>
      <c r="K10" s="29">
        <f>OverallResult!AC70</f>
        <v>0</v>
      </c>
      <c r="L10" s="29">
        <f>OverallResult!AC71</f>
        <v>0</v>
      </c>
      <c r="M10" s="29">
        <f>OverallResult!AC72</f>
        <v>56</v>
      </c>
      <c r="N10" s="29">
        <f>OverallResult!AC73</f>
        <v>0</v>
      </c>
      <c r="O10" s="29">
        <f>OverallResult!AC76</f>
        <v>7</v>
      </c>
      <c r="P10" s="49">
        <f t="shared" si="0"/>
        <v>11.111111111111111</v>
      </c>
    </row>
    <row r="11" spans="1:80" ht="15.75" x14ac:dyDescent="0.2">
      <c r="A11" s="29">
        <v>4</v>
      </c>
      <c r="B11" s="50" t="s">
        <v>86</v>
      </c>
      <c r="C11" s="52" t="s">
        <v>77</v>
      </c>
      <c r="D11" s="29">
        <v>63</v>
      </c>
      <c r="E11" s="29">
        <v>63</v>
      </c>
      <c r="F11" s="29">
        <f>OverallResult!AL65</f>
        <v>0</v>
      </c>
      <c r="G11" s="29">
        <f>OverallResult!AL66</f>
        <v>0</v>
      </c>
      <c r="H11" s="29">
        <f>OverallResult!AL67</f>
        <v>0</v>
      </c>
      <c r="I11" s="29">
        <f>OverallResult!AL68</f>
        <v>0</v>
      </c>
      <c r="J11" s="29">
        <f>OverallResult!AL69</f>
        <v>0</v>
      </c>
      <c r="K11" s="29">
        <f>OverallResult!AL70</f>
        <v>0</v>
      </c>
      <c r="L11" s="29">
        <f>OverallResult!AL71</f>
        <v>0</v>
      </c>
      <c r="M11" s="29">
        <f>OverallResult!AL72</f>
        <v>56</v>
      </c>
      <c r="N11" s="29">
        <f>OverallResult!AL73</f>
        <v>0</v>
      </c>
      <c r="O11" s="29">
        <f>OverallResult!AL76</f>
        <v>7</v>
      </c>
      <c r="P11" s="49">
        <f>(O11/63)*100</f>
        <v>11.111111111111111</v>
      </c>
    </row>
    <row r="12" spans="1:80" ht="15.75" x14ac:dyDescent="0.2">
      <c r="A12" s="29">
        <v>5</v>
      </c>
      <c r="B12" s="50" t="s">
        <v>87</v>
      </c>
      <c r="C12" s="52" t="s">
        <v>78</v>
      </c>
      <c r="D12" s="29">
        <v>63</v>
      </c>
      <c r="E12" s="29">
        <v>63</v>
      </c>
      <c r="F12" s="29">
        <f>OverallResult!AU65</f>
        <v>0</v>
      </c>
      <c r="G12" s="29">
        <f>OverallResult!AU66</f>
        <v>0</v>
      </c>
      <c r="H12" s="29">
        <f>OverallResult!AU67</f>
        <v>0</v>
      </c>
      <c r="I12" s="29">
        <f>OverallResult!AU68</f>
        <v>0</v>
      </c>
      <c r="J12" s="29">
        <f>OverallResult!AU69</f>
        <v>0</v>
      </c>
      <c r="K12" s="29">
        <f>OverallResult!AU70</f>
        <v>0</v>
      </c>
      <c r="L12" s="29">
        <f>OverallResult!AU71</f>
        <v>0</v>
      </c>
      <c r="M12" s="29">
        <f>OverallResult!AU72</f>
        <v>56</v>
      </c>
      <c r="N12" s="29">
        <f>OverallResult!AU73</f>
        <v>0</v>
      </c>
      <c r="O12" s="29">
        <f>OverallResult!AU76</f>
        <v>7</v>
      </c>
      <c r="P12" s="49">
        <f t="shared" si="0"/>
        <v>11.111111111111111</v>
      </c>
    </row>
    <row r="13" spans="1:80" ht="15.75" x14ac:dyDescent="0.2">
      <c r="A13" s="29">
        <v>6</v>
      </c>
      <c r="B13" s="50" t="s">
        <v>88</v>
      </c>
      <c r="C13" s="52" t="s">
        <v>79</v>
      </c>
      <c r="D13" s="29">
        <v>63</v>
      </c>
      <c r="E13" s="29">
        <v>63</v>
      </c>
      <c r="F13" s="29">
        <f>OverallResult!BD65</f>
        <v>0</v>
      </c>
      <c r="G13" s="29">
        <f>OverallResult!BD66</f>
        <v>0</v>
      </c>
      <c r="H13" s="29">
        <f>OverallResult!BD67</f>
        <v>0</v>
      </c>
      <c r="I13" s="29">
        <f>OverallResult!BD68</f>
        <v>0</v>
      </c>
      <c r="J13" s="29">
        <f>OverallResult!BD69</f>
        <v>0</v>
      </c>
      <c r="K13" s="29">
        <f>OverallResult!BD70</f>
        <v>0</v>
      </c>
      <c r="L13" s="29">
        <f>OverallResult!BD71</f>
        <v>0</v>
      </c>
      <c r="M13" s="29">
        <f>OverallResult!BD72</f>
        <v>56</v>
      </c>
      <c r="N13" s="29">
        <f>OverallResult!BD73</f>
        <v>0</v>
      </c>
      <c r="O13" s="29">
        <f>OverallResult!BD76</f>
        <v>7</v>
      </c>
      <c r="P13" s="49">
        <f>(O13/63)*100</f>
        <v>11.111111111111111</v>
      </c>
    </row>
    <row r="14" spans="1:80" ht="15.75" x14ac:dyDescent="0.2">
      <c r="A14" s="117">
        <v>7</v>
      </c>
      <c r="B14" s="50" t="s">
        <v>90</v>
      </c>
      <c r="C14" s="52" t="s">
        <v>92</v>
      </c>
      <c r="D14" s="29">
        <v>39</v>
      </c>
      <c r="E14" s="29">
        <v>39</v>
      </c>
      <c r="F14" s="29">
        <v>2</v>
      </c>
      <c r="G14" s="29">
        <v>17</v>
      </c>
      <c r="H14" s="29">
        <v>16</v>
      </c>
      <c r="I14" s="29">
        <v>4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39</v>
      </c>
      <c r="P14" s="49">
        <f>(O14/39)*100</f>
        <v>100</v>
      </c>
    </row>
    <row r="15" spans="1:80" ht="15.75" x14ac:dyDescent="0.2">
      <c r="A15" s="118"/>
      <c r="B15" s="51" t="s">
        <v>91</v>
      </c>
      <c r="C15" s="52" t="s">
        <v>93</v>
      </c>
      <c r="D15" s="29">
        <v>24</v>
      </c>
      <c r="E15" s="29">
        <v>24</v>
      </c>
      <c r="F15" s="29">
        <v>19</v>
      </c>
      <c r="G15" s="29">
        <v>4</v>
      </c>
      <c r="H15" s="29">
        <v>1</v>
      </c>
      <c r="I15" s="29">
        <v>0</v>
      </c>
      <c r="J15" s="29">
        <f>OverallResult!BM69</f>
        <v>0</v>
      </c>
      <c r="K15" s="29">
        <f>OverallResult!BM70</f>
        <v>0</v>
      </c>
      <c r="L15" s="29">
        <f>OverallResult!BM71</f>
        <v>0</v>
      </c>
      <c r="M15" s="29">
        <f>OverallResult!BM72</f>
        <v>56</v>
      </c>
      <c r="N15" s="29">
        <f>OverallResult!BM73</f>
        <v>0</v>
      </c>
      <c r="O15" s="29">
        <v>24</v>
      </c>
      <c r="P15" s="49">
        <f>(O15/24)*100</f>
        <v>100</v>
      </c>
    </row>
    <row r="16" spans="1:80" ht="15.75" x14ac:dyDescent="0.2">
      <c r="A16" s="29">
        <v>8</v>
      </c>
      <c r="B16" s="50" t="s">
        <v>89</v>
      </c>
      <c r="C16" s="52" t="s">
        <v>81</v>
      </c>
      <c r="D16" s="29">
        <v>63</v>
      </c>
      <c r="E16" s="29">
        <v>63</v>
      </c>
      <c r="F16" s="29">
        <f>OverallResult!BV65</f>
        <v>0</v>
      </c>
      <c r="G16" s="29">
        <f>OverallResult!BV66</f>
        <v>0</v>
      </c>
      <c r="H16" s="29">
        <f>OverallResult!BV67</f>
        <v>0</v>
      </c>
      <c r="I16" s="29">
        <f>OverallResult!BV68</f>
        <v>0</v>
      </c>
      <c r="J16" s="29">
        <f>OverallResult!BV69</f>
        <v>0</v>
      </c>
      <c r="K16" s="29">
        <f>OverallResult!BV70</f>
        <v>0</v>
      </c>
      <c r="L16" s="29">
        <f>OverallResult!BV71</f>
        <v>0</v>
      </c>
      <c r="M16" s="29">
        <f>OverallResult!BV72</f>
        <v>56</v>
      </c>
      <c r="N16" s="29">
        <f>OverallResult!BV73</f>
        <v>0</v>
      </c>
      <c r="O16" s="29">
        <f>OverallResult!BV76</f>
        <v>7</v>
      </c>
      <c r="P16" s="49">
        <f t="shared" si="0"/>
        <v>11.111111111111111</v>
      </c>
    </row>
    <row r="39" spans="14:14" ht="41.45" customHeight="1" x14ac:dyDescent="0.2"/>
    <row r="41" spans="14:14" ht="15.75" x14ac:dyDescent="0.25">
      <c r="N41" s="2" t="s">
        <v>235</v>
      </c>
    </row>
  </sheetData>
  <mergeCells count="5">
    <mergeCell ref="A1:O1"/>
    <mergeCell ref="A2:O2"/>
    <mergeCell ref="A3:O3"/>
    <mergeCell ref="A5:O5"/>
    <mergeCell ref="A14:A15"/>
  </mergeCells>
  <pageMargins left="0.7" right="0.7" top="0.75" bottom="0.75" header="0.3" footer="0.3"/>
  <pageSetup scale="64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6"/>
  <sheetViews>
    <sheetView zoomScaleNormal="100" workbookViewId="0">
      <selection activeCell="M39" sqref="M39"/>
    </sheetView>
  </sheetViews>
  <sheetFormatPr defaultRowHeight="14.25" x14ac:dyDescent="0.2"/>
  <cols>
    <col min="1" max="1" width="1.5" customWidth="1"/>
    <col min="2" max="2" width="2" customWidth="1"/>
    <col min="3" max="3" width="11.875" customWidth="1"/>
    <col min="4" max="4" width="17.75" customWidth="1"/>
    <col min="12" max="12" width="12.375" customWidth="1"/>
    <col min="13" max="13" width="10.875" customWidth="1"/>
  </cols>
  <sheetData>
    <row r="1" spans="2:16" ht="19.5" x14ac:dyDescent="0.25">
      <c r="B1" s="113" t="s">
        <v>18</v>
      </c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2"/>
      <c r="O1" s="2"/>
      <c r="P1" s="2"/>
    </row>
    <row r="2" spans="2:16" ht="30.75" customHeight="1" x14ac:dyDescent="0.2">
      <c r="B2" s="114" t="s">
        <v>19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5"/>
      <c r="O2" s="5"/>
      <c r="P2" s="5"/>
    </row>
    <row r="3" spans="2:16" ht="18" x14ac:dyDescent="0.25">
      <c r="B3" s="115" t="s">
        <v>223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3"/>
      <c r="O3" s="3"/>
      <c r="P3" s="3"/>
    </row>
    <row r="4" spans="2:16" ht="15.75" x14ac:dyDescent="0.25">
      <c r="N4" s="2"/>
      <c r="O4" s="2"/>
      <c r="P4" s="2"/>
    </row>
    <row r="5" spans="2:16" ht="15.75" x14ac:dyDescent="0.25">
      <c r="B5" s="116" t="s">
        <v>95</v>
      </c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2"/>
      <c r="O5" s="2"/>
      <c r="P5" s="2"/>
    </row>
    <row r="6" spans="2:16" ht="15" x14ac:dyDescent="0.2"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</row>
    <row r="7" spans="2:16" ht="63" x14ac:dyDescent="0.2">
      <c r="B7" s="74"/>
      <c r="C7" s="83" t="s">
        <v>31</v>
      </c>
      <c r="D7" s="83" t="s">
        <v>32</v>
      </c>
      <c r="E7" s="83" t="s">
        <v>55</v>
      </c>
      <c r="F7" s="83" t="s">
        <v>56</v>
      </c>
      <c r="G7" s="83" t="s">
        <v>33</v>
      </c>
      <c r="H7" s="83" t="s">
        <v>57</v>
      </c>
      <c r="I7" s="83" t="s">
        <v>34</v>
      </c>
      <c r="J7" s="83" t="s">
        <v>35</v>
      </c>
      <c r="K7" s="83" t="s">
        <v>58</v>
      </c>
      <c r="L7" s="83" t="s">
        <v>36</v>
      </c>
      <c r="M7" s="83" t="s">
        <v>27</v>
      </c>
    </row>
    <row r="8" spans="2:16" ht="15.75" x14ac:dyDescent="0.25">
      <c r="B8" s="74"/>
      <c r="C8" s="75">
        <f>OverallResult!CB75</f>
        <v>63</v>
      </c>
      <c r="D8" s="76">
        <v>63</v>
      </c>
      <c r="E8" s="77">
        <f>OverallResult!CB65</f>
        <v>0</v>
      </c>
      <c r="F8" s="76">
        <f>OverallResult!CB66</f>
        <v>0</v>
      </c>
      <c r="G8" s="76">
        <f>OverallResult!CB67</f>
        <v>0</v>
      </c>
      <c r="H8" s="76">
        <f>OverallResult!CB68</f>
        <v>0</v>
      </c>
      <c r="I8" s="76">
        <f>OverallResult!CB69</f>
        <v>0</v>
      </c>
      <c r="J8" s="76">
        <f>OverallResult!CB70</f>
        <v>0</v>
      </c>
      <c r="K8" s="76">
        <f>OverallResult!CB71</f>
        <v>0</v>
      </c>
      <c r="L8" s="76">
        <f>OverallResult!CB72</f>
        <v>56</v>
      </c>
      <c r="M8" s="78">
        <f>OverallResult!CB76</f>
        <v>7</v>
      </c>
    </row>
    <row r="9" spans="2:16" ht="11.25" customHeight="1" x14ac:dyDescent="0.25">
      <c r="B9" s="74"/>
      <c r="C9" s="79"/>
      <c r="D9" s="80"/>
      <c r="E9" s="81"/>
      <c r="F9" s="81"/>
      <c r="G9" s="84"/>
      <c r="H9" s="84"/>
      <c r="I9" s="84"/>
      <c r="J9" s="84"/>
      <c r="K9" s="84"/>
      <c r="L9" s="84"/>
      <c r="M9" s="84"/>
    </row>
    <row r="10" spans="2:16" ht="63" x14ac:dyDescent="0.2">
      <c r="B10" s="74"/>
      <c r="C10" s="83" t="s">
        <v>31</v>
      </c>
      <c r="D10" s="83" t="s">
        <v>32</v>
      </c>
      <c r="E10" s="83" t="s">
        <v>59</v>
      </c>
      <c r="F10" s="83" t="s">
        <v>60</v>
      </c>
      <c r="G10" s="83" t="s">
        <v>37</v>
      </c>
      <c r="H10" s="83" t="s">
        <v>38</v>
      </c>
      <c r="I10" s="83" t="s">
        <v>61</v>
      </c>
      <c r="J10" s="83" t="s">
        <v>39</v>
      </c>
      <c r="K10" s="83" t="s">
        <v>62</v>
      </c>
      <c r="L10" s="83" t="s">
        <v>40</v>
      </c>
      <c r="M10" s="83" t="s">
        <v>41</v>
      </c>
    </row>
    <row r="11" spans="2:16" ht="15.75" x14ac:dyDescent="0.25">
      <c r="B11" s="74"/>
      <c r="C11" s="75">
        <f>C8</f>
        <v>63</v>
      </c>
      <c r="D11" s="76">
        <v>63</v>
      </c>
      <c r="E11" s="82">
        <f>E8/C8</f>
        <v>0</v>
      </c>
      <c r="F11" s="82">
        <f>F8/C8</f>
        <v>0</v>
      </c>
      <c r="G11" s="82">
        <f>G8/C8</f>
        <v>0</v>
      </c>
      <c r="H11" s="82">
        <f>H8/C8</f>
        <v>0</v>
      </c>
      <c r="I11" s="77">
        <f>I8/D8*100</f>
        <v>0</v>
      </c>
      <c r="J11" s="77">
        <f>J8/D8*100</f>
        <v>0</v>
      </c>
      <c r="K11" s="77">
        <f>K8/D11</f>
        <v>0</v>
      </c>
      <c r="L11" s="82">
        <f>L8/C8</f>
        <v>0.88888888888888884</v>
      </c>
      <c r="M11" s="82">
        <f>M8/C8</f>
        <v>0.1111111111111111</v>
      </c>
    </row>
    <row r="12" spans="2:16" ht="8.25" customHeight="1" x14ac:dyDescent="0.2"/>
    <row r="35" spans="12:13" ht="15.75" x14ac:dyDescent="0.25">
      <c r="L35" s="2" t="s">
        <v>235</v>
      </c>
    </row>
    <row r="36" spans="12:13" ht="15.75" x14ac:dyDescent="0.25">
      <c r="M36" s="2"/>
    </row>
  </sheetData>
  <mergeCells count="4">
    <mergeCell ref="B1:M1"/>
    <mergeCell ref="B2:M2"/>
    <mergeCell ref="B3:M3"/>
    <mergeCell ref="B5:M5"/>
  </mergeCells>
  <printOptions horizontalCentered="1"/>
  <pageMargins left="1" right="1" top="0.5" bottom="0.25" header="0.3" footer="0.3"/>
  <pageSetup paperSize="9" scale="85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"/>
  <sheetViews>
    <sheetView workbookViewId="0">
      <selection activeCell="H17" sqref="H17"/>
    </sheetView>
  </sheetViews>
  <sheetFormatPr defaultRowHeight="14.25" x14ac:dyDescent="0.2"/>
  <sheetData>
    <row r="1" spans="1:19" ht="19.5" x14ac:dyDescent="0.25">
      <c r="A1" s="113" t="s">
        <v>18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42"/>
      <c r="N1" s="42"/>
      <c r="O1" s="42"/>
      <c r="P1" s="42"/>
      <c r="Q1" s="42"/>
      <c r="R1" s="42"/>
      <c r="S1" s="42"/>
    </row>
    <row r="2" spans="1:19" ht="28.15" customHeight="1" x14ac:dyDescent="0.2">
      <c r="A2" s="114" t="s">
        <v>19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40"/>
      <c r="N2" s="40"/>
      <c r="O2" s="40"/>
      <c r="P2" s="40"/>
      <c r="Q2" s="40"/>
      <c r="R2" s="40"/>
      <c r="S2" s="40"/>
    </row>
    <row r="3" spans="1:19" ht="18" x14ac:dyDescent="0.25">
      <c r="A3" s="115" t="s">
        <v>223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41"/>
      <c r="N3" s="41"/>
      <c r="O3" s="41"/>
      <c r="P3" s="41"/>
      <c r="Q3" s="41"/>
      <c r="R3" s="41"/>
      <c r="S3" s="41"/>
    </row>
    <row r="6" spans="1:19" ht="15.75" x14ac:dyDescent="0.25">
      <c r="A6" s="116" t="s">
        <v>96</v>
      </c>
      <c r="B6" s="116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3"/>
      <c r="N6" s="3"/>
      <c r="O6" s="3"/>
      <c r="P6" s="3"/>
      <c r="Q6" s="3"/>
      <c r="R6" s="3"/>
      <c r="S6" s="3"/>
    </row>
    <row r="9" spans="1:19" ht="20.25" x14ac:dyDescent="0.3">
      <c r="A9" s="119" t="s">
        <v>63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</row>
    <row r="13" spans="1:19" ht="15.75" x14ac:dyDescent="0.25">
      <c r="J13" s="2" t="s">
        <v>234</v>
      </c>
    </row>
  </sheetData>
  <mergeCells count="5">
    <mergeCell ref="A6:L6"/>
    <mergeCell ref="A1:L1"/>
    <mergeCell ref="A2:L2"/>
    <mergeCell ref="A3:L3"/>
    <mergeCell ref="A9:L9"/>
  </mergeCells>
  <pageMargins left="0.7" right="0.7" top="0.75" bottom="0.75" header="0.3" footer="0.3"/>
  <pageSetup paperSize="9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K915"/>
  <sheetViews>
    <sheetView workbookViewId="0">
      <selection activeCell="CS25" sqref="CS25"/>
    </sheetView>
  </sheetViews>
  <sheetFormatPr defaultColWidth="12.625" defaultRowHeight="15" customHeight="1" x14ac:dyDescent="0.25"/>
  <cols>
    <col min="1" max="1" width="8.875" style="11" bestFit="1" customWidth="1"/>
    <col min="2" max="2" width="12.25" style="11" customWidth="1"/>
    <col min="3" max="3" width="32.375" style="11" customWidth="1"/>
    <col min="4" max="4" width="3.875" style="18" hidden="1" customWidth="1"/>
    <col min="5" max="5" width="4" style="22" hidden="1" customWidth="1"/>
    <col min="6" max="10" width="4.125" style="21" hidden="1" customWidth="1"/>
    <col min="11" max="13" width="4.125" style="11" hidden="1" customWidth="1"/>
    <col min="14" max="18" width="4.125" style="21" hidden="1" customWidth="1"/>
    <col min="19" max="20" width="4.125" style="11" hidden="1" customWidth="1"/>
    <col min="21" max="21" width="4.875" style="11" hidden="1" customWidth="1"/>
    <col min="22" max="23" width="4.125" style="11" hidden="1" customWidth="1"/>
    <col min="24" max="24" width="4.375" style="11" hidden="1" customWidth="1"/>
    <col min="25" max="33" width="4.125" style="11" hidden="1" customWidth="1"/>
    <col min="34" max="34" width="3.625" style="11" hidden="1" customWidth="1"/>
    <col min="35" max="38" width="4.125" style="11" hidden="1" customWidth="1"/>
    <col min="39" max="39" width="4.75" style="11" hidden="1" customWidth="1"/>
    <col min="40" max="78" width="4.125" style="11" hidden="1" customWidth="1"/>
    <col min="79" max="79" width="6.75" style="11" customWidth="1"/>
    <col min="80" max="80" width="5.625" style="21" customWidth="1"/>
    <col min="81" max="82" width="5.625" style="11" customWidth="1"/>
    <col min="83" max="84" width="5.625" style="21" customWidth="1"/>
    <col min="85" max="86" width="5.625" style="11" customWidth="1"/>
    <col min="87" max="87" width="10.25" style="11" customWidth="1"/>
    <col min="88" max="109" width="5.625" style="11" customWidth="1"/>
    <col min="110" max="16384" width="12.625" style="11"/>
  </cols>
  <sheetData>
    <row r="1" spans="1:89" ht="15.75" x14ac:dyDescent="0.25">
      <c r="A1" s="104" t="s">
        <v>18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</row>
    <row r="2" spans="1:89" x14ac:dyDescent="0.25">
      <c r="A2" s="105" t="s">
        <v>19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</row>
    <row r="3" spans="1:89" ht="15.75" x14ac:dyDescent="0.25">
      <c r="A3" s="107" t="s">
        <v>72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G3" s="107"/>
      <c r="BH3" s="107"/>
      <c r="BI3" s="107"/>
      <c r="BJ3" s="107"/>
      <c r="BK3" s="107"/>
      <c r="BL3" s="107"/>
      <c r="BM3" s="107"/>
      <c r="BN3" s="107"/>
      <c r="BO3" s="107"/>
      <c r="BP3" s="107"/>
      <c r="BQ3" s="107"/>
      <c r="BR3" s="107"/>
      <c r="BS3" s="107"/>
      <c r="BT3" s="107"/>
      <c r="BU3" s="107"/>
      <c r="BV3" s="107"/>
      <c r="BW3" s="107"/>
      <c r="BX3" s="107"/>
      <c r="BY3" s="107"/>
      <c r="BZ3" s="107"/>
      <c r="CA3" s="107"/>
    </row>
    <row r="4" spans="1:89" ht="15.75" x14ac:dyDescent="0.25">
      <c r="A4" s="104" t="s">
        <v>223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  <c r="Y4" s="104"/>
      <c r="Z4" s="104"/>
      <c r="AA4" s="104"/>
      <c r="AB4" s="104"/>
      <c r="AC4" s="104"/>
      <c r="AD4" s="104"/>
      <c r="AE4" s="104"/>
      <c r="AF4" s="104"/>
      <c r="AG4" s="104"/>
      <c r="AH4" s="104"/>
      <c r="AI4" s="104"/>
      <c r="AJ4" s="104"/>
      <c r="AK4" s="104"/>
      <c r="AL4" s="104"/>
      <c r="AM4" s="104"/>
      <c r="AN4" s="104"/>
      <c r="AO4" s="104"/>
      <c r="AP4" s="104"/>
      <c r="AQ4" s="104"/>
      <c r="AR4" s="104"/>
      <c r="AS4" s="104"/>
      <c r="AT4" s="104"/>
      <c r="AU4" s="104"/>
      <c r="AV4" s="104"/>
      <c r="AW4" s="104"/>
      <c r="AX4" s="104"/>
      <c r="AY4" s="104"/>
      <c r="AZ4" s="104"/>
      <c r="BA4" s="104"/>
      <c r="BB4" s="104"/>
      <c r="BC4" s="104"/>
      <c r="BD4" s="104"/>
      <c r="BE4" s="104"/>
      <c r="BF4" s="104"/>
      <c r="BG4" s="104"/>
      <c r="BH4" s="104"/>
      <c r="BI4" s="104"/>
      <c r="BJ4" s="104"/>
      <c r="BK4" s="104"/>
      <c r="BL4" s="104"/>
      <c r="BM4" s="104"/>
      <c r="BN4" s="104"/>
      <c r="BO4" s="104"/>
      <c r="BP4" s="104"/>
      <c r="BQ4" s="104"/>
      <c r="BR4" s="104"/>
      <c r="BS4" s="104"/>
      <c r="BT4" s="104"/>
      <c r="BU4" s="104"/>
      <c r="BV4" s="104"/>
      <c r="BW4" s="104"/>
      <c r="BX4" s="104"/>
      <c r="BY4" s="104"/>
      <c r="BZ4" s="104"/>
      <c r="CA4" s="104"/>
    </row>
    <row r="5" spans="1:89" ht="15.75" x14ac:dyDescent="0.25">
      <c r="A5" s="85"/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5"/>
      <c r="BD5" s="85"/>
      <c r="BE5" s="85"/>
      <c r="BF5" s="85"/>
      <c r="BG5" s="85"/>
      <c r="BH5" s="85"/>
      <c r="BI5" s="85"/>
      <c r="BJ5" s="85"/>
      <c r="BK5" s="85"/>
      <c r="BL5" s="85"/>
      <c r="BM5" s="85"/>
      <c r="BN5" s="85"/>
      <c r="BO5" s="85"/>
      <c r="BP5" s="85"/>
      <c r="BQ5" s="85"/>
      <c r="BR5" s="85"/>
      <c r="BS5" s="85"/>
      <c r="BT5" s="85"/>
      <c r="BU5" s="85"/>
      <c r="BV5" s="85"/>
      <c r="BW5" s="85"/>
      <c r="BX5" s="85"/>
      <c r="BY5" s="85"/>
      <c r="BZ5" s="85"/>
      <c r="CA5" s="85"/>
    </row>
    <row r="6" spans="1:89" ht="15.75" x14ac:dyDescent="0.25">
      <c r="A6" s="13"/>
      <c r="B6" s="13"/>
      <c r="C6" s="14"/>
      <c r="D6" s="110" t="s">
        <v>227</v>
      </c>
      <c r="E6" s="108"/>
      <c r="F6" s="108"/>
      <c r="G6" s="108"/>
      <c r="H6" s="108"/>
      <c r="I6" s="108"/>
      <c r="J6" s="108"/>
      <c r="K6" s="108"/>
      <c r="L6" s="108"/>
      <c r="M6" s="15"/>
      <c r="N6" s="108" t="s">
        <v>228</v>
      </c>
      <c r="O6" s="108"/>
      <c r="P6" s="108"/>
      <c r="Q6" s="108"/>
      <c r="R6" s="108"/>
      <c r="S6" s="108"/>
      <c r="T6" s="108"/>
      <c r="U6" s="108"/>
      <c r="W6" s="109" t="s">
        <v>225</v>
      </c>
      <c r="X6" s="109"/>
      <c r="Y6" s="109"/>
      <c r="Z6" s="109"/>
      <c r="AA6" s="109"/>
      <c r="AB6" s="109"/>
      <c r="AC6" s="109"/>
      <c r="AD6" s="109"/>
      <c r="AF6" s="108" t="s">
        <v>226</v>
      </c>
      <c r="AG6" s="108"/>
      <c r="AH6" s="108"/>
      <c r="AI6" s="108"/>
      <c r="AJ6" s="108"/>
      <c r="AK6" s="108"/>
      <c r="AL6" s="108"/>
      <c r="AM6" s="108"/>
      <c r="AO6" s="108" t="s">
        <v>229</v>
      </c>
      <c r="AP6" s="108"/>
      <c r="AQ6" s="108"/>
      <c r="AR6" s="108"/>
      <c r="AS6" s="108"/>
      <c r="AT6" s="108"/>
      <c r="AU6" s="108"/>
      <c r="AV6" s="108"/>
      <c r="AX6" s="108" t="s">
        <v>230</v>
      </c>
      <c r="AY6" s="108"/>
      <c r="AZ6" s="108"/>
      <c r="BA6" s="108"/>
      <c r="BB6" s="108"/>
      <c r="BC6" s="108"/>
      <c r="BD6" s="108"/>
      <c r="BE6" s="108"/>
      <c r="BG6" s="108" t="s">
        <v>233</v>
      </c>
      <c r="BH6" s="108"/>
      <c r="BI6" s="108"/>
      <c r="BJ6" s="108"/>
      <c r="BK6" s="108"/>
      <c r="BL6" s="108"/>
      <c r="BM6" s="108"/>
      <c r="BN6" s="108"/>
      <c r="BP6" s="108" t="s">
        <v>231</v>
      </c>
      <c r="BQ6" s="108"/>
      <c r="BR6" s="108"/>
      <c r="BS6" s="108"/>
      <c r="BT6" s="108"/>
      <c r="BU6" s="108"/>
      <c r="BV6" s="108"/>
      <c r="BW6" s="108"/>
      <c r="BX6" s="22"/>
    </row>
    <row r="7" spans="1:89" ht="30" x14ac:dyDescent="0.25">
      <c r="A7" s="4" t="s">
        <v>0</v>
      </c>
      <c r="B7" s="45" t="s">
        <v>1</v>
      </c>
      <c r="C7" s="45" t="s">
        <v>2</v>
      </c>
      <c r="D7" s="4" t="s">
        <v>12</v>
      </c>
      <c r="E7" s="16" t="s">
        <v>15</v>
      </c>
      <c r="F7" s="4" t="s">
        <v>13</v>
      </c>
      <c r="G7" s="4" t="s">
        <v>16</v>
      </c>
      <c r="H7" s="4" t="s">
        <v>6</v>
      </c>
      <c r="I7" s="4" t="s">
        <v>7</v>
      </c>
      <c r="J7" s="4" t="s">
        <v>8</v>
      </c>
      <c r="K7" s="4" t="s">
        <v>9</v>
      </c>
      <c r="L7" s="17" t="s">
        <v>17</v>
      </c>
      <c r="M7" s="18"/>
      <c r="N7" s="16" t="s">
        <v>15</v>
      </c>
      <c r="O7" s="4" t="s">
        <v>13</v>
      </c>
      <c r="P7" s="4" t="s">
        <v>16</v>
      </c>
      <c r="Q7" s="4" t="s">
        <v>6</v>
      </c>
      <c r="R7" s="4" t="s">
        <v>7</v>
      </c>
      <c r="S7" s="4" t="s">
        <v>8</v>
      </c>
      <c r="T7" s="4" t="s">
        <v>9</v>
      </c>
      <c r="U7" s="17" t="s">
        <v>17</v>
      </c>
      <c r="V7" s="18"/>
      <c r="W7" s="16" t="s">
        <v>14</v>
      </c>
      <c r="X7" s="4" t="s">
        <v>13</v>
      </c>
      <c r="Y7" s="4" t="s">
        <v>16</v>
      </c>
      <c r="Z7" s="4" t="s">
        <v>6</v>
      </c>
      <c r="AA7" s="4" t="s">
        <v>7</v>
      </c>
      <c r="AB7" s="4" t="s">
        <v>8</v>
      </c>
      <c r="AC7" s="4" t="s">
        <v>9</v>
      </c>
      <c r="AD7" s="17" t="s">
        <v>17</v>
      </c>
      <c r="AE7" s="18"/>
      <c r="AF7" s="16" t="s">
        <v>14</v>
      </c>
      <c r="AG7" s="4" t="s">
        <v>13</v>
      </c>
      <c r="AH7" s="4" t="s">
        <v>16</v>
      </c>
      <c r="AI7" s="4" t="s">
        <v>6</v>
      </c>
      <c r="AJ7" s="4" t="s">
        <v>7</v>
      </c>
      <c r="AK7" s="4" t="s">
        <v>8</v>
      </c>
      <c r="AL7" s="4" t="s">
        <v>9</v>
      </c>
      <c r="AM7" s="17" t="s">
        <v>17</v>
      </c>
      <c r="AN7" s="18"/>
      <c r="AO7" s="16" t="s">
        <v>14</v>
      </c>
      <c r="AP7" s="4" t="s">
        <v>13</v>
      </c>
      <c r="AQ7" s="4" t="s">
        <v>16</v>
      </c>
      <c r="AR7" s="4" t="s">
        <v>6</v>
      </c>
      <c r="AS7" s="4" t="s">
        <v>7</v>
      </c>
      <c r="AT7" s="4" t="s">
        <v>8</v>
      </c>
      <c r="AU7" s="4" t="s">
        <v>9</v>
      </c>
      <c r="AV7" s="17" t="s">
        <v>17</v>
      </c>
      <c r="AW7" s="18"/>
      <c r="AX7" s="16" t="s">
        <v>14</v>
      </c>
      <c r="AY7" s="4" t="s">
        <v>13</v>
      </c>
      <c r="AZ7" s="4" t="s">
        <v>16</v>
      </c>
      <c r="BA7" s="4" t="s">
        <v>6</v>
      </c>
      <c r="BB7" s="4" t="s">
        <v>7</v>
      </c>
      <c r="BC7" s="4" t="s">
        <v>8</v>
      </c>
      <c r="BD7" s="4" t="s">
        <v>9</v>
      </c>
      <c r="BE7" s="17" t="s">
        <v>17</v>
      </c>
      <c r="BF7" s="18"/>
      <c r="BG7" s="16" t="s">
        <v>14</v>
      </c>
      <c r="BH7" s="4" t="s">
        <v>13</v>
      </c>
      <c r="BI7" s="4" t="s">
        <v>16</v>
      </c>
      <c r="BJ7" s="4" t="s">
        <v>6</v>
      </c>
      <c r="BK7" s="4" t="s">
        <v>7</v>
      </c>
      <c r="BL7" s="4" t="s">
        <v>8</v>
      </c>
      <c r="BM7" s="4" t="s">
        <v>9</v>
      </c>
      <c r="BN7" s="17" t="s">
        <v>17</v>
      </c>
      <c r="BO7" s="18"/>
      <c r="BP7" s="16" t="s">
        <v>14</v>
      </c>
      <c r="BQ7" s="4" t="s">
        <v>13</v>
      </c>
      <c r="BR7" s="4" t="s">
        <v>16</v>
      </c>
      <c r="BS7" s="4" t="s">
        <v>6</v>
      </c>
      <c r="BT7" s="4" t="s">
        <v>7</v>
      </c>
      <c r="BU7" s="4" t="s">
        <v>8</v>
      </c>
      <c r="BV7" s="4" t="s">
        <v>9</v>
      </c>
      <c r="BW7" s="17" t="s">
        <v>17</v>
      </c>
      <c r="BX7" s="17"/>
      <c r="BY7" s="18"/>
      <c r="BZ7" s="18"/>
      <c r="CA7" s="18" t="s">
        <v>10</v>
      </c>
      <c r="CB7" s="59" t="s">
        <v>30</v>
      </c>
      <c r="CC7" s="25" t="s">
        <v>42</v>
      </c>
      <c r="CE7" s="59" t="s">
        <v>43</v>
      </c>
      <c r="CF7" s="59" t="s">
        <v>42</v>
      </c>
    </row>
    <row r="8" spans="1:89" ht="15.75" x14ac:dyDescent="0.25">
      <c r="A8" s="44" t="e">
        <f>A7+1</f>
        <v>#VALUE!</v>
      </c>
      <c r="B8" s="93" t="s">
        <v>112</v>
      </c>
      <c r="C8" s="91" t="s">
        <v>174</v>
      </c>
      <c r="D8" s="58" t="s">
        <v>232</v>
      </c>
      <c r="E8" s="9">
        <v>50</v>
      </c>
      <c r="F8" s="9">
        <v>47</v>
      </c>
      <c r="G8" s="30"/>
      <c r="H8" s="19">
        <f t="shared" ref="H8:H39" si="0">SUM(E8:F8)</f>
        <v>97</v>
      </c>
      <c r="I8" s="19">
        <v>4</v>
      </c>
      <c r="J8" s="19" t="str">
        <f t="shared" ref="J8:J39" si="1">IF(F8&lt;=17,"0",IF(H8&lt;=39,"0",IF(H8&lt;=49,"4",IF(H8&lt;=54,"5",IF(H8&lt;=59,"6",IF(H8&lt;=69,"7",IF(H8&lt;=79,"8",IF(H8&lt;=89,"9","10"))))))))</f>
        <v>10</v>
      </c>
      <c r="K8" s="19" t="str">
        <f t="shared" ref="K8:K39" si="2">IF(F8&lt;=17,"F",IF(H8&lt;=39,"F",IF(H8&lt;=49,"P",IF(H8&lt;=54,"C",IF(H8&lt;=59,"B",IF(H8&lt;=69,"B+",IF(H8&lt;=79,"A",IF(H8&lt;=89,"A+","O"))))))))</f>
        <v>O</v>
      </c>
      <c r="L8" s="19">
        <f t="shared" ref="L8:L39" si="3">I8*J8</f>
        <v>40</v>
      </c>
      <c r="M8" s="19"/>
      <c r="N8" s="9">
        <v>50</v>
      </c>
      <c r="O8" s="9">
        <v>44</v>
      </c>
      <c r="P8" s="30"/>
      <c r="Q8" s="19">
        <f t="shared" ref="Q8:Q39" si="4">SUM(N8:O8)</f>
        <v>94</v>
      </c>
      <c r="R8" s="19">
        <v>4</v>
      </c>
      <c r="S8" s="19" t="str">
        <f t="shared" ref="S8:S39" si="5">IF(O8&lt;=17,"0",IF(Q8&lt;=39,"4",IF(Q8&lt;=49,"4",IF(Q8&lt;=54,"5",IF(Q8&lt;=59,"6",IF(Q8&lt;=69,"7",IF(Q8&lt;=79,"8",IF(Q8&lt;=89,"9","10"))))))))</f>
        <v>10</v>
      </c>
      <c r="T8" s="19" t="str">
        <f t="shared" ref="T8:T39" si="6">IF(O8&lt;=17,"F",IF(Q8&lt;=39,"F",IF(Q8&lt;=49,"P",IF(Q8&lt;=54,"C",IF(Q8&lt;=59,"B",IF(Q8&lt;=69,"B+",IF(Q8&lt;=79,"A",IF(Q8&lt;=89,"A+","O"))))))))</f>
        <v>O</v>
      </c>
      <c r="U8" s="19">
        <f t="shared" ref="U8:U39" si="7">R8*S8</f>
        <v>40</v>
      </c>
      <c r="V8" s="19"/>
      <c r="W8" s="9">
        <v>50</v>
      </c>
      <c r="X8" s="9">
        <v>48</v>
      </c>
      <c r="Y8" s="19"/>
      <c r="Z8" s="19">
        <f t="shared" ref="Z8:Z39" si="8">SUM(W8:X8)</f>
        <v>98</v>
      </c>
      <c r="AA8" s="19">
        <v>3</v>
      </c>
      <c r="AB8" s="19" t="str">
        <f t="shared" ref="AB8:AB39" si="9">IF(X8&lt;=17,"0",IF(Z8&lt;=39,"0",IF(Z8&lt;=49,"4",IF(Z8&lt;=54,"5",IF(Z8&lt;=59,"6",IF(Z8&lt;=69,"7",IF(Z8&lt;=79,"8",IF(Z8&lt;=89,"9","10"))))))))</f>
        <v>10</v>
      </c>
      <c r="AC8" s="19" t="str">
        <f t="shared" ref="AC8:AC39" si="10">IF(X8&lt;=17,"F",IF(Z8&lt;=39,"F",IF(Z8&lt;=49,"P",IF(Z8&lt;=54,"C",IF(Z8&lt;=59,"B",IF(Z8&lt;=69,"B+",IF(Z8&lt;=79,"A",IF(Z8&lt;=89,"A+","O"))))))))</f>
        <v>O</v>
      </c>
      <c r="AD8" s="19">
        <f t="shared" ref="AD8:AD39" si="11">AA8*AB8</f>
        <v>30</v>
      </c>
      <c r="AE8" s="19"/>
      <c r="AF8" s="92">
        <v>50</v>
      </c>
      <c r="AG8" s="92">
        <v>42</v>
      </c>
      <c r="AH8" s="30"/>
      <c r="AI8" s="19">
        <f t="shared" ref="AI8:AI39" si="12">SUM(AF8:AG8)</f>
        <v>92</v>
      </c>
      <c r="AJ8" s="19">
        <v>3</v>
      </c>
      <c r="AK8" s="19" t="str">
        <f t="shared" ref="AK8:AK39" si="13">IF(AG8&lt;=17,"0",IF(AI8&lt;=39,"0",IF(AI8&lt;=49,"4",IF(AI8&lt;=54,"5",IF(AI8&lt;=59,"6",IF(AI8&lt;=69,"7",IF(AI8&lt;=79,"8",IF(AI8&lt;=89,"9","10"))))))))</f>
        <v>10</v>
      </c>
      <c r="AL8" s="19" t="str">
        <f t="shared" ref="AL8:AL39" si="14">IF(AG8&lt;=17,"F",IF(AI8&lt;=39,"F",IF(AI8&lt;=49,"P",IF(AI8&lt;=54,"C",IF(AI8&lt;=59,"B",IF(AI8&lt;=69,"B+",IF(AI8&lt;=79,"A",IF(AI8&lt;=89,"A+","O"))))))))</f>
        <v>O</v>
      </c>
      <c r="AM8" s="19">
        <f t="shared" ref="AM8:AM39" si="15">AJ8*AK8</f>
        <v>30</v>
      </c>
      <c r="AN8" s="19"/>
      <c r="AO8" s="92">
        <v>50</v>
      </c>
      <c r="AP8" s="92">
        <v>41</v>
      </c>
      <c r="AQ8" s="30"/>
      <c r="AR8" s="19">
        <f t="shared" ref="AR8:AR39" si="16">(AO8+AP8)</f>
        <v>91</v>
      </c>
      <c r="AS8" s="19">
        <v>3</v>
      </c>
      <c r="AT8" s="19" t="str">
        <f t="shared" ref="AT8:AT39" si="17">IF(AP8&lt;=17,"0",IF(AR8&lt;=39,"0",IF(AR8&lt;=49,"4",IF(AR8&lt;=54,"5",IF(AR8&lt;=59,"6",IF(AR8&lt;=69,"7",IF(AR8&lt;=79,"8",IF(AR8&lt;=89,"9","10"))))))))</f>
        <v>10</v>
      </c>
      <c r="AU8" s="19" t="str">
        <f t="shared" ref="AU8:AU39" si="18">IF(AP8&lt;=17,"F",IF(AR8&lt;=39,"F",IF(AR8&lt;=49,"P",IF(AR8&lt;=54,"C",IF(AR8&lt;=59,"B",IF(AR8&lt;=69,"B+",IF(AR8&lt;=79,"A",IF(AR8&lt;=89,"A+","O"))))))))</f>
        <v>O</v>
      </c>
      <c r="AV8" s="19">
        <f t="shared" ref="AV8:AV39" si="19">AS8*AT8</f>
        <v>30</v>
      </c>
      <c r="AW8" s="19"/>
      <c r="AX8" s="9">
        <v>50</v>
      </c>
      <c r="AY8" s="9">
        <v>36</v>
      </c>
      <c r="AZ8" s="30"/>
      <c r="BA8" s="19">
        <f t="shared" ref="BA8:BA39" si="20">(AX8+AY8)</f>
        <v>86</v>
      </c>
      <c r="BB8" s="19">
        <v>1</v>
      </c>
      <c r="BC8" s="19" t="str">
        <f t="shared" ref="BC8:BC39" si="21">IF(AY8&lt;=17,"0",IF(BA8&lt;=39,"0",IF(BA8&lt;=49,"4",IF(BA8&lt;=54,"5",IF(BA8&lt;=59,"6",IF(BA8&lt;=69,"7",IF(BA8&lt;=79,"8",IF(BA8&lt;=89,"9","10"))))))))</f>
        <v>9</v>
      </c>
      <c r="BD8" s="19" t="str">
        <f t="shared" ref="BD8:BD39" si="22">IF(AY8&lt;=17,"F",IF(BA8&lt;=39,"F",IF(BA8&lt;=49,"P",IF(BA8&lt;=54,"C",IF(BA8&lt;=59,"B",IF(BA8&lt;=69,"B+",IF(BA8&lt;=79,"A",IF(BA8&lt;=89,"A+","O"))))))))</f>
        <v>A+</v>
      </c>
      <c r="BE8" s="19">
        <f t="shared" ref="BE8:BE39" si="23">BB8*BC8</f>
        <v>9</v>
      </c>
      <c r="BF8" s="53" t="s">
        <v>92</v>
      </c>
      <c r="BG8" s="9">
        <v>50</v>
      </c>
      <c r="BH8" s="9">
        <v>37</v>
      </c>
      <c r="BI8" s="30"/>
      <c r="BJ8" s="19">
        <f t="shared" ref="BJ8:BJ39" si="24">(BG8+BH8)</f>
        <v>87</v>
      </c>
      <c r="BK8" s="19">
        <v>1</v>
      </c>
      <c r="BL8" s="19" t="str">
        <f t="shared" ref="BL8:BL39" si="25">IF(BH8&lt;=17,"0",IF(BJ8&lt;=39,"0",IF(BJ8&lt;=49,"4",IF(BJ8&lt;=54,"5",IF(BJ8&lt;=59,"6",IF(BJ8&lt;=69,"7",IF(BJ8&lt;=79,"8",IF(BJ8&lt;=89,"9","10"))))))))</f>
        <v>9</v>
      </c>
      <c r="BM8" s="19" t="str">
        <f t="shared" ref="BM8:BM39" si="26">IF(BH8&lt;=17,"F",IF(BJ8&lt;=39,"F",IF(BJ8&lt;=49,"P",IF(BJ8&lt;=54,"C",IF(BJ8&lt;=59,"B",IF(BJ8&lt;=69,"B+",IF(BJ8&lt;=79,"A",IF(BJ8&lt;=89,"A+","O"))))))))</f>
        <v>A+</v>
      </c>
      <c r="BN8" s="19">
        <f t="shared" ref="BN8:BN39" si="27">BK8*BL8</f>
        <v>9</v>
      </c>
      <c r="BO8" s="19"/>
      <c r="BP8" s="9">
        <v>50</v>
      </c>
      <c r="BQ8" s="9">
        <v>43</v>
      </c>
      <c r="BR8" s="30"/>
      <c r="BS8" s="19">
        <f t="shared" ref="BS8:BS39" si="28">(BP8+BQ8)</f>
        <v>93</v>
      </c>
      <c r="BT8" s="19">
        <v>1</v>
      </c>
      <c r="BU8" s="19" t="str">
        <f t="shared" ref="BU8:BU39" si="29">IF(BQ8&lt;=17,"0",IF(BS8&lt;=39,"0",IF(BS8&lt;=49,"4",IF(BS8&lt;=54,"5",IF(BS8&lt;=59,"6",IF(BS8&lt;=69,"7",IF(BS8&lt;=79,"8",IF(BS8&lt;=89,"9","10"))))))))</f>
        <v>10</v>
      </c>
      <c r="BV8" s="19" t="str">
        <f t="shared" ref="BV8:BV39" si="30">IF(BQ8&lt;=17,"F",IF(BS8&lt;=39,"F",IF(BS8&lt;=49,"P",IF(BS8&lt;=54,"C",IF(BS8&lt;=59,"B",IF(BS8&lt;=69,"B+",IF(BS8&lt;=79,"A",IF(BS8&lt;=89,"A+","O"))))))))</f>
        <v>O</v>
      </c>
      <c r="BW8" s="19">
        <f t="shared" ref="BW8:BW39" si="31">BT8*BU8</f>
        <v>10</v>
      </c>
      <c r="BX8" s="19"/>
      <c r="BY8" s="19"/>
      <c r="BZ8" s="19">
        <f t="shared" ref="BZ8:BZ39" si="32">L8+U8+AD8+AM8+AV8+BE8+BN8+BW8</f>
        <v>198</v>
      </c>
      <c r="CA8" s="20">
        <f t="shared" ref="CA8:CA39" si="33">BZ8/20</f>
        <v>9.9</v>
      </c>
      <c r="CB8" s="35" t="str">
        <f t="shared" ref="CB8:CB39" si="34">IF(CA8&lt;4,"F",IF(BV8="F","F",IF(BM8="F","F",IF(BD8="F","F",IF(AU8="F","F",IF(AL8="F","F",IF(AC8="F","F",IF(T8="F","F",IF(K8="F","F",IF(CA8&lt;=5,"C",IF(CA8&lt;6,"B",IF(CA8&lt;7,"B+",IF(CA8&lt;8,"A",IF(CA8&lt;=9,"A+","O"))))))))))))))</f>
        <v>O</v>
      </c>
      <c r="CC8" s="31">
        <f t="shared" ref="CC8:CC39" si="35">CA8*9.5</f>
        <v>94.05</v>
      </c>
      <c r="CD8" s="31"/>
      <c r="CE8" s="35">
        <f t="shared" ref="CE8:CE39" si="36">SUM(BS8,BJ8,BA8,AR8,AI8,Z8,Q8,H8)</f>
        <v>738</v>
      </c>
      <c r="CF8" s="35">
        <f t="shared" ref="CF8:CF39" si="37">(CE8/800)*100</f>
        <v>92.25</v>
      </c>
      <c r="CG8" s="31"/>
      <c r="CH8" s="31"/>
      <c r="CI8" s="31" t="str">
        <f t="shared" ref="CI8:CI39" si="38">IF(CA8&lt;=4,"F",IF(CA8&lt;=6,"PASS",IF(CA8&lt;=6.5,"SC",IF(CA8&lt;=7.5,"FC",IF(CA8&lt;="10","FCD")))))</f>
        <v>FCD</v>
      </c>
      <c r="CJ8" s="11">
        <v>9.9</v>
      </c>
      <c r="CK8" s="11">
        <v>9.5</v>
      </c>
    </row>
    <row r="9" spans="1:89" ht="15.75" x14ac:dyDescent="0.25">
      <c r="A9" s="44" t="e">
        <f>A8+1</f>
        <v>#VALUE!</v>
      </c>
      <c r="B9" s="47" t="s">
        <v>122</v>
      </c>
      <c r="C9" s="54" t="s">
        <v>184</v>
      </c>
      <c r="D9" s="58" t="s">
        <v>232</v>
      </c>
      <c r="E9" s="9">
        <v>50</v>
      </c>
      <c r="F9" s="9">
        <v>44</v>
      </c>
      <c r="G9" s="30"/>
      <c r="H9" s="19">
        <f t="shared" si="0"/>
        <v>94</v>
      </c>
      <c r="I9" s="19">
        <v>4</v>
      </c>
      <c r="J9" s="19" t="str">
        <f t="shared" si="1"/>
        <v>10</v>
      </c>
      <c r="K9" s="19" t="str">
        <f t="shared" si="2"/>
        <v>O</v>
      </c>
      <c r="L9" s="19">
        <f t="shared" si="3"/>
        <v>40</v>
      </c>
      <c r="M9" s="19"/>
      <c r="N9" s="9">
        <v>50</v>
      </c>
      <c r="O9" s="9">
        <v>39</v>
      </c>
      <c r="P9" s="30"/>
      <c r="Q9" s="19">
        <f t="shared" si="4"/>
        <v>89</v>
      </c>
      <c r="R9" s="19">
        <v>4</v>
      </c>
      <c r="S9" s="19" t="str">
        <f t="shared" si="5"/>
        <v>9</v>
      </c>
      <c r="T9" s="19" t="str">
        <f t="shared" si="6"/>
        <v>A+</v>
      </c>
      <c r="U9" s="19">
        <f t="shared" si="7"/>
        <v>36</v>
      </c>
      <c r="V9" s="19"/>
      <c r="W9" s="9">
        <v>50</v>
      </c>
      <c r="X9" s="9">
        <v>44</v>
      </c>
      <c r="Y9" s="19"/>
      <c r="Z9" s="19">
        <f t="shared" si="8"/>
        <v>94</v>
      </c>
      <c r="AA9" s="19">
        <v>3</v>
      </c>
      <c r="AB9" s="19" t="str">
        <f t="shared" si="9"/>
        <v>10</v>
      </c>
      <c r="AC9" s="19" t="str">
        <f t="shared" si="10"/>
        <v>O</v>
      </c>
      <c r="AD9" s="19">
        <f t="shared" si="11"/>
        <v>30</v>
      </c>
      <c r="AE9" s="19"/>
      <c r="AF9" s="56">
        <v>50</v>
      </c>
      <c r="AG9" s="56">
        <v>42</v>
      </c>
      <c r="AH9" s="30"/>
      <c r="AI9" s="19">
        <f t="shared" si="12"/>
        <v>92</v>
      </c>
      <c r="AJ9" s="19">
        <v>3</v>
      </c>
      <c r="AK9" s="19" t="str">
        <f t="shared" si="13"/>
        <v>10</v>
      </c>
      <c r="AL9" s="19" t="str">
        <f t="shared" si="14"/>
        <v>O</v>
      </c>
      <c r="AM9" s="19">
        <f t="shared" si="15"/>
        <v>30</v>
      </c>
      <c r="AN9" s="19"/>
      <c r="AO9" s="56">
        <v>50</v>
      </c>
      <c r="AP9" s="56">
        <v>41</v>
      </c>
      <c r="AQ9" s="30"/>
      <c r="AR9" s="19">
        <f t="shared" si="16"/>
        <v>91</v>
      </c>
      <c r="AS9" s="19">
        <v>3</v>
      </c>
      <c r="AT9" s="19" t="str">
        <f t="shared" si="17"/>
        <v>10</v>
      </c>
      <c r="AU9" s="19" t="str">
        <f t="shared" si="18"/>
        <v>O</v>
      </c>
      <c r="AV9" s="19">
        <f t="shared" si="19"/>
        <v>30</v>
      </c>
      <c r="AW9" s="19"/>
      <c r="AX9" s="9">
        <v>50</v>
      </c>
      <c r="AY9" s="9">
        <v>31</v>
      </c>
      <c r="AZ9" s="30"/>
      <c r="BA9" s="19">
        <f t="shared" si="20"/>
        <v>81</v>
      </c>
      <c r="BB9" s="19">
        <v>1</v>
      </c>
      <c r="BC9" s="19" t="str">
        <f t="shared" si="21"/>
        <v>9</v>
      </c>
      <c r="BD9" s="19" t="str">
        <f t="shared" si="22"/>
        <v>A+</v>
      </c>
      <c r="BE9" s="19">
        <f t="shared" si="23"/>
        <v>9</v>
      </c>
      <c r="BF9" s="53" t="s">
        <v>97</v>
      </c>
      <c r="BG9" s="9">
        <v>50</v>
      </c>
      <c r="BH9" s="9">
        <v>47</v>
      </c>
      <c r="BI9" s="30"/>
      <c r="BJ9" s="19">
        <f t="shared" si="24"/>
        <v>97</v>
      </c>
      <c r="BK9" s="19">
        <v>1</v>
      </c>
      <c r="BL9" s="19" t="str">
        <f t="shared" si="25"/>
        <v>10</v>
      </c>
      <c r="BM9" s="19" t="str">
        <f t="shared" si="26"/>
        <v>O</v>
      </c>
      <c r="BN9" s="19">
        <f t="shared" si="27"/>
        <v>10</v>
      </c>
      <c r="BO9" s="19"/>
      <c r="BP9" s="9">
        <v>50</v>
      </c>
      <c r="BQ9" s="9">
        <v>42</v>
      </c>
      <c r="BR9" s="30"/>
      <c r="BS9" s="19">
        <f t="shared" si="28"/>
        <v>92</v>
      </c>
      <c r="BT9" s="19">
        <v>1</v>
      </c>
      <c r="BU9" s="19" t="str">
        <f t="shared" si="29"/>
        <v>10</v>
      </c>
      <c r="BV9" s="19" t="str">
        <f t="shared" si="30"/>
        <v>O</v>
      </c>
      <c r="BW9" s="19">
        <f t="shared" si="31"/>
        <v>10</v>
      </c>
      <c r="BX9" s="19"/>
      <c r="BY9" s="19"/>
      <c r="BZ9" s="19">
        <f t="shared" si="32"/>
        <v>195</v>
      </c>
      <c r="CA9" s="20">
        <f t="shared" si="33"/>
        <v>9.75</v>
      </c>
      <c r="CB9" s="35" t="str">
        <f t="shared" si="34"/>
        <v>O</v>
      </c>
      <c r="CC9" s="31">
        <f t="shared" si="35"/>
        <v>92.625</v>
      </c>
      <c r="CD9" s="31"/>
      <c r="CE9" s="35">
        <f t="shared" si="36"/>
        <v>730</v>
      </c>
      <c r="CF9" s="35">
        <f t="shared" si="37"/>
        <v>91.25</v>
      </c>
      <c r="CG9" s="31"/>
      <c r="CH9" s="31"/>
      <c r="CI9" s="31" t="str">
        <f t="shared" si="38"/>
        <v>FCD</v>
      </c>
      <c r="CJ9" s="71">
        <v>9.75</v>
      </c>
      <c r="CK9" s="71">
        <v>9.3000000000000007</v>
      </c>
    </row>
    <row r="10" spans="1:89" ht="15.75" x14ac:dyDescent="0.25">
      <c r="A10" s="44">
        <v>63</v>
      </c>
      <c r="B10" s="46" t="s">
        <v>224</v>
      </c>
      <c r="C10" s="54" t="s">
        <v>222</v>
      </c>
      <c r="D10" s="58" t="s">
        <v>232</v>
      </c>
      <c r="E10" s="9">
        <v>50</v>
      </c>
      <c r="F10" s="9">
        <v>50</v>
      </c>
      <c r="G10" s="30"/>
      <c r="H10" s="19">
        <f t="shared" si="0"/>
        <v>100</v>
      </c>
      <c r="I10" s="19">
        <v>4</v>
      </c>
      <c r="J10" s="19" t="str">
        <f t="shared" si="1"/>
        <v>10</v>
      </c>
      <c r="K10" s="19" t="str">
        <f t="shared" si="2"/>
        <v>O</v>
      </c>
      <c r="L10" s="19">
        <f t="shared" si="3"/>
        <v>40</v>
      </c>
      <c r="M10" s="19"/>
      <c r="N10" s="9">
        <v>50</v>
      </c>
      <c r="O10" s="9">
        <v>41</v>
      </c>
      <c r="P10" s="30"/>
      <c r="Q10" s="19">
        <f t="shared" si="4"/>
        <v>91</v>
      </c>
      <c r="R10" s="19">
        <v>4</v>
      </c>
      <c r="S10" s="19" t="str">
        <f t="shared" si="5"/>
        <v>10</v>
      </c>
      <c r="T10" s="19" t="str">
        <f t="shared" si="6"/>
        <v>O</v>
      </c>
      <c r="U10" s="19">
        <f t="shared" si="7"/>
        <v>40</v>
      </c>
      <c r="V10" s="19"/>
      <c r="W10" s="43">
        <v>50</v>
      </c>
      <c r="X10" s="9">
        <v>49</v>
      </c>
      <c r="Y10" s="19"/>
      <c r="Z10" s="19">
        <f t="shared" si="8"/>
        <v>99</v>
      </c>
      <c r="AA10" s="19">
        <v>3</v>
      </c>
      <c r="AB10" s="19" t="str">
        <f t="shared" si="9"/>
        <v>10</v>
      </c>
      <c r="AC10" s="19" t="str">
        <f t="shared" si="10"/>
        <v>O</v>
      </c>
      <c r="AD10" s="19">
        <f t="shared" si="11"/>
        <v>30</v>
      </c>
      <c r="AE10" s="19"/>
      <c r="AF10" s="56">
        <v>50</v>
      </c>
      <c r="AG10" s="56">
        <v>33</v>
      </c>
      <c r="AH10" s="30"/>
      <c r="AI10" s="19">
        <f t="shared" si="12"/>
        <v>83</v>
      </c>
      <c r="AJ10" s="19">
        <v>3</v>
      </c>
      <c r="AK10" s="19" t="str">
        <f t="shared" si="13"/>
        <v>9</v>
      </c>
      <c r="AL10" s="19" t="str">
        <f t="shared" si="14"/>
        <v>A+</v>
      </c>
      <c r="AM10" s="19">
        <f t="shared" si="15"/>
        <v>27</v>
      </c>
      <c r="AN10" s="36"/>
      <c r="AO10" s="9">
        <v>50</v>
      </c>
      <c r="AP10" s="56">
        <v>34</v>
      </c>
      <c r="AQ10" s="30"/>
      <c r="AR10" s="19">
        <f t="shared" si="16"/>
        <v>84</v>
      </c>
      <c r="AS10" s="19">
        <v>3</v>
      </c>
      <c r="AT10" s="19" t="str">
        <f t="shared" si="17"/>
        <v>9</v>
      </c>
      <c r="AU10" s="19" t="str">
        <f t="shared" si="18"/>
        <v>A+</v>
      </c>
      <c r="AV10" s="19">
        <f t="shared" si="19"/>
        <v>27</v>
      </c>
      <c r="AW10" s="19"/>
      <c r="AX10" s="9">
        <v>50</v>
      </c>
      <c r="AY10" s="9">
        <v>41</v>
      </c>
      <c r="AZ10" s="30"/>
      <c r="BA10" s="19">
        <f t="shared" si="20"/>
        <v>91</v>
      </c>
      <c r="BB10" s="19">
        <v>1</v>
      </c>
      <c r="BC10" s="19" t="str">
        <f t="shared" si="21"/>
        <v>10</v>
      </c>
      <c r="BD10" s="19" t="str">
        <f t="shared" si="22"/>
        <v>O</v>
      </c>
      <c r="BE10" s="19">
        <f t="shared" si="23"/>
        <v>10</v>
      </c>
      <c r="BF10" s="53" t="s">
        <v>97</v>
      </c>
      <c r="BG10" s="9">
        <v>50</v>
      </c>
      <c r="BH10" s="9">
        <v>49</v>
      </c>
      <c r="BI10" s="30"/>
      <c r="BJ10" s="19">
        <f t="shared" si="24"/>
        <v>99</v>
      </c>
      <c r="BK10" s="19">
        <v>1</v>
      </c>
      <c r="BL10" s="19" t="str">
        <f t="shared" si="25"/>
        <v>10</v>
      </c>
      <c r="BM10" s="19" t="str">
        <f t="shared" si="26"/>
        <v>O</v>
      </c>
      <c r="BN10" s="19">
        <f t="shared" si="27"/>
        <v>10</v>
      </c>
      <c r="BO10" s="19"/>
      <c r="BP10" s="9">
        <v>50</v>
      </c>
      <c r="BQ10" s="9">
        <v>45</v>
      </c>
      <c r="BR10" s="30"/>
      <c r="BS10" s="19">
        <f t="shared" si="28"/>
        <v>95</v>
      </c>
      <c r="BT10" s="19">
        <v>1</v>
      </c>
      <c r="BU10" s="19" t="str">
        <f t="shared" si="29"/>
        <v>10</v>
      </c>
      <c r="BV10" s="19" t="str">
        <f t="shared" si="30"/>
        <v>O</v>
      </c>
      <c r="BW10" s="19">
        <f t="shared" si="31"/>
        <v>10</v>
      </c>
      <c r="BX10" s="19"/>
      <c r="BY10" s="19"/>
      <c r="BZ10" s="19">
        <f t="shared" si="32"/>
        <v>194</v>
      </c>
      <c r="CA10" s="20">
        <f t="shared" si="33"/>
        <v>9.6999999999999993</v>
      </c>
      <c r="CB10" s="35" t="str">
        <f t="shared" si="34"/>
        <v>O</v>
      </c>
      <c r="CC10" s="31">
        <f t="shared" si="35"/>
        <v>92.149999999999991</v>
      </c>
      <c r="CD10" s="34"/>
      <c r="CE10" s="35">
        <f t="shared" si="36"/>
        <v>742</v>
      </c>
      <c r="CF10" s="35">
        <f t="shared" si="37"/>
        <v>92.75</v>
      </c>
      <c r="CG10" s="31"/>
      <c r="CH10" s="31"/>
      <c r="CI10" s="31" t="str">
        <f t="shared" si="38"/>
        <v>FCD</v>
      </c>
      <c r="CJ10" s="11">
        <v>9.6999999999999993</v>
      </c>
      <c r="CK10" s="11">
        <v>8.9499999999999993</v>
      </c>
    </row>
    <row r="11" spans="1:89" ht="15.75" x14ac:dyDescent="0.25">
      <c r="A11" s="44">
        <f>A10+1</f>
        <v>64</v>
      </c>
      <c r="B11" s="47" t="s">
        <v>115</v>
      </c>
      <c r="C11" s="54" t="s">
        <v>177</v>
      </c>
      <c r="D11" s="58" t="s">
        <v>232</v>
      </c>
      <c r="E11" s="9">
        <v>50</v>
      </c>
      <c r="F11" s="9">
        <v>45</v>
      </c>
      <c r="G11" s="30"/>
      <c r="H11" s="19">
        <f t="shared" si="0"/>
        <v>95</v>
      </c>
      <c r="I11" s="19">
        <v>4</v>
      </c>
      <c r="J11" s="19" t="str">
        <f t="shared" si="1"/>
        <v>10</v>
      </c>
      <c r="K11" s="19" t="str">
        <f t="shared" si="2"/>
        <v>O</v>
      </c>
      <c r="L11" s="19">
        <f t="shared" si="3"/>
        <v>40</v>
      </c>
      <c r="M11" s="19"/>
      <c r="N11" s="9">
        <v>50</v>
      </c>
      <c r="O11" s="9">
        <v>38</v>
      </c>
      <c r="P11" s="30"/>
      <c r="Q11" s="19">
        <f t="shared" si="4"/>
        <v>88</v>
      </c>
      <c r="R11" s="19">
        <v>4</v>
      </c>
      <c r="S11" s="19" t="str">
        <f t="shared" si="5"/>
        <v>9</v>
      </c>
      <c r="T11" s="19" t="str">
        <f t="shared" si="6"/>
        <v>A+</v>
      </c>
      <c r="U11" s="19">
        <f t="shared" si="7"/>
        <v>36</v>
      </c>
      <c r="V11" s="19"/>
      <c r="W11" s="9">
        <v>50</v>
      </c>
      <c r="X11" s="9">
        <v>47</v>
      </c>
      <c r="Y11" s="19"/>
      <c r="Z11" s="19">
        <f t="shared" si="8"/>
        <v>97</v>
      </c>
      <c r="AA11" s="19">
        <v>3</v>
      </c>
      <c r="AB11" s="19" t="str">
        <f t="shared" si="9"/>
        <v>10</v>
      </c>
      <c r="AC11" s="19" t="str">
        <f t="shared" si="10"/>
        <v>O</v>
      </c>
      <c r="AD11" s="19">
        <f t="shared" si="11"/>
        <v>30</v>
      </c>
      <c r="AE11" s="19"/>
      <c r="AF11" s="56">
        <v>50</v>
      </c>
      <c r="AG11" s="56">
        <v>46</v>
      </c>
      <c r="AH11" s="30"/>
      <c r="AI11" s="19">
        <f t="shared" si="12"/>
        <v>96</v>
      </c>
      <c r="AJ11" s="19">
        <v>3</v>
      </c>
      <c r="AK11" s="19" t="str">
        <f t="shared" si="13"/>
        <v>10</v>
      </c>
      <c r="AL11" s="19" t="str">
        <f t="shared" si="14"/>
        <v>O</v>
      </c>
      <c r="AM11" s="19">
        <f t="shared" si="15"/>
        <v>30</v>
      </c>
      <c r="AN11" s="19"/>
      <c r="AO11" s="56">
        <v>50</v>
      </c>
      <c r="AP11" s="56">
        <v>44</v>
      </c>
      <c r="AQ11" s="30"/>
      <c r="AR11" s="19">
        <f t="shared" si="16"/>
        <v>94</v>
      </c>
      <c r="AS11" s="19">
        <v>3</v>
      </c>
      <c r="AT11" s="19" t="str">
        <f t="shared" si="17"/>
        <v>10</v>
      </c>
      <c r="AU11" s="19" t="str">
        <f t="shared" si="18"/>
        <v>O</v>
      </c>
      <c r="AV11" s="19">
        <f t="shared" si="19"/>
        <v>30</v>
      </c>
      <c r="AW11" s="19"/>
      <c r="AX11" s="9">
        <v>50</v>
      </c>
      <c r="AY11" s="9">
        <v>36</v>
      </c>
      <c r="AZ11" s="30"/>
      <c r="BA11" s="19">
        <f t="shared" si="20"/>
        <v>86</v>
      </c>
      <c r="BB11" s="19">
        <v>1</v>
      </c>
      <c r="BC11" s="19" t="str">
        <f t="shared" si="21"/>
        <v>9</v>
      </c>
      <c r="BD11" s="19" t="str">
        <f t="shared" si="22"/>
        <v>A+</v>
      </c>
      <c r="BE11" s="19">
        <f t="shared" si="23"/>
        <v>9</v>
      </c>
      <c r="BF11" s="53" t="s">
        <v>92</v>
      </c>
      <c r="BG11" s="9">
        <v>50</v>
      </c>
      <c r="BH11" s="9">
        <v>42</v>
      </c>
      <c r="BI11" s="30"/>
      <c r="BJ11" s="19">
        <f t="shared" si="24"/>
        <v>92</v>
      </c>
      <c r="BK11" s="19">
        <v>1</v>
      </c>
      <c r="BL11" s="19" t="str">
        <f t="shared" si="25"/>
        <v>10</v>
      </c>
      <c r="BM11" s="19" t="str">
        <f t="shared" si="26"/>
        <v>O</v>
      </c>
      <c r="BN11" s="19">
        <f t="shared" si="27"/>
        <v>10</v>
      </c>
      <c r="BO11" s="19"/>
      <c r="BP11" s="9">
        <v>50</v>
      </c>
      <c r="BQ11" s="9">
        <v>39</v>
      </c>
      <c r="BR11" s="30"/>
      <c r="BS11" s="19">
        <f t="shared" si="28"/>
        <v>89</v>
      </c>
      <c r="BT11" s="19">
        <v>1</v>
      </c>
      <c r="BU11" s="19" t="str">
        <f t="shared" si="29"/>
        <v>9</v>
      </c>
      <c r="BV11" s="19" t="str">
        <f t="shared" si="30"/>
        <v>A+</v>
      </c>
      <c r="BW11" s="19">
        <f t="shared" si="31"/>
        <v>9</v>
      </c>
      <c r="BX11" s="19"/>
      <c r="BY11" s="19"/>
      <c r="BZ11" s="19">
        <f t="shared" si="32"/>
        <v>194</v>
      </c>
      <c r="CA11" s="20">
        <f t="shared" si="33"/>
        <v>9.6999999999999993</v>
      </c>
      <c r="CB11" s="35" t="str">
        <f t="shared" si="34"/>
        <v>O</v>
      </c>
      <c r="CC11" s="31">
        <f t="shared" si="35"/>
        <v>92.149999999999991</v>
      </c>
      <c r="CD11" s="31"/>
      <c r="CE11" s="35">
        <f t="shared" si="36"/>
        <v>737</v>
      </c>
      <c r="CF11" s="35">
        <f t="shared" si="37"/>
        <v>92.125</v>
      </c>
      <c r="CG11" s="31"/>
      <c r="CH11" s="31"/>
      <c r="CI11" s="31" t="str">
        <f t="shared" si="38"/>
        <v>FCD</v>
      </c>
      <c r="CJ11" s="11">
        <v>9.6999999999999993</v>
      </c>
      <c r="CK11" s="11">
        <v>9.15</v>
      </c>
    </row>
    <row r="12" spans="1:89" s="71" customFormat="1" ht="15.75" x14ac:dyDescent="0.25">
      <c r="A12" s="44">
        <f>A11+1</f>
        <v>65</v>
      </c>
      <c r="B12" s="47" t="s">
        <v>142</v>
      </c>
      <c r="C12" s="54" t="s">
        <v>204</v>
      </c>
      <c r="D12" s="58" t="s">
        <v>232</v>
      </c>
      <c r="E12" s="9">
        <v>50</v>
      </c>
      <c r="F12" s="9">
        <v>49</v>
      </c>
      <c r="G12" s="30"/>
      <c r="H12" s="19">
        <f t="shared" si="0"/>
        <v>99</v>
      </c>
      <c r="I12" s="19">
        <v>4</v>
      </c>
      <c r="J12" s="19" t="str">
        <f t="shared" si="1"/>
        <v>10</v>
      </c>
      <c r="K12" s="19" t="str">
        <f t="shared" si="2"/>
        <v>O</v>
      </c>
      <c r="L12" s="19">
        <f t="shared" si="3"/>
        <v>40</v>
      </c>
      <c r="M12" s="19"/>
      <c r="N12" s="9">
        <v>50</v>
      </c>
      <c r="O12" s="9">
        <v>37</v>
      </c>
      <c r="P12" s="32"/>
      <c r="Q12" s="19">
        <f t="shared" si="4"/>
        <v>87</v>
      </c>
      <c r="R12" s="19">
        <v>4</v>
      </c>
      <c r="S12" s="19" t="str">
        <f t="shared" si="5"/>
        <v>9</v>
      </c>
      <c r="T12" s="19" t="str">
        <f t="shared" si="6"/>
        <v>A+</v>
      </c>
      <c r="U12" s="19">
        <f t="shared" si="7"/>
        <v>36</v>
      </c>
      <c r="V12" s="19"/>
      <c r="W12" s="9">
        <v>50</v>
      </c>
      <c r="X12" s="9">
        <v>47</v>
      </c>
      <c r="Y12" s="19"/>
      <c r="Z12" s="19">
        <f t="shared" si="8"/>
        <v>97</v>
      </c>
      <c r="AA12" s="19">
        <v>3</v>
      </c>
      <c r="AB12" s="19" t="str">
        <f t="shared" si="9"/>
        <v>10</v>
      </c>
      <c r="AC12" s="19" t="str">
        <f t="shared" si="10"/>
        <v>O</v>
      </c>
      <c r="AD12" s="19">
        <f t="shared" si="11"/>
        <v>30</v>
      </c>
      <c r="AE12" s="19"/>
      <c r="AF12" s="56">
        <v>50</v>
      </c>
      <c r="AG12" s="56">
        <v>47</v>
      </c>
      <c r="AH12" s="30"/>
      <c r="AI12" s="19">
        <f t="shared" si="12"/>
        <v>97</v>
      </c>
      <c r="AJ12" s="19">
        <v>3</v>
      </c>
      <c r="AK12" s="19" t="str">
        <f t="shared" si="13"/>
        <v>10</v>
      </c>
      <c r="AL12" s="19" t="str">
        <f t="shared" si="14"/>
        <v>O</v>
      </c>
      <c r="AM12" s="19">
        <f t="shared" si="15"/>
        <v>30</v>
      </c>
      <c r="AN12" s="19"/>
      <c r="AO12" s="56">
        <v>50</v>
      </c>
      <c r="AP12" s="56">
        <v>44</v>
      </c>
      <c r="AQ12" s="30"/>
      <c r="AR12" s="19">
        <f t="shared" si="16"/>
        <v>94</v>
      </c>
      <c r="AS12" s="19">
        <v>3</v>
      </c>
      <c r="AT12" s="19" t="str">
        <f t="shared" si="17"/>
        <v>10</v>
      </c>
      <c r="AU12" s="19" t="str">
        <f t="shared" si="18"/>
        <v>O</v>
      </c>
      <c r="AV12" s="19">
        <f t="shared" si="19"/>
        <v>30</v>
      </c>
      <c r="AW12" s="19"/>
      <c r="AX12" s="9">
        <v>50</v>
      </c>
      <c r="AY12" s="9">
        <v>37</v>
      </c>
      <c r="AZ12" s="30"/>
      <c r="BA12" s="19">
        <f t="shared" si="20"/>
        <v>87</v>
      </c>
      <c r="BB12" s="19">
        <v>1</v>
      </c>
      <c r="BC12" s="19" t="str">
        <f t="shared" si="21"/>
        <v>9</v>
      </c>
      <c r="BD12" s="19" t="str">
        <f t="shared" si="22"/>
        <v>A+</v>
      </c>
      <c r="BE12" s="19">
        <f t="shared" si="23"/>
        <v>9</v>
      </c>
      <c r="BF12" s="53" t="s">
        <v>92</v>
      </c>
      <c r="BG12" s="9">
        <v>50</v>
      </c>
      <c r="BH12" s="9">
        <v>36</v>
      </c>
      <c r="BI12" s="30"/>
      <c r="BJ12" s="19">
        <f t="shared" si="24"/>
        <v>86</v>
      </c>
      <c r="BK12" s="19">
        <v>1</v>
      </c>
      <c r="BL12" s="19" t="str">
        <f t="shared" si="25"/>
        <v>9</v>
      </c>
      <c r="BM12" s="19" t="str">
        <f t="shared" si="26"/>
        <v>A+</v>
      </c>
      <c r="BN12" s="19">
        <f t="shared" si="27"/>
        <v>9</v>
      </c>
      <c r="BO12" s="19"/>
      <c r="BP12" s="9">
        <v>50</v>
      </c>
      <c r="BQ12" s="9">
        <v>40</v>
      </c>
      <c r="BR12" s="30"/>
      <c r="BS12" s="19">
        <f t="shared" si="28"/>
        <v>90</v>
      </c>
      <c r="BT12" s="19">
        <v>1</v>
      </c>
      <c r="BU12" s="19" t="str">
        <f t="shared" si="29"/>
        <v>10</v>
      </c>
      <c r="BV12" s="19" t="str">
        <f t="shared" si="30"/>
        <v>O</v>
      </c>
      <c r="BW12" s="19">
        <f t="shared" si="31"/>
        <v>10</v>
      </c>
      <c r="BX12" s="19"/>
      <c r="BY12" s="19"/>
      <c r="BZ12" s="19">
        <f t="shared" si="32"/>
        <v>194</v>
      </c>
      <c r="CA12" s="20">
        <f t="shared" si="33"/>
        <v>9.6999999999999993</v>
      </c>
      <c r="CB12" s="35" t="str">
        <f t="shared" si="34"/>
        <v>O</v>
      </c>
      <c r="CC12" s="31">
        <f t="shared" si="35"/>
        <v>92.149999999999991</v>
      </c>
      <c r="CD12" s="31"/>
      <c r="CE12" s="35">
        <f t="shared" si="36"/>
        <v>737</v>
      </c>
      <c r="CF12" s="35">
        <f t="shared" si="37"/>
        <v>92.125</v>
      </c>
      <c r="CG12" s="31"/>
      <c r="CH12" s="31"/>
      <c r="CI12" s="31" t="str">
        <f t="shared" si="38"/>
        <v>FCD</v>
      </c>
      <c r="CJ12" s="11">
        <v>9.6999999999999993</v>
      </c>
      <c r="CK12" s="11">
        <v>9.3000000000000007</v>
      </c>
    </row>
    <row r="13" spans="1:89" ht="15.75" x14ac:dyDescent="0.25">
      <c r="A13" s="44">
        <f>A12+1</f>
        <v>66</v>
      </c>
      <c r="B13" s="47" t="s">
        <v>146</v>
      </c>
      <c r="C13" s="54" t="s">
        <v>208</v>
      </c>
      <c r="D13" s="58" t="s">
        <v>232</v>
      </c>
      <c r="E13" s="9">
        <v>47</v>
      </c>
      <c r="F13" s="9">
        <v>50</v>
      </c>
      <c r="G13" s="30"/>
      <c r="H13" s="19">
        <f t="shared" si="0"/>
        <v>97</v>
      </c>
      <c r="I13" s="19">
        <v>4</v>
      </c>
      <c r="J13" s="19" t="str">
        <f t="shared" si="1"/>
        <v>10</v>
      </c>
      <c r="K13" s="19" t="str">
        <f t="shared" si="2"/>
        <v>O</v>
      </c>
      <c r="L13" s="19">
        <f t="shared" si="3"/>
        <v>40</v>
      </c>
      <c r="M13" s="19"/>
      <c r="N13" s="9">
        <v>45</v>
      </c>
      <c r="O13" s="9">
        <v>47</v>
      </c>
      <c r="P13" s="30"/>
      <c r="Q13" s="19">
        <f t="shared" si="4"/>
        <v>92</v>
      </c>
      <c r="R13" s="19">
        <v>4</v>
      </c>
      <c r="S13" s="19" t="str">
        <f t="shared" si="5"/>
        <v>10</v>
      </c>
      <c r="T13" s="19" t="str">
        <f t="shared" si="6"/>
        <v>O</v>
      </c>
      <c r="U13" s="19">
        <f t="shared" si="7"/>
        <v>40</v>
      </c>
      <c r="V13" s="19"/>
      <c r="W13" s="9">
        <v>50</v>
      </c>
      <c r="X13" s="9">
        <v>50</v>
      </c>
      <c r="Y13" s="19"/>
      <c r="Z13" s="19">
        <f t="shared" si="8"/>
        <v>100</v>
      </c>
      <c r="AA13" s="19">
        <v>3</v>
      </c>
      <c r="AB13" s="19" t="str">
        <f t="shared" si="9"/>
        <v>10</v>
      </c>
      <c r="AC13" s="19" t="str">
        <f t="shared" si="10"/>
        <v>O</v>
      </c>
      <c r="AD13" s="19">
        <f t="shared" si="11"/>
        <v>30</v>
      </c>
      <c r="AE13" s="19"/>
      <c r="AF13" s="56">
        <v>50</v>
      </c>
      <c r="AG13" s="56">
        <v>46</v>
      </c>
      <c r="AH13" s="30"/>
      <c r="AI13" s="19">
        <f t="shared" si="12"/>
        <v>96</v>
      </c>
      <c r="AJ13" s="19">
        <v>3</v>
      </c>
      <c r="AK13" s="19" t="str">
        <f t="shared" si="13"/>
        <v>10</v>
      </c>
      <c r="AL13" s="19" t="str">
        <f t="shared" si="14"/>
        <v>O</v>
      </c>
      <c r="AM13" s="19">
        <f t="shared" si="15"/>
        <v>30</v>
      </c>
      <c r="AN13" s="19"/>
      <c r="AO13" s="56">
        <v>50</v>
      </c>
      <c r="AP13" s="56">
        <v>38</v>
      </c>
      <c r="AQ13" s="30"/>
      <c r="AR13" s="19">
        <f t="shared" si="16"/>
        <v>88</v>
      </c>
      <c r="AS13" s="19">
        <v>3</v>
      </c>
      <c r="AT13" s="19" t="str">
        <f t="shared" si="17"/>
        <v>9</v>
      </c>
      <c r="AU13" s="19" t="str">
        <f t="shared" si="18"/>
        <v>A+</v>
      </c>
      <c r="AV13" s="19">
        <f t="shared" si="19"/>
        <v>27</v>
      </c>
      <c r="AW13" s="19"/>
      <c r="AX13" s="9">
        <v>45</v>
      </c>
      <c r="AY13" s="9">
        <v>41</v>
      </c>
      <c r="AZ13" s="30"/>
      <c r="BA13" s="19">
        <f t="shared" si="20"/>
        <v>86</v>
      </c>
      <c r="BB13" s="19">
        <v>1</v>
      </c>
      <c r="BC13" s="19" t="str">
        <f t="shared" si="21"/>
        <v>9</v>
      </c>
      <c r="BD13" s="19" t="str">
        <f t="shared" si="22"/>
        <v>A+</v>
      </c>
      <c r="BE13" s="19">
        <f t="shared" si="23"/>
        <v>9</v>
      </c>
      <c r="BF13" s="53" t="s">
        <v>97</v>
      </c>
      <c r="BG13" s="9">
        <v>49</v>
      </c>
      <c r="BH13" s="9">
        <v>36</v>
      </c>
      <c r="BI13" s="30"/>
      <c r="BJ13" s="19">
        <f t="shared" si="24"/>
        <v>85</v>
      </c>
      <c r="BK13" s="19">
        <v>1</v>
      </c>
      <c r="BL13" s="19" t="str">
        <f t="shared" si="25"/>
        <v>9</v>
      </c>
      <c r="BM13" s="19" t="str">
        <f t="shared" si="26"/>
        <v>A+</v>
      </c>
      <c r="BN13" s="19">
        <f t="shared" si="27"/>
        <v>9</v>
      </c>
      <c r="BO13" s="19"/>
      <c r="BP13" s="9">
        <v>46</v>
      </c>
      <c r="BQ13" s="9">
        <v>38</v>
      </c>
      <c r="BR13" s="30"/>
      <c r="BS13" s="19">
        <f t="shared" si="28"/>
        <v>84</v>
      </c>
      <c r="BT13" s="19">
        <v>1</v>
      </c>
      <c r="BU13" s="19" t="str">
        <f t="shared" si="29"/>
        <v>9</v>
      </c>
      <c r="BV13" s="19" t="str">
        <f t="shared" si="30"/>
        <v>A+</v>
      </c>
      <c r="BW13" s="19">
        <f t="shared" si="31"/>
        <v>9</v>
      </c>
      <c r="BX13" s="19"/>
      <c r="BY13" s="19"/>
      <c r="BZ13" s="19">
        <f t="shared" si="32"/>
        <v>194</v>
      </c>
      <c r="CA13" s="20">
        <f t="shared" si="33"/>
        <v>9.6999999999999993</v>
      </c>
      <c r="CB13" s="35" t="str">
        <f t="shared" si="34"/>
        <v>O</v>
      </c>
      <c r="CC13" s="31">
        <f t="shared" si="35"/>
        <v>92.149999999999991</v>
      </c>
      <c r="CD13" s="34"/>
      <c r="CE13" s="35">
        <f t="shared" si="36"/>
        <v>728</v>
      </c>
      <c r="CF13" s="35">
        <f t="shared" si="37"/>
        <v>91</v>
      </c>
      <c r="CG13" s="31"/>
      <c r="CH13" s="31"/>
      <c r="CI13" s="31" t="str">
        <f t="shared" si="38"/>
        <v>FCD</v>
      </c>
      <c r="CJ13" s="11">
        <v>9.6999999999999993</v>
      </c>
    </row>
    <row r="14" spans="1:89" ht="15.75" x14ac:dyDescent="0.25">
      <c r="A14" s="44">
        <f>A13+1</f>
        <v>67</v>
      </c>
      <c r="B14" s="47" t="s">
        <v>120</v>
      </c>
      <c r="C14" s="54" t="s">
        <v>182</v>
      </c>
      <c r="D14" s="58" t="s">
        <v>232</v>
      </c>
      <c r="E14" s="9">
        <v>50</v>
      </c>
      <c r="F14" s="9">
        <v>49</v>
      </c>
      <c r="G14" s="30"/>
      <c r="H14" s="19">
        <f t="shared" si="0"/>
        <v>99</v>
      </c>
      <c r="I14" s="19">
        <v>4</v>
      </c>
      <c r="J14" s="19" t="str">
        <f t="shared" si="1"/>
        <v>10</v>
      </c>
      <c r="K14" s="19" t="str">
        <f t="shared" si="2"/>
        <v>O</v>
      </c>
      <c r="L14" s="19">
        <f t="shared" si="3"/>
        <v>40</v>
      </c>
      <c r="M14" s="19"/>
      <c r="N14" s="9">
        <v>50</v>
      </c>
      <c r="O14" s="9">
        <v>41</v>
      </c>
      <c r="P14" s="30"/>
      <c r="Q14" s="19">
        <f t="shared" si="4"/>
        <v>91</v>
      </c>
      <c r="R14" s="19">
        <v>4</v>
      </c>
      <c r="S14" s="19" t="str">
        <f t="shared" si="5"/>
        <v>10</v>
      </c>
      <c r="T14" s="19" t="str">
        <f t="shared" si="6"/>
        <v>O</v>
      </c>
      <c r="U14" s="19">
        <f t="shared" si="7"/>
        <v>40</v>
      </c>
      <c r="V14" s="19"/>
      <c r="W14" s="9">
        <v>50</v>
      </c>
      <c r="X14" s="9">
        <v>44</v>
      </c>
      <c r="Y14" s="19"/>
      <c r="Z14" s="19">
        <f t="shared" si="8"/>
        <v>94</v>
      </c>
      <c r="AA14" s="19">
        <v>3</v>
      </c>
      <c r="AB14" s="19" t="str">
        <f t="shared" si="9"/>
        <v>10</v>
      </c>
      <c r="AC14" s="19" t="str">
        <f t="shared" si="10"/>
        <v>O</v>
      </c>
      <c r="AD14" s="19">
        <f t="shared" si="11"/>
        <v>30</v>
      </c>
      <c r="AE14" s="19"/>
      <c r="AF14" s="56">
        <v>50</v>
      </c>
      <c r="AG14" s="56">
        <v>39</v>
      </c>
      <c r="AH14" s="30"/>
      <c r="AI14" s="19">
        <f t="shared" si="12"/>
        <v>89</v>
      </c>
      <c r="AJ14" s="19">
        <v>3</v>
      </c>
      <c r="AK14" s="19" t="str">
        <f t="shared" si="13"/>
        <v>9</v>
      </c>
      <c r="AL14" s="19" t="str">
        <f t="shared" si="14"/>
        <v>A+</v>
      </c>
      <c r="AM14" s="19">
        <f t="shared" si="15"/>
        <v>27</v>
      </c>
      <c r="AN14" s="19"/>
      <c r="AO14" s="56">
        <v>50</v>
      </c>
      <c r="AP14" s="57">
        <v>23</v>
      </c>
      <c r="AQ14" s="30"/>
      <c r="AR14" s="19">
        <f t="shared" si="16"/>
        <v>73</v>
      </c>
      <c r="AS14" s="19">
        <v>3</v>
      </c>
      <c r="AT14" s="19" t="str">
        <f t="shared" si="17"/>
        <v>8</v>
      </c>
      <c r="AU14" s="19" t="str">
        <f t="shared" si="18"/>
        <v>A</v>
      </c>
      <c r="AV14" s="19">
        <f t="shared" si="19"/>
        <v>24</v>
      </c>
      <c r="AW14" s="19"/>
      <c r="AX14" s="9">
        <v>50</v>
      </c>
      <c r="AY14" s="9">
        <v>40</v>
      </c>
      <c r="AZ14" s="30"/>
      <c r="BA14" s="19">
        <f t="shared" si="20"/>
        <v>90</v>
      </c>
      <c r="BB14" s="19">
        <v>1</v>
      </c>
      <c r="BC14" s="19" t="str">
        <f t="shared" si="21"/>
        <v>10</v>
      </c>
      <c r="BD14" s="19" t="str">
        <f t="shared" si="22"/>
        <v>O</v>
      </c>
      <c r="BE14" s="19">
        <f t="shared" si="23"/>
        <v>10</v>
      </c>
      <c r="BF14" s="53" t="s">
        <v>97</v>
      </c>
      <c r="BG14" s="9">
        <v>50</v>
      </c>
      <c r="BH14" s="9">
        <v>49</v>
      </c>
      <c r="BI14" s="30"/>
      <c r="BJ14" s="19">
        <f t="shared" si="24"/>
        <v>99</v>
      </c>
      <c r="BK14" s="19">
        <v>1</v>
      </c>
      <c r="BL14" s="19" t="str">
        <f t="shared" si="25"/>
        <v>10</v>
      </c>
      <c r="BM14" s="19" t="str">
        <f t="shared" si="26"/>
        <v>O</v>
      </c>
      <c r="BN14" s="19">
        <f t="shared" si="27"/>
        <v>10</v>
      </c>
      <c r="BO14" s="19"/>
      <c r="BP14" s="9">
        <v>50</v>
      </c>
      <c r="BQ14" s="9">
        <v>43</v>
      </c>
      <c r="BR14" s="30"/>
      <c r="BS14" s="19">
        <f t="shared" si="28"/>
        <v>93</v>
      </c>
      <c r="BT14" s="19">
        <v>1</v>
      </c>
      <c r="BU14" s="19" t="str">
        <f t="shared" si="29"/>
        <v>10</v>
      </c>
      <c r="BV14" s="19" t="str">
        <f t="shared" si="30"/>
        <v>O</v>
      </c>
      <c r="BW14" s="19">
        <f t="shared" si="31"/>
        <v>10</v>
      </c>
      <c r="BX14" s="19"/>
      <c r="BY14" s="19"/>
      <c r="BZ14" s="19">
        <f t="shared" si="32"/>
        <v>191</v>
      </c>
      <c r="CA14" s="20">
        <f t="shared" si="33"/>
        <v>9.5500000000000007</v>
      </c>
      <c r="CB14" s="35" t="str">
        <f t="shared" si="34"/>
        <v>O</v>
      </c>
      <c r="CC14" s="31">
        <f t="shared" si="35"/>
        <v>90.725000000000009</v>
      </c>
      <c r="CD14" s="31"/>
      <c r="CE14" s="35">
        <f t="shared" si="36"/>
        <v>728</v>
      </c>
      <c r="CF14" s="35">
        <f t="shared" si="37"/>
        <v>91</v>
      </c>
      <c r="CG14" s="31"/>
      <c r="CH14" s="31"/>
      <c r="CI14" s="31" t="str">
        <f t="shared" si="38"/>
        <v>FCD</v>
      </c>
      <c r="CJ14" s="11">
        <v>9.5</v>
      </c>
      <c r="CK14" s="11">
        <v>9.15</v>
      </c>
    </row>
    <row r="15" spans="1:89" ht="15.75" x14ac:dyDescent="0.25">
      <c r="A15" s="44">
        <f>A14+1</f>
        <v>68</v>
      </c>
      <c r="B15" s="47" t="s">
        <v>131</v>
      </c>
      <c r="C15" s="54" t="s">
        <v>193</v>
      </c>
      <c r="D15" s="58" t="s">
        <v>232</v>
      </c>
      <c r="E15" s="9">
        <v>49</v>
      </c>
      <c r="F15" s="9">
        <v>39</v>
      </c>
      <c r="G15" s="30"/>
      <c r="H15" s="19">
        <f t="shared" si="0"/>
        <v>88</v>
      </c>
      <c r="I15" s="19">
        <v>4</v>
      </c>
      <c r="J15" s="19" t="str">
        <f t="shared" si="1"/>
        <v>9</v>
      </c>
      <c r="K15" s="19" t="str">
        <f t="shared" si="2"/>
        <v>A+</v>
      </c>
      <c r="L15" s="19">
        <f t="shared" si="3"/>
        <v>36</v>
      </c>
      <c r="M15" s="19"/>
      <c r="N15" s="9">
        <v>48</v>
      </c>
      <c r="O15" s="9">
        <v>43</v>
      </c>
      <c r="P15" s="30"/>
      <c r="Q15" s="19">
        <f t="shared" si="4"/>
        <v>91</v>
      </c>
      <c r="R15" s="19">
        <v>4</v>
      </c>
      <c r="S15" s="19" t="str">
        <f t="shared" si="5"/>
        <v>10</v>
      </c>
      <c r="T15" s="19" t="str">
        <f t="shared" si="6"/>
        <v>O</v>
      </c>
      <c r="U15" s="19">
        <f t="shared" si="7"/>
        <v>40</v>
      </c>
      <c r="V15" s="19"/>
      <c r="W15" s="9">
        <v>48</v>
      </c>
      <c r="X15" s="9">
        <v>39</v>
      </c>
      <c r="Y15" s="19"/>
      <c r="Z15" s="19">
        <f t="shared" si="8"/>
        <v>87</v>
      </c>
      <c r="AA15" s="19">
        <v>3</v>
      </c>
      <c r="AB15" s="19" t="str">
        <f t="shared" si="9"/>
        <v>9</v>
      </c>
      <c r="AC15" s="19" t="str">
        <f t="shared" si="10"/>
        <v>A+</v>
      </c>
      <c r="AD15" s="19">
        <f t="shared" si="11"/>
        <v>27</v>
      </c>
      <c r="AE15" s="19"/>
      <c r="AF15" s="56">
        <v>44</v>
      </c>
      <c r="AG15" s="56">
        <v>48</v>
      </c>
      <c r="AH15" s="30"/>
      <c r="AI15" s="19">
        <f t="shared" si="12"/>
        <v>92</v>
      </c>
      <c r="AJ15" s="19">
        <v>3</v>
      </c>
      <c r="AK15" s="19" t="str">
        <f t="shared" si="13"/>
        <v>10</v>
      </c>
      <c r="AL15" s="19" t="str">
        <f t="shared" si="14"/>
        <v>O</v>
      </c>
      <c r="AM15" s="19">
        <f t="shared" si="15"/>
        <v>30</v>
      </c>
      <c r="AN15" s="19"/>
      <c r="AO15" s="56">
        <v>49</v>
      </c>
      <c r="AP15" s="56">
        <v>42</v>
      </c>
      <c r="AQ15" s="30"/>
      <c r="AR15" s="19">
        <f t="shared" si="16"/>
        <v>91</v>
      </c>
      <c r="AS15" s="19">
        <v>3</v>
      </c>
      <c r="AT15" s="19" t="str">
        <f t="shared" si="17"/>
        <v>10</v>
      </c>
      <c r="AU15" s="19" t="str">
        <f t="shared" si="18"/>
        <v>O</v>
      </c>
      <c r="AV15" s="19">
        <f t="shared" si="19"/>
        <v>30</v>
      </c>
      <c r="AW15" s="19"/>
      <c r="AX15" s="9">
        <v>46</v>
      </c>
      <c r="AY15" s="9">
        <v>33</v>
      </c>
      <c r="AZ15" s="30"/>
      <c r="BA15" s="19">
        <f t="shared" si="20"/>
        <v>79</v>
      </c>
      <c r="BB15" s="19">
        <v>1</v>
      </c>
      <c r="BC15" s="19" t="str">
        <f t="shared" si="21"/>
        <v>8</v>
      </c>
      <c r="BD15" s="19" t="str">
        <f t="shared" si="22"/>
        <v>A</v>
      </c>
      <c r="BE15" s="19">
        <f t="shared" si="23"/>
        <v>8</v>
      </c>
      <c r="BF15" s="53" t="s">
        <v>92</v>
      </c>
      <c r="BG15" s="9">
        <v>46</v>
      </c>
      <c r="BH15" s="9">
        <v>44</v>
      </c>
      <c r="BI15" s="30"/>
      <c r="BJ15" s="19">
        <f t="shared" si="24"/>
        <v>90</v>
      </c>
      <c r="BK15" s="19">
        <v>1</v>
      </c>
      <c r="BL15" s="19" t="str">
        <f t="shared" si="25"/>
        <v>10</v>
      </c>
      <c r="BM15" s="19" t="str">
        <f t="shared" si="26"/>
        <v>O</v>
      </c>
      <c r="BN15" s="19">
        <f t="shared" si="27"/>
        <v>10</v>
      </c>
      <c r="BO15" s="19"/>
      <c r="BP15" s="9">
        <v>45</v>
      </c>
      <c r="BQ15" s="9">
        <v>35</v>
      </c>
      <c r="BR15" s="30"/>
      <c r="BS15" s="19">
        <f t="shared" si="28"/>
        <v>80</v>
      </c>
      <c r="BT15" s="19">
        <v>1</v>
      </c>
      <c r="BU15" s="19" t="str">
        <f t="shared" si="29"/>
        <v>9</v>
      </c>
      <c r="BV15" s="19" t="str">
        <f t="shared" si="30"/>
        <v>A+</v>
      </c>
      <c r="BW15" s="19">
        <f t="shared" si="31"/>
        <v>9</v>
      </c>
      <c r="BX15" s="19"/>
      <c r="BY15" s="19"/>
      <c r="BZ15" s="19">
        <f t="shared" si="32"/>
        <v>190</v>
      </c>
      <c r="CA15" s="20">
        <f t="shared" si="33"/>
        <v>9.5</v>
      </c>
      <c r="CB15" s="35" t="str">
        <f t="shared" si="34"/>
        <v>O</v>
      </c>
      <c r="CC15" s="31">
        <f t="shared" si="35"/>
        <v>90.25</v>
      </c>
      <c r="CD15" s="31"/>
      <c r="CE15" s="35">
        <f t="shared" si="36"/>
        <v>698</v>
      </c>
      <c r="CF15" s="35">
        <f t="shared" si="37"/>
        <v>87.25</v>
      </c>
      <c r="CG15" s="31"/>
      <c r="CH15" s="31"/>
      <c r="CI15" s="31" t="str">
        <f t="shared" si="38"/>
        <v>FCD</v>
      </c>
    </row>
    <row r="16" spans="1:89" s="71" customFormat="1" ht="15.75" x14ac:dyDescent="0.25">
      <c r="A16" s="44">
        <v>55</v>
      </c>
      <c r="B16" s="46" t="s">
        <v>152</v>
      </c>
      <c r="C16" s="54" t="s">
        <v>214</v>
      </c>
      <c r="D16" s="58" t="s">
        <v>232</v>
      </c>
      <c r="E16" s="43">
        <v>50</v>
      </c>
      <c r="F16" s="43">
        <v>49</v>
      </c>
      <c r="G16" s="30"/>
      <c r="H16" s="19">
        <f t="shared" si="0"/>
        <v>99</v>
      </c>
      <c r="I16" s="19">
        <v>4</v>
      </c>
      <c r="J16" s="19" t="str">
        <f t="shared" si="1"/>
        <v>10</v>
      </c>
      <c r="K16" s="19" t="str">
        <f t="shared" si="2"/>
        <v>O</v>
      </c>
      <c r="L16" s="19">
        <f t="shared" si="3"/>
        <v>40</v>
      </c>
      <c r="M16" s="19"/>
      <c r="N16" s="43">
        <v>48</v>
      </c>
      <c r="O16" s="43">
        <v>36</v>
      </c>
      <c r="P16" s="30"/>
      <c r="Q16" s="19">
        <f t="shared" si="4"/>
        <v>84</v>
      </c>
      <c r="R16" s="19">
        <v>4</v>
      </c>
      <c r="S16" s="19" t="str">
        <f t="shared" si="5"/>
        <v>9</v>
      </c>
      <c r="T16" s="19" t="str">
        <f t="shared" si="6"/>
        <v>A+</v>
      </c>
      <c r="U16" s="19">
        <f t="shared" si="7"/>
        <v>36</v>
      </c>
      <c r="V16" s="19"/>
      <c r="W16" s="43">
        <v>49</v>
      </c>
      <c r="X16" s="43">
        <v>49</v>
      </c>
      <c r="Y16" s="19"/>
      <c r="Z16" s="19">
        <f t="shared" si="8"/>
        <v>98</v>
      </c>
      <c r="AA16" s="19">
        <v>3</v>
      </c>
      <c r="AB16" s="19" t="str">
        <f t="shared" si="9"/>
        <v>10</v>
      </c>
      <c r="AC16" s="19" t="str">
        <f t="shared" si="10"/>
        <v>O</v>
      </c>
      <c r="AD16" s="19">
        <f t="shared" si="11"/>
        <v>30</v>
      </c>
      <c r="AE16" s="19"/>
      <c r="AF16" s="56">
        <v>50</v>
      </c>
      <c r="AG16" s="56">
        <v>48</v>
      </c>
      <c r="AH16" s="30"/>
      <c r="AI16" s="19">
        <f t="shared" si="12"/>
        <v>98</v>
      </c>
      <c r="AJ16" s="19">
        <v>3</v>
      </c>
      <c r="AK16" s="19" t="str">
        <f t="shared" si="13"/>
        <v>10</v>
      </c>
      <c r="AL16" s="19" t="str">
        <f t="shared" si="14"/>
        <v>O</v>
      </c>
      <c r="AM16" s="19">
        <f t="shared" si="15"/>
        <v>30</v>
      </c>
      <c r="AN16" s="19"/>
      <c r="AO16" s="56">
        <v>50</v>
      </c>
      <c r="AP16" s="56">
        <v>38</v>
      </c>
      <c r="AQ16" s="30"/>
      <c r="AR16" s="19">
        <f t="shared" si="16"/>
        <v>88</v>
      </c>
      <c r="AS16" s="19">
        <v>3</v>
      </c>
      <c r="AT16" s="19" t="str">
        <f t="shared" si="17"/>
        <v>9</v>
      </c>
      <c r="AU16" s="19" t="str">
        <f t="shared" si="18"/>
        <v>A+</v>
      </c>
      <c r="AV16" s="19">
        <f t="shared" si="19"/>
        <v>27</v>
      </c>
      <c r="AW16" s="19"/>
      <c r="AX16" s="43">
        <v>48</v>
      </c>
      <c r="AY16" s="43">
        <v>34</v>
      </c>
      <c r="AZ16" s="30"/>
      <c r="BA16" s="19">
        <f t="shared" si="20"/>
        <v>82</v>
      </c>
      <c r="BB16" s="19">
        <v>1</v>
      </c>
      <c r="BC16" s="19" t="str">
        <f t="shared" si="21"/>
        <v>9</v>
      </c>
      <c r="BD16" s="19" t="str">
        <f t="shared" si="22"/>
        <v>A+</v>
      </c>
      <c r="BE16" s="19">
        <f t="shared" si="23"/>
        <v>9</v>
      </c>
      <c r="BF16" s="53" t="s">
        <v>92</v>
      </c>
      <c r="BG16" s="43">
        <v>45</v>
      </c>
      <c r="BH16" s="43">
        <v>28</v>
      </c>
      <c r="BI16" s="30"/>
      <c r="BJ16" s="19">
        <f t="shared" si="24"/>
        <v>73</v>
      </c>
      <c r="BK16" s="19">
        <v>1</v>
      </c>
      <c r="BL16" s="19" t="str">
        <f t="shared" si="25"/>
        <v>8</v>
      </c>
      <c r="BM16" s="19" t="str">
        <f t="shared" si="26"/>
        <v>A</v>
      </c>
      <c r="BN16" s="19">
        <f t="shared" si="27"/>
        <v>8</v>
      </c>
      <c r="BO16" s="19"/>
      <c r="BP16" s="43">
        <v>42</v>
      </c>
      <c r="BQ16" s="43">
        <v>38</v>
      </c>
      <c r="BR16" s="30"/>
      <c r="BS16" s="19">
        <f t="shared" si="28"/>
        <v>80</v>
      </c>
      <c r="BT16" s="19">
        <v>1</v>
      </c>
      <c r="BU16" s="19" t="str">
        <f t="shared" si="29"/>
        <v>9</v>
      </c>
      <c r="BV16" s="19" t="str">
        <f t="shared" si="30"/>
        <v>A+</v>
      </c>
      <c r="BW16" s="19">
        <f t="shared" si="31"/>
        <v>9</v>
      </c>
      <c r="BX16" s="19"/>
      <c r="BY16" s="19"/>
      <c r="BZ16" s="19">
        <f t="shared" si="32"/>
        <v>189</v>
      </c>
      <c r="CA16" s="20">
        <f t="shared" si="33"/>
        <v>9.4499999999999993</v>
      </c>
      <c r="CB16" s="35" t="str">
        <f t="shared" si="34"/>
        <v>O</v>
      </c>
      <c r="CC16" s="31">
        <f t="shared" si="35"/>
        <v>89.774999999999991</v>
      </c>
      <c r="CD16" s="34"/>
      <c r="CE16" s="35">
        <f t="shared" si="36"/>
        <v>702</v>
      </c>
      <c r="CF16" s="35">
        <f t="shared" si="37"/>
        <v>87.75</v>
      </c>
      <c r="CG16" s="31"/>
      <c r="CH16" s="31"/>
      <c r="CI16" s="31" t="str">
        <f t="shared" si="38"/>
        <v>FCD</v>
      </c>
      <c r="CJ16" s="11"/>
      <c r="CK16" s="11"/>
    </row>
    <row r="17" spans="1:89" ht="15.75" x14ac:dyDescent="0.25">
      <c r="A17" s="44">
        <f>A16+1</f>
        <v>56</v>
      </c>
      <c r="B17" s="46" t="s">
        <v>128</v>
      </c>
      <c r="C17" s="54" t="s">
        <v>190</v>
      </c>
      <c r="D17" s="58" t="s">
        <v>232</v>
      </c>
      <c r="E17" s="43">
        <v>50</v>
      </c>
      <c r="F17" s="43">
        <v>46</v>
      </c>
      <c r="G17" s="30"/>
      <c r="H17" s="19">
        <f t="shared" si="0"/>
        <v>96</v>
      </c>
      <c r="I17" s="19">
        <v>4</v>
      </c>
      <c r="J17" s="19" t="str">
        <f t="shared" si="1"/>
        <v>10</v>
      </c>
      <c r="K17" s="19" t="str">
        <f t="shared" si="2"/>
        <v>O</v>
      </c>
      <c r="L17" s="19">
        <f t="shared" si="3"/>
        <v>40</v>
      </c>
      <c r="M17" s="19"/>
      <c r="N17" s="43">
        <v>46</v>
      </c>
      <c r="O17" s="43">
        <v>34</v>
      </c>
      <c r="P17" s="30"/>
      <c r="Q17" s="19">
        <f t="shared" si="4"/>
        <v>80</v>
      </c>
      <c r="R17" s="19">
        <v>4</v>
      </c>
      <c r="S17" s="19" t="str">
        <f t="shared" si="5"/>
        <v>9</v>
      </c>
      <c r="T17" s="19" t="str">
        <f t="shared" si="6"/>
        <v>A+</v>
      </c>
      <c r="U17" s="19">
        <f t="shared" si="7"/>
        <v>36</v>
      </c>
      <c r="V17" s="19"/>
      <c r="W17" s="43">
        <v>44</v>
      </c>
      <c r="X17" s="43">
        <v>49</v>
      </c>
      <c r="Y17" s="19"/>
      <c r="Z17" s="19">
        <f t="shared" si="8"/>
        <v>93</v>
      </c>
      <c r="AA17" s="19">
        <v>3</v>
      </c>
      <c r="AB17" s="19" t="str">
        <f t="shared" si="9"/>
        <v>10</v>
      </c>
      <c r="AC17" s="19" t="str">
        <f t="shared" si="10"/>
        <v>O</v>
      </c>
      <c r="AD17" s="19">
        <f t="shared" si="11"/>
        <v>30</v>
      </c>
      <c r="AE17" s="19"/>
      <c r="AF17" s="56">
        <v>41</v>
      </c>
      <c r="AG17" s="56">
        <v>43</v>
      </c>
      <c r="AH17" s="30"/>
      <c r="AI17" s="19">
        <f t="shared" si="12"/>
        <v>84</v>
      </c>
      <c r="AJ17" s="19">
        <v>3</v>
      </c>
      <c r="AK17" s="19" t="str">
        <f t="shared" si="13"/>
        <v>9</v>
      </c>
      <c r="AL17" s="19" t="str">
        <f t="shared" si="14"/>
        <v>A+</v>
      </c>
      <c r="AM17" s="19">
        <f t="shared" si="15"/>
        <v>27</v>
      </c>
      <c r="AN17" s="19"/>
      <c r="AO17" s="56">
        <v>49</v>
      </c>
      <c r="AP17" s="56">
        <v>38</v>
      </c>
      <c r="AQ17" s="30"/>
      <c r="AR17" s="19">
        <f t="shared" si="16"/>
        <v>87</v>
      </c>
      <c r="AS17" s="19">
        <v>3</v>
      </c>
      <c r="AT17" s="19" t="str">
        <f t="shared" si="17"/>
        <v>9</v>
      </c>
      <c r="AU17" s="19" t="str">
        <f t="shared" si="18"/>
        <v>A+</v>
      </c>
      <c r="AV17" s="19">
        <f t="shared" si="19"/>
        <v>27</v>
      </c>
      <c r="AW17" s="19"/>
      <c r="AX17" s="43">
        <v>46</v>
      </c>
      <c r="AY17" s="43">
        <v>35</v>
      </c>
      <c r="AZ17" s="30"/>
      <c r="BA17" s="19">
        <f t="shared" si="20"/>
        <v>81</v>
      </c>
      <c r="BB17" s="19">
        <v>1</v>
      </c>
      <c r="BC17" s="19" t="str">
        <f t="shared" si="21"/>
        <v>9</v>
      </c>
      <c r="BD17" s="19" t="str">
        <f t="shared" si="22"/>
        <v>A+</v>
      </c>
      <c r="BE17" s="19">
        <f t="shared" si="23"/>
        <v>9</v>
      </c>
      <c r="BF17" s="53" t="s">
        <v>97</v>
      </c>
      <c r="BG17" s="43">
        <v>49</v>
      </c>
      <c r="BH17" s="43">
        <v>47</v>
      </c>
      <c r="BI17" s="30"/>
      <c r="BJ17" s="19">
        <f t="shared" si="24"/>
        <v>96</v>
      </c>
      <c r="BK17" s="19">
        <v>1</v>
      </c>
      <c r="BL17" s="19" t="str">
        <f t="shared" si="25"/>
        <v>10</v>
      </c>
      <c r="BM17" s="19" t="str">
        <f t="shared" si="26"/>
        <v>O</v>
      </c>
      <c r="BN17" s="19">
        <f t="shared" si="27"/>
        <v>10</v>
      </c>
      <c r="BO17" s="19"/>
      <c r="BP17" s="43">
        <v>46</v>
      </c>
      <c r="BQ17" s="43">
        <v>38</v>
      </c>
      <c r="BR17" s="30"/>
      <c r="BS17" s="19">
        <f t="shared" si="28"/>
        <v>84</v>
      </c>
      <c r="BT17" s="19">
        <v>1</v>
      </c>
      <c r="BU17" s="19" t="str">
        <f t="shared" si="29"/>
        <v>9</v>
      </c>
      <c r="BV17" s="19" t="str">
        <f t="shared" si="30"/>
        <v>A+</v>
      </c>
      <c r="BW17" s="19">
        <f t="shared" si="31"/>
        <v>9</v>
      </c>
      <c r="BX17" s="19"/>
      <c r="BY17" s="19"/>
      <c r="BZ17" s="19">
        <f t="shared" si="32"/>
        <v>188</v>
      </c>
      <c r="CA17" s="20">
        <f t="shared" si="33"/>
        <v>9.4</v>
      </c>
      <c r="CB17" s="35" t="str">
        <f t="shared" si="34"/>
        <v>O</v>
      </c>
      <c r="CC17" s="31">
        <f t="shared" si="35"/>
        <v>89.3</v>
      </c>
      <c r="CD17" s="31"/>
      <c r="CE17" s="35">
        <f t="shared" si="36"/>
        <v>701</v>
      </c>
      <c r="CF17" s="35">
        <f t="shared" si="37"/>
        <v>87.625</v>
      </c>
      <c r="CG17" s="31"/>
      <c r="CH17" s="31"/>
      <c r="CI17" s="31" t="str">
        <f t="shared" si="38"/>
        <v>FCD</v>
      </c>
    </row>
    <row r="18" spans="1:89" ht="15.75" x14ac:dyDescent="0.25">
      <c r="A18" s="44">
        <f>A17+1</f>
        <v>57</v>
      </c>
      <c r="B18" s="47" t="s">
        <v>145</v>
      </c>
      <c r="C18" s="54" t="s">
        <v>207</v>
      </c>
      <c r="D18" s="58" t="s">
        <v>232</v>
      </c>
      <c r="E18" s="9">
        <v>50</v>
      </c>
      <c r="F18" s="9">
        <v>50</v>
      </c>
      <c r="G18" s="30"/>
      <c r="H18" s="19">
        <f t="shared" si="0"/>
        <v>100</v>
      </c>
      <c r="I18" s="19">
        <v>4</v>
      </c>
      <c r="J18" s="19" t="str">
        <f t="shared" si="1"/>
        <v>10</v>
      </c>
      <c r="K18" s="19" t="str">
        <f t="shared" si="2"/>
        <v>O</v>
      </c>
      <c r="L18" s="19">
        <f t="shared" si="3"/>
        <v>40</v>
      </c>
      <c r="M18" s="19"/>
      <c r="N18" s="9">
        <v>50</v>
      </c>
      <c r="O18" s="9">
        <v>37</v>
      </c>
      <c r="P18" s="30"/>
      <c r="Q18" s="19">
        <f t="shared" si="4"/>
        <v>87</v>
      </c>
      <c r="R18" s="19">
        <v>4</v>
      </c>
      <c r="S18" s="19" t="str">
        <f t="shared" si="5"/>
        <v>9</v>
      </c>
      <c r="T18" s="19" t="str">
        <f t="shared" si="6"/>
        <v>A+</v>
      </c>
      <c r="U18" s="19">
        <f t="shared" si="7"/>
        <v>36</v>
      </c>
      <c r="V18" s="19"/>
      <c r="W18" s="9">
        <v>50</v>
      </c>
      <c r="X18" s="9">
        <v>49</v>
      </c>
      <c r="Y18" s="19"/>
      <c r="Z18" s="19">
        <f t="shared" si="8"/>
        <v>99</v>
      </c>
      <c r="AA18" s="19">
        <v>3</v>
      </c>
      <c r="AB18" s="19" t="str">
        <f t="shared" si="9"/>
        <v>10</v>
      </c>
      <c r="AC18" s="19" t="str">
        <f t="shared" si="10"/>
        <v>O</v>
      </c>
      <c r="AD18" s="19">
        <f t="shared" si="11"/>
        <v>30</v>
      </c>
      <c r="AE18" s="19"/>
      <c r="AF18" s="56">
        <v>50</v>
      </c>
      <c r="AG18" s="56">
        <v>37</v>
      </c>
      <c r="AH18" s="30"/>
      <c r="AI18" s="19">
        <f t="shared" si="12"/>
        <v>87</v>
      </c>
      <c r="AJ18" s="19">
        <v>3</v>
      </c>
      <c r="AK18" s="19" t="str">
        <f t="shared" si="13"/>
        <v>9</v>
      </c>
      <c r="AL18" s="19" t="str">
        <f t="shared" si="14"/>
        <v>A+</v>
      </c>
      <c r="AM18" s="19">
        <f t="shared" si="15"/>
        <v>27</v>
      </c>
      <c r="AN18" s="19"/>
      <c r="AO18" s="56">
        <v>50</v>
      </c>
      <c r="AP18" s="56">
        <v>37</v>
      </c>
      <c r="AQ18" s="30"/>
      <c r="AR18" s="19">
        <f t="shared" si="16"/>
        <v>87</v>
      </c>
      <c r="AS18" s="19">
        <v>3</v>
      </c>
      <c r="AT18" s="19" t="str">
        <f t="shared" si="17"/>
        <v>9</v>
      </c>
      <c r="AU18" s="19" t="str">
        <f t="shared" si="18"/>
        <v>A+</v>
      </c>
      <c r="AV18" s="19">
        <f t="shared" si="19"/>
        <v>27</v>
      </c>
      <c r="AW18" s="19"/>
      <c r="AX18" s="9">
        <v>50</v>
      </c>
      <c r="AY18" s="9">
        <v>38</v>
      </c>
      <c r="AZ18" s="30"/>
      <c r="BA18" s="19">
        <f t="shared" si="20"/>
        <v>88</v>
      </c>
      <c r="BB18" s="19">
        <v>1</v>
      </c>
      <c r="BC18" s="19" t="str">
        <f t="shared" si="21"/>
        <v>9</v>
      </c>
      <c r="BD18" s="19" t="str">
        <f t="shared" si="22"/>
        <v>A+</v>
      </c>
      <c r="BE18" s="19">
        <f t="shared" si="23"/>
        <v>9</v>
      </c>
      <c r="BF18" s="53" t="s">
        <v>92</v>
      </c>
      <c r="BG18" s="9">
        <v>50</v>
      </c>
      <c r="BH18" s="9">
        <v>28</v>
      </c>
      <c r="BI18" s="30"/>
      <c r="BJ18" s="19">
        <f t="shared" si="24"/>
        <v>78</v>
      </c>
      <c r="BK18" s="19">
        <v>1</v>
      </c>
      <c r="BL18" s="19" t="str">
        <f t="shared" si="25"/>
        <v>8</v>
      </c>
      <c r="BM18" s="19" t="str">
        <f t="shared" si="26"/>
        <v>A</v>
      </c>
      <c r="BN18" s="19">
        <f t="shared" si="27"/>
        <v>8</v>
      </c>
      <c r="BO18" s="19"/>
      <c r="BP18" s="9">
        <v>50</v>
      </c>
      <c r="BQ18" s="9">
        <v>41</v>
      </c>
      <c r="BR18" s="30"/>
      <c r="BS18" s="19">
        <f t="shared" si="28"/>
        <v>91</v>
      </c>
      <c r="BT18" s="19">
        <v>1</v>
      </c>
      <c r="BU18" s="19" t="str">
        <f t="shared" si="29"/>
        <v>10</v>
      </c>
      <c r="BV18" s="19" t="str">
        <f t="shared" si="30"/>
        <v>O</v>
      </c>
      <c r="BW18" s="19">
        <f t="shared" si="31"/>
        <v>10</v>
      </c>
      <c r="BX18" s="19"/>
      <c r="BY18" s="19"/>
      <c r="BZ18" s="19">
        <f t="shared" si="32"/>
        <v>187</v>
      </c>
      <c r="CA18" s="20">
        <f t="shared" si="33"/>
        <v>9.35</v>
      </c>
      <c r="CB18" s="35" t="str">
        <f t="shared" si="34"/>
        <v>O</v>
      </c>
      <c r="CC18" s="31">
        <f t="shared" si="35"/>
        <v>88.825000000000003</v>
      </c>
      <c r="CD18" s="34"/>
      <c r="CE18" s="35">
        <f t="shared" si="36"/>
        <v>717</v>
      </c>
      <c r="CF18" s="35">
        <f t="shared" si="37"/>
        <v>89.625</v>
      </c>
      <c r="CG18" s="31"/>
      <c r="CH18" s="31"/>
      <c r="CI18" s="31" t="str">
        <f t="shared" si="38"/>
        <v>FCD</v>
      </c>
      <c r="CJ18" s="11">
        <v>9.3000000000000007</v>
      </c>
      <c r="CK18" s="11">
        <v>9.15</v>
      </c>
    </row>
    <row r="19" spans="1:89" ht="15.75" x14ac:dyDescent="0.25">
      <c r="A19" s="44">
        <v>62</v>
      </c>
      <c r="B19" s="47" t="s">
        <v>159</v>
      </c>
      <c r="C19" s="54" t="s">
        <v>221</v>
      </c>
      <c r="D19" s="58" t="s">
        <v>232</v>
      </c>
      <c r="E19" s="9">
        <v>50</v>
      </c>
      <c r="F19" s="9">
        <v>43</v>
      </c>
      <c r="G19" s="30"/>
      <c r="H19" s="19">
        <f t="shared" si="0"/>
        <v>93</v>
      </c>
      <c r="I19" s="19">
        <v>4</v>
      </c>
      <c r="J19" s="19" t="str">
        <f t="shared" si="1"/>
        <v>10</v>
      </c>
      <c r="K19" s="19" t="str">
        <f t="shared" si="2"/>
        <v>O</v>
      </c>
      <c r="L19" s="19">
        <f t="shared" si="3"/>
        <v>40</v>
      </c>
      <c r="M19" s="19"/>
      <c r="N19" s="9">
        <v>50</v>
      </c>
      <c r="O19" s="9">
        <v>38</v>
      </c>
      <c r="P19" s="30"/>
      <c r="Q19" s="19">
        <f t="shared" si="4"/>
        <v>88</v>
      </c>
      <c r="R19" s="19">
        <v>4</v>
      </c>
      <c r="S19" s="19" t="str">
        <f t="shared" si="5"/>
        <v>9</v>
      </c>
      <c r="T19" s="19" t="str">
        <f t="shared" si="6"/>
        <v>A+</v>
      </c>
      <c r="U19" s="19">
        <f t="shared" si="7"/>
        <v>36</v>
      </c>
      <c r="V19" s="19"/>
      <c r="W19" s="43">
        <v>50</v>
      </c>
      <c r="X19" s="9">
        <v>48</v>
      </c>
      <c r="Y19" s="19"/>
      <c r="Z19" s="19">
        <f t="shared" si="8"/>
        <v>98</v>
      </c>
      <c r="AA19" s="19">
        <v>3</v>
      </c>
      <c r="AB19" s="19" t="str">
        <f t="shared" si="9"/>
        <v>10</v>
      </c>
      <c r="AC19" s="19" t="str">
        <f t="shared" si="10"/>
        <v>O</v>
      </c>
      <c r="AD19" s="19">
        <f t="shared" si="11"/>
        <v>30</v>
      </c>
      <c r="AE19" s="19"/>
      <c r="AF19" s="56">
        <v>50</v>
      </c>
      <c r="AG19" s="56">
        <v>36</v>
      </c>
      <c r="AH19" s="30"/>
      <c r="AI19" s="19">
        <f t="shared" si="12"/>
        <v>86</v>
      </c>
      <c r="AJ19" s="19">
        <v>3</v>
      </c>
      <c r="AK19" s="19" t="str">
        <f t="shared" si="13"/>
        <v>9</v>
      </c>
      <c r="AL19" s="19" t="str">
        <f t="shared" si="14"/>
        <v>A+</v>
      </c>
      <c r="AM19" s="19">
        <f t="shared" si="15"/>
        <v>27</v>
      </c>
      <c r="AN19" s="19"/>
      <c r="AO19" s="56">
        <v>50</v>
      </c>
      <c r="AP19" s="56">
        <v>27</v>
      </c>
      <c r="AQ19" s="30"/>
      <c r="AR19" s="19">
        <f t="shared" si="16"/>
        <v>77</v>
      </c>
      <c r="AS19" s="19">
        <v>3</v>
      </c>
      <c r="AT19" s="19" t="str">
        <f t="shared" si="17"/>
        <v>8</v>
      </c>
      <c r="AU19" s="19" t="str">
        <f t="shared" si="18"/>
        <v>A</v>
      </c>
      <c r="AV19" s="19">
        <f t="shared" si="19"/>
        <v>24</v>
      </c>
      <c r="AW19" s="19"/>
      <c r="AX19" s="9">
        <v>50</v>
      </c>
      <c r="AY19" s="9">
        <v>35</v>
      </c>
      <c r="AZ19" s="30"/>
      <c r="BA19" s="19">
        <f t="shared" si="20"/>
        <v>85</v>
      </c>
      <c r="BB19" s="19">
        <v>1</v>
      </c>
      <c r="BC19" s="19" t="str">
        <f t="shared" si="21"/>
        <v>9</v>
      </c>
      <c r="BD19" s="19" t="str">
        <f t="shared" si="22"/>
        <v>A+</v>
      </c>
      <c r="BE19" s="19">
        <f t="shared" si="23"/>
        <v>9</v>
      </c>
      <c r="BF19" s="53" t="s">
        <v>97</v>
      </c>
      <c r="BG19" s="9">
        <v>50</v>
      </c>
      <c r="BH19" s="9">
        <v>46</v>
      </c>
      <c r="BI19" s="30"/>
      <c r="BJ19" s="19">
        <f t="shared" si="24"/>
        <v>96</v>
      </c>
      <c r="BK19" s="19">
        <v>1</v>
      </c>
      <c r="BL19" s="19" t="str">
        <f t="shared" si="25"/>
        <v>10</v>
      </c>
      <c r="BM19" s="19" t="str">
        <f t="shared" si="26"/>
        <v>O</v>
      </c>
      <c r="BN19" s="19">
        <f t="shared" si="27"/>
        <v>10</v>
      </c>
      <c r="BO19" s="19"/>
      <c r="BP19" s="9">
        <v>50</v>
      </c>
      <c r="BQ19" s="9">
        <v>40</v>
      </c>
      <c r="BR19" s="30"/>
      <c r="BS19" s="19">
        <f t="shared" si="28"/>
        <v>90</v>
      </c>
      <c r="BT19" s="19">
        <v>1</v>
      </c>
      <c r="BU19" s="19" t="str">
        <f t="shared" si="29"/>
        <v>10</v>
      </c>
      <c r="BV19" s="19" t="str">
        <f t="shared" si="30"/>
        <v>O</v>
      </c>
      <c r="BW19" s="19">
        <f t="shared" si="31"/>
        <v>10</v>
      </c>
      <c r="BX19" s="19"/>
      <c r="BY19" s="19"/>
      <c r="BZ19" s="19">
        <f t="shared" si="32"/>
        <v>186</v>
      </c>
      <c r="CA19" s="20">
        <f t="shared" si="33"/>
        <v>9.3000000000000007</v>
      </c>
      <c r="CB19" s="35" t="str">
        <f t="shared" si="34"/>
        <v>O</v>
      </c>
      <c r="CC19" s="31">
        <f t="shared" si="35"/>
        <v>88.350000000000009</v>
      </c>
      <c r="CD19" s="34"/>
      <c r="CE19" s="35">
        <f t="shared" si="36"/>
        <v>713</v>
      </c>
      <c r="CF19" s="35">
        <f t="shared" si="37"/>
        <v>89.125</v>
      </c>
      <c r="CG19" s="31"/>
      <c r="CH19" s="31"/>
      <c r="CI19" s="31" t="str">
        <f t="shared" si="38"/>
        <v>FCD</v>
      </c>
      <c r="CJ19" s="71"/>
      <c r="CK19" s="71"/>
    </row>
    <row r="20" spans="1:89" ht="15.75" x14ac:dyDescent="0.25">
      <c r="A20" s="44">
        <v>58</v>
      </c>
      <c r="B20" s="46" t="s">
        <v>155</v>
      </c>
      <c r="C20" s="54" t="s">
        <v>217</v>
      </c>
      <c r="D20" s="58" t="s">
        <v>232</v>
      </c>
      <c r="E20" s="43">
        <v>50</v>
      </c>
      <c r="F20" s="43">
        <v>43</v>
      </c>
      <c r="G20" s="30"/>
      <c r="H20" s="19">
        <f t="shared" si="0"/>
        <v>93</v>
      </c>
      <c r="I20" s="19">
        <v>4</v>
      </c>
      <c r="J20" s="19" t="str">
        <f t="shared" si="1"/>
        <v>10</v>
      </c>
      <c r="K20" s="19" t="str">
        <f t="shared" si="2"/>
        <v>O</v>
      </c>
      <c r="L20" s="19">
        <f t="shared" si="3"/>
        <v>40</v>
      </c>
      <c r="M20" s="19"/>
      <c r="N20" s="43">
        <v>50</v>
      </c>
      <c r="O20" s="43">
        <v>46</v>
      </c>
      <c r="P20" s="30"/>
      <c r="Q20" s="19">
        <f t="shared" si="4"/>
        <v>96</v>
      </c>
      <c r="R20" s="19">
        <v>4</v>
      </c>
      <c r="S20" s="19" t="str">
        <f t="shared" si="5"/>
        <v>10</v>
      </c>
      <c r="T20" s="19" t="str">
        <f t="shared" si="6"/>
        <v>O</v>
      </c>
      <c r="U20" s="19">
        <f t="shared" si="7"/>
        <v>40</v>
      </c>
      <c r="V20" s="19"/>
      <c r="W20" s="43">
        <v>49</v>
      </c>
      <c r="X20" s="43">
        <v>47</v>
      </c>
      <c r="Y20" s="19"/>
      <c r="Z20" s="19">
        <f t="shared" si="8"/>
        <v>96</v>
      </c>
      <c r="AA20" s="19">
        <v>3</v>
      </c>
      <c r="AB20" s="19" t="str">
        <f t="shared" si="9"/>
        <v>10</v>
      </c>
      <c r="AC20" s="19" t="str">
        <f t="shared" si="10"/>
        <v>O</v>
      </c>
      <c r="AD20" s="19">
        <f t="shared" si="11"/>
        <v>30</v>
      </c>
      <c r="AE20" s="19"/>
      <c r="AF20" s="56">
        <v>48</v>
      </c>
      <c r="AG20" s="56">
        <v>35</v>
      </c>
      <c r="AH20" s="30"/>
      <c r="AI20" s="19">
        <f t="shared" si="12"/>
        <v>83</v>
      </c>
      <c r="AJ20" s="19">
        <v>3</v>
      </c>
      <c r="AK20" s="19" t="str">
        <f t="shared" si="13"/>
        <v>9</v>
      </c>
      <c r="AL20" s="19" t="str">
        <f t="shared" si="14"/>
        <v>A+</v>
      </c>
      <c r="AM20" s="19">
        <f t="shared" si="15"/>
        <v>27</v>
      </c>
      <c r="AN20" s="19"/>
      <c r="AO20" s="56">
        <v>48</v>
      </c>
      <c r="AP20" s="56">
        <v>31</v>
      </c>
      <c r="AQ20" s="30"/>
      <c r="AR20" s="19">
        <f t="shared" si="16"/>
        <v>79</v>
      </c>
      <c r="AS20" s="19">
        <v>3</v>
      </c>
      <c r="AT20" s="19" t="str">
        <f t="shared" si="17"/>
        <v>8</v>
      </c>
      <c r="AU20" s="19" t="str">
        <f t="shared" si="18"/>
        <v>A</v>
      </c>
      <c r="AV20" s="19">
        <f t="shared" si="19"/>
        <v>24</v>
      </c>
      <c r="AW20" s="19"/>
      <c r="AX20" s="43">
        <v>45</v>
      </c>
      <c r="AY20" s="43">
        <v>29</v>
      </c>
      <c r="AZ20" s="30"/>
      <c r="BA20" s="19">
        <f t="shared" si="20"/>
        <v>74</v>
      </c>
      <c r="BB20" s="19">
        <v>1</v>
      </c>
      <c r="BC20" s="19" t="str">
        <f t="shared" si="21"/>
        <v>8</v>
      </c>
      <c r="BD20" s="19" t="str">
        <f t="shared" si="22"/>
        <v>A</v>
      </c>
      <c r="BE20" s="19">
        <f t="shared" si="23"/>
        <v>8</v>
      </c>
      <c r="BF20" s="53" t="s">
        <v>92</v>
      </c>
      <c r="BG20" s="43">
        <v>47</v>
      </c>
      <c r="BH20" s="43">
        <v>42</v>
      </c>
      <c r="BI20" s="30"/>
      <c r="BJ20" s="19">
        <f t="shared" si="24"/>
        <v>89</v>
      </c>
      <c r="BK20" s="19">
        <v>1</v>
      </c>
      <c r="BL20" s="19" t="str">
        <f t="shared" si="25"/>
        <v>9</v>
      </c>
      <c r="BM20" s="19" t="str">
        <f t="shared" si="26"/>
        <v>A+</v>
      </c>
      <c r="BN20" s="19">
        <f t="shared" si="27"/>
        <v>9</v>
      </c>
      <c r="BO20" s="19"/>
      <c r="BP20" s="43">
        <v>48</v>
      </c>
      <c r="BQ20" s="43">
        <v>31</v>
      </c>
      <c r="BR20" s="30"/>
      <c r="BS20" s="19">
        <f t="shared" si="28"/>
        <v>79</v>
      </c>
      <c r="BT20" s="19">
        <v>1</v>
      </c>
      <c r="BU20" s="19" t="str">
        <f t="shared" si="29"/>
        <v>8</v>
      </c>
      <c r="BV20" s="19" t="str">
        <f t="shared" si="30"/>
        <v>A</v>
      </c>
      <c r="BW20" s="19">
        <f t="shared" si="31"/>
        <v>8</v>
      </c>
      <c r="BX20" s="19"/>
      <c r="BY20" s="19"/>
      <c r="BZ20" s="19">
        <f t="shared" si="32"/>
        <v>186</v>
      </c>
      <c r="CA20" s="20">
        <f t="shared" si="33"/>
        <v>9.3000000000000007</v>
      </c>
      <c r="CB20" s="35" t="str">
        <f t="shared" si="34"/>
        <v>O</v>
      </c>
      <c r="CC20" s="31">
        <f t="shared" si="35"/>
        <v>88.350000000000009</v>
      </c>
      <c r="CD20" s="34"/>
      <c r="CE20" s="35">
        <f t="shared" si="36"/>
        <v>689</v>
      </c>
      <c r="CF20" s="35">
        <f t="shared" si="37"/>
        <v>86.125</v>
      </c>
      <c r="CG20" s="31"/>
      <c r="CH20" s="31"/>
      <c r="CI20" s="31" t="str">
        <f t="shared" si="38"/>
        <v>FCD</v>
      </c>
    </row>
    <row r="21" spans="1:89" ht="15.75" x14ac:dyDescent="0.25">
      <c r="A21" s="44">
        <f t="shared" ref="A21:A27" si="39">A20+1</f>
        <v>59</v>
      </c>
      <c r="B21" s="47" t="s">
        <v>113</v>
      </c>
      <c r="C21" s="54" t="s">
        <v>175</v>
      </c>
      <c r="D21" s="58" t="s">
        <v>232</v>
      </c>
      <c r="E21" s="9">
        <v>50</v>
      </c>
      <c r="F21" s="9">
        <v>32</v>
      </c>
      <c r="G21" s="30"/>
      <c r="H21" s="19">
        <f t="shared" si="0"/>
        <v>82</v>
      </c>
      <c r="I21" s="19">
        <v>4</v>
      </c>
      <c r="J21" s="19" t="str">
        <f t="shared" si="1"/>
        <v>9</v>
      </c>
      <c r="K21" s="19" t="str">
        <f t="shared" si="2"/>
        <v>A+</v>
      </c>
      <c r="L21" s="19">
        <f t="shared" si="3"/>
        <v>36</v>
      </c>
      <c r="M21" s="19"/>
      <c r="N21" s="9">
        <v>47</v>
      </c>
      <c r="O21" s="9">
        <v>41</v>
      </c>
      <c r="P21" s="30"/>
      <c r="Q21" s="19">
        <f t="shared" si="4"/>
        <v>88</v>
      </c>
      <c r="R21" s="19">
        <v>4</v>
      </c>
      <c r="S21" s="19" t="str">
        <f t="shared" si="5"/>
        <v>9</v>
      </c>
      <c r="T21" s="19" t="str">
        <f t="shared" si="6"/>
        <v>A+</v>
      </c>
      <c r="U21" s="19">
        <f t="shared" si="7"/>
        <v>36</v>
      </c>
      <c r="V21" s="19"/>
      <c r="W21" s="9">
        <v>47</v>
      </c>
      <c r="X21" s="9">
        <v>37</v>
      </c>
      <c r="Y21" s="19"/>
      <c r="Z21" s="19">
        <f t="shared" si="8"/>
        <v>84</v>
      </c>
      <c r="AA21" s="19">
        <v>3</v>
      </c>
      <c r="AB21" s="19" t="str">
        <f t="shared" si="9"/>
        <v>9</v>
      </c>
      <c r="AC21" s="19" t="str">
        <f t="shared" si="10"/>
        <v>A+</v>
      </c>
      <c r="AD21" s="19">
        <f t="shared" si="11"/>
        <v>27</v>
      </c>
      <c r="AE21" s="19"/>
      <c r="AF21" s="56">
        <v>48</v>
      </c>
      <c r="AG21" s="56">
        <v>46</v>
      </c>
      <c r="AH21" s="30"/>
      <c r="AI21" s="19">
        <f t="shared" si="12"/>
        <v>94</v>
      </c>
      <c r="AJ21" s="19">
        <v>3</v>
      </c>
      <c r="AK21" s="19" t="str">
        <f t="shared" si="13"/>
        <v>10</v>
      </c>
      <c r="AL21" s="19" t="str">
        <f t="shared" si="14"/>
        <v>O</v>
      </c>
      <c r="AM21" s="19">
        <f t="shared" si="15"/>
        <v>30</v>
      </c>
      <c r="AN21" s="19"/>
      <c r="AO21" s="56">
        <v>50</v>
      </c>
      <c r="AP21" s="56">
        <v>36</v>
      </c>
      <c r="AQ21" s="30"/>
      <c r="AR21" s="19">
        <f t="shared" si="16"/>
        <v>86</v>
      </c>
      <c r="AS21" s="19">
        <v>3</v>
      </c>
      <c r="AT21" s="19" t="str">
        <f t="shared" si="17"/>
        <v>9</v>
      </c>
      <c r="AU21" s="19" t="str">
        <f t="shared" si="18"/>
        <v>A+</v>
      </c>
      <c r="AV21" s="19">
        <f t="shared" si="19"/>
        <v>27</v>
      </c>
      <c r="AW21" s="19"/>
      <c r="AX21" s="9">
        <v>47</v>
      </c>
      <c r="AY21" s="9">
        <v>39</v>
      </c>
      <c r="AZ21" s="30"/>
      <c r="BA21" s="19">
        <f t="shared" si="20"/>
        <v>86</v>
      </c>
      <c r="BB21" s="19">
        <v>1</v>
      </c>
      <c r="BC21" s="19" t="str">
        <f t="shared" si="21"/>
        <v>9</v>
      </c>
      <c r="BD21" s="19" t="str">
        <f t="shared" si="22"/>
        <v>A+</v>
      </c>
      <c r="BE21" s="19">
        <f t="shared" si="23"/>
        <v>9</v>
      </c>
      <c r="BF21" s="53" t="s">
        <v>97</v>
      </c>
      <c r="BG21" s="9">
        <v>49</v>
      </c>
      <c r="BH21" s="9">
        <v>48</v>
      </c>
      <c r="BI21" s="30"/>
      <c r="BJ21" s="19">
        <f t="shared" si="24"/>
        <v>97</v>
      </c>
      <c r="BK21" s="19">
        <v>1</v>
      </c>
      <c r="BL21" s="19" t="str">
        <f t="shared" si="25"/>
        <v>10</v>
      </c>
      <c r="BM21" s="19" t="str">
        <f t="shared" si="26"/>
        <v>O</v>
      </c>
      <c r="BN21" s="19">
        <f t="shared" si="27"/>
        <v>10</v>
      </c>
      <c r="BO21" s="19"/>
      <c r="BP21" s="9">
        <v>48</v>
      </c>
      <c r="BQ21" s="9">
        <v>43</v>
      </c>
      <c r="BR21" s="30"/>
      <c r="BS21" s="19">
        <f t="shared" si="28"/>
        <v>91</v>
      </c>
      <c r="BT21" s="19">
        <v>1</v>
      </c>
      <c r="BU21" s="19" t="str">
        <f t="shared" si="29"/>
        <v>10</v>
      </c>
      <c r="BV21" s="19" t="str">
        <f t="shared" si="30"/>
        <v>O</v>
      </c>
      <c r="BW21" s="19">
        <f t="shared" si="31"/>
        <v>10</v>
      </c>
      <c r="BX21" s="19"/>
      <c r="BY21" s="19"/>
      <c r="BZ21" s="19">
        <f t="shared" si="32"/>
        <v>185</v>
      </c>
      <c r="CA21" s="20">
        <f t="shared" si="33"/>
        <v>9.25</v>
      </c>
      <c r="CB21" s="35" t="str">
        <f t="shared" si="34"/>
        <v>O</v>
      </c>
      <c r="CC21" s="31">
        <f t="shared" si="35"/>
        <v>87.875</v>
      </c>
      <c r="CD21" s="31"/>
      <c r="CE21" s="35">
        <f t="shared" si="36"/>
        <v>708</v>
      </c>
      <c r="CF21" s="35">
        <f t="shared" si="37"/>
        <v>88.5</v>
      </c>
      <c r="CG21" s="31"/>
      <c r="CH21" s="31"/>
      <c r="CI21" s="31" t="str">
        <f t="shared" si="38"/>
        <v>FCD</v>
      </c>
    </row>
    <row r="22" spans="1:89" ht="15.75" x14ac:dyDescent="0.25">
      <c r="A22" s="44">
        <f t="shared" si="39"/>
        <v>60</v>
      </c>
      <c r="B22" s="47" t="s">
        <v>103</v>
      </c>
      <c r="C22" s="54" t="s">
        <v>165</v>
      </c>
      <c r="D22" s="58" t="s">
        <v>232</v>
      </c>
      <c r="E22" s="9">
        <v>47</v>
      </c>
      <c r="F22" s="9">
        <v>38</v>
      </c>
      <c r="G22" s="30"/>
      <c r="H22" s="19">
        <f t="shared" si="0"/>
        <v>85</v>
      </c>
      <c r="I22" s="19">
        <v>4</v>
      </c>
      <c r="J22" s="19" t="str">
        <f t="shared" si="1"/>
        <v>9</v>
      </c>
      <c r="K22" s="19" t="str">
        <f t="shared" si="2"/>
        <v>A+</v>
      </c>
      <c r="L22" s="19">
        <f t="shared" si="3"/>
        <v>36</v>
      </c>
      <c r="M22" s="19"/>
      <c r="N22" s="9">
        <v>46</v>
      </c>
      <c r="O22" s="9">
        <v>44</v>
      </c>
      <c r="P22" s="30"/>
      <c r="Q22" s="19">
        <f t="shared" si="4"/>
        <v>90</v>
      </c>
      <c r="R22" s="19">
        <v>4</v>
      </c>
      <c r="S22" s="19" t="str">
        <f t="shared" si="5"/>
        <v>10</v>
      </c>
      <c r="T22" s="19" t="str">
        <f t="shared" si="6"/>
        <v>O</v>
      </c>
      <c r="U22" s="19">
        <f t="shared" si="7"/>
        <v>40</v>
      </c>
      <c r="V22" s="19"/>
      <c r="W22" s="9">
        <v>47</v>
      </c>
      <c r="X22" s="9">
        <v>43</v>
      </c>
      <c r="Y22" s="19"/>
      <c r="Z22" s="19">
        <f t="shared" si="8"/>
        <v>90</v>
      </c>
      <c r="AA22" s="19">
        <v>3</v>
      </c>
      <c r="AB22" s="19" t="str">
        <f t="shared" si="9"/>
        <v>10</v>
      </c>
      <c r="AC22" s="19" t="str">
        <f t="shared" si="10"/>
        <v>O</v>
      </c>
      <c r="AD22" s="19">
        <f t="shared" si="11"/>
        <v>30</v>
      </c>
      <c r="AE22" s="19"/>
      <c r="AF22" s="56">
        <v>48</v>
      </c>
      <c r="AG22" s="56">
        <v>40</v>
      </c>
      <c r="AH22" s="30"/>
      <c r="AI22" s="19">
        <f t="shared" si="12"/>
        <v>88</v>
      </c>
      <c r="AJ22" s="19">
        <v>3</v>
      </c>
      <c r="AK22" s="19" t="str">
        <f t="shared" si="13"/>
        <v>9</v>
      </c>
      <c r="AL22" s="19" t="str">
        <f t="shared" si="14"/>
        <v>A+</v>
      </c>
      <c r="AM22" s="19">
        <f t="shared" si="15"/>
        <v>27</v>
      </c>
      <c r="AN22" s="19"/>
      <c r="AO22" s="56">
        <v>50</v>
      </c>
      <c r="AP22" s="56">
        <v>35</v>
      </c>
      <c r="AQ22" s="30"/>
      <c r="AR22" s="19">
        <f t="shared" si="16"/>
        <v>85</v>
      </c>
      <c r="AS22" s="19">
        <v>3</v>
      </c>
      <c r="AT22" s="19" t="str">
        <f t="shared" si="17"/>
        <v>9</v>
      </c>
      <c r="AU22" s="19" t="str">
        <f t="shared" si="18"/>
        <v>A+</v>
      </c>
      <c r="AV22" s="19">
        <f t="shared" si="19"/>
        <v>27</v>
      </c>
      <c r="AW22" s="19"/>
      <c r="AX22" s="9">
        <v>46</v>
      </c>
      <c r="AY22" s="9">
        <v>22</v>
      </c>
      <c r="AZ22" s="30"/>
      <c r="BA22" s="19">
        <f t="shared" si="20"/>
        <v>68</v>
      </c>
      <c r="BB22" s="19">
        <v>1</v>
      </c>
      <c r="BC22" s="19" t="str">
        <f t="shared" si="21"/>
        <v>7</v>
      </c>
      <c r="BD22" s="19" t="str">
        <f t="shared" si="22"/>
        <v>B+</v>
      </c>
      <c r="BE22" s="19">
        <f t="shared" si="23"/>
        <v>7</v>
      </c>
      <c r="BF22" s="53" t="s">
        <v>92</v>
      </c>
      <c r="BG22" s="9">
        <v>40</v>
      </c>
      <c r="BH22" s="9">
        <v>32</v>
      </c>
      <c r="BI22" s="30"/>
      <c r="BJ22" s="19">
        <f t="shared" si="24"/>
        <v>72</v>
      </c>
      <c r="BK22" s="19">
        <v>1</v>
      </c>
      <c r="BL22" s="19" t="str">
        <f t="shared" si="25"/>
        <v>8</v>
      </c>
      <c r="BM22" s="19" t="str">
        <f t="shared" si="26"/>
        <v>A</v>
      </c>
      <c r="BN22" s="19">
        <f t="shared" si="27"/>
        <v>8</v>
      </c>
      <c r="BO22" s="19"/>
      <c r="BP22" s="9">
        <v>46</v>
      </c>
      <c r="BQ22" s="9">
        <v>39</v>
      </c>
      <c r="BR22" s="30"/>
      <c r="BS22" s="19">
        <f t="shared" si="28"/>
        <v>85</v>
      </c>
      <c r="BT22" s="19">
        <v>1</v>
      </c>
      <c r="BU22" s="19" t="str">
        <f t="shared" si="29"/>
        <v>9</v>
      </c>
      <c r="BV22" s="19" t="str">
        <f t="shared" si="30"/>
        <v>A+</v>
      </c>
      <c r="BW22" s="19">
        <f t="shared" si="31"/>
        <v>9</v>
      </c>
      <c r="BX22" s="19"/>
      <c r="BY22" s="19"/>
      <c r="BZ22" s="19">
        <f t="shared" si="32"/>
        <v>184</v>
      </c>
      <c r="CA22" s="20">
        <f t="shared" si="33"/>
        <v>9.1999999999999993</v>
      </c>
      <c r="CB22" s="35" t="str">
        <f t="shared" si="34"/>
        <v>O</v>
      </c>
      <c r="CC22" s="31">
        <f t="shared" si="35"/>
        <v>87.399999999999991</v>
      </c>
      <c r="CD22" s="31"/>
      <c r="CE22" s="35">
        <f t="shared" si="36"/>
        <v>663</v>
      </c>
      <c r="CF22" s="35">
        <f t="shared" si="37"/>
        <v>82.875</v>
      </c>
      <c r="CG22" s="31"/>
      <c r="CH22" s="31"/>
      <c r="CI22" s="31" t="str">
        <f t="shared" si="38"/>
        <v>FCD</v>
      </c>
    </row>
    <row r="23" spans="1:89" ht="15.75" x14ac:dyDescent="0.25">
      <c r="A23" s="44">
        <f t="shared" si="39"/>
        <v>61</v>
      </c>
      <c r="B23" s="47" t="s">
        <v>100</v>
      </c>
      <c r="C23" s="54" t="s">
        <v>162</v>
      </c>
      <c r="D23" s="58" t="s">
        <v>232</v>
      </c>
      <c r="E23" s="9">
        <v>50</v>
      </c>
      <c r="F23" s="9">
        <v>36</v>
      </c>
      <c r="G23" s="30"/>
      <c r="H23" s="19">
        <f t="shared" si="0"/>
        <v>86</v>
      </c>
      <c r="I23" s="19">
        <v>4</v>
      </c>
      <c r="J23" s="19" t="str">
        <f t="shared" si="1"/>
        <v>9</v>
      </c>
      <c r="K23" s="19" t="str">
        <f t="shared" si="2"/>
        <v>A+</v>
      </c>
      <c r="L23" s="19">
        <f t="shared" si="3"/>
        <v>36</v>
      </c>
      <c r="M23" s="19"/>
      <c r="N23" s="9">
        <v>50</v>
      </c>
      <c r="O23" s="9">
        <v>33</v>
      </c>
      <c r="P23" s="30"/>
      <c r="Q23" s="19">
        <f t="shared" si="4"/>
        <v>83</v>
      </c>
      <c r="R23" s="19">
        <v>4</v>
      </c>
      <c r="S23" s="19" t="str">
        <f t="shared" si="5"/>
        <v>9</v>
      </c>
      <c r="T23" s="19" t="str">
        <f t="shared" si="6"/>
        <v>A+</v>
      </c>
      <c r="U23" s="19">
        <f t="shared" si="7"/>
        <v>36</v>
      </c>
      <c r="V23" s="19"/>
      <c r="W23" s="9">
        <v>50</v>
      </c>
      <c r="X23" s="9">
        <v>44</v>
      </c>
      <c r="Y23" s="19"/>
      <c r="Z23" s="19">
        <f t="shared" si="8"/>
        <v>94</v>
      </c>
      <c r="AA23" s="19">
        <v>3</v>
      </c>
      <c r="AB23" s="19" t="str">
        <f t="shared" si="9"/>
        <v>10</v>
      </c>
      <c r="AC23" s="19" t="str">
        <f t="shared" si="10"/>
        <v>O</v>
      </c>
      <c r="AD23" s="19">
        <f t="shared" si="11"/>
        <v>30</v>
      </c>
      <c r="AE23" s="19"/>
      <c r="AF23" s="56">
        <v>50</v>
      </c>
      <c r="AG23" s="56">
        <v>35</v>
      </c>
      <c r="AH23" s="30"/>
      <c r="AI23" s="19">
        <f t="shared" si="12"/>
        <v>85</v>
      </c>
      <c r="AJ23" s="19">
        <v>3</v>
      </c>
      <c r="AK23" s="19" t="str">
        <f t="shared" si="13"/>
        <v>9</v>
      </c>
      <c r="AL23" s="19" t="str">
        <f t="shared" si="14"/>
        <v>A+</v>
      </c>
      <c r="AM23" s="19">
        <f t="shared" si="15"/>
        <v>27</v>
      </c>
      <c r="AN23" s="19"/>
      <c r="AO23" s="56">
        <v>50</v>
      </c>
      <c r="AP23" s="56">
        <v>28</v>
      </c>
      <c r="AQ23" s="30"/>
      <c r="AR23" s="19">
        <f t="shared" si="16"/>
        <v>78</v>
      </c>
      <c r="AS23" s="19">
        <v>3</v>
      </c>
      <c r="AT23" s="19" t="str">
        <f t="shared" si="17"/>
        <v>8</v>
      </c>
      <c r="AU23" s="19" t="str">
        <f t="shared" si="18"/>
        <v>A</v>
      </c>
      <c r="AV23" s="19">
        <f t="shared" si="19"/>
        <v>24</v>
      </c>
      <c r="AW23" s="19"/>
      <c r="AX23" s="9">
        <v>50</v>
      </c>
      <c r="AY23" s="9">
        <v>41</v>
      </c>
      <c r="AZ23" s="30"/>
      <c r="BA23" s="19">
        <f t="shared" si="20"/>
        <v>91</v>
      </c>
      <c r="BB23" s="19">
        <v>1</v>
      </c>
      <c r="BC23" s="19" t="str">
        <f t="shared" si="21"/>
        <v>10</v>
      </c>
      <c r="BD23" s="19" t="str">
        <f t="shared" si="22"/>
        <v>O</v>
      </c>
      <c r="BE23" s="19">
        <f t="shared" si="23"/>
        <v>10</v>
      </c>
      <c r="BF23" s="53" t="s">
        <v>97</v>
      </c>
      <c r="BG23" s="9">
        <v>50</v>
      </c>
      <c r="BH23" s="9">
        <v>49</v>
      </c>
      <c r="BI23" s="30"/>
      <c r="BJ23" s="19">
        <f t="shared" si="24"/>
        <v>99</v>
      </c>
      <c r="BK23" s="19">
        <v>1</v>
      </c>
      <c r="BL23" s="19" t="str">
        <f t="shared" si="25"/>
        <v>10</v>
      </c>
      <c r="BM23" s="19" t="str">
        <f t="shared" si="26"/>
        <v>O</v>
      </c>
      <c r="BN23" s="19">
        <f t="shared" si="27"/>
        <v>10</v>
      </c>
      <c r="BO23" s="19"/>
      <c r="BP23" s="9">
        <v>50</v>
      </c>
      <c r="BQ23" s="9">
        <v>42</v>
      </c>
      <c r="BR23" s="30"/>
      <c r="BS23" s="19">
        <f t="shared" si="28"/>
        <v>92</v>
      </c>
      <c r="BT23" s="19">
        <v>1</v>
      </c>
      <c r="BU23" s="19" t="str">
        <f t="shared" si="29"/>
        <v>10</v>
      </c>
      <c r="BV23" s="19" t="str">
        <f t="shared" si="30"/>
        <v>O</v>
      </c>
      <c r="BW23" s="19">
        <f t="shared" si="31"/>
        <v>10</v>
      </c>
      <c r="BX23" s="19"/>
      <c r="BY23" s="19"/>
      <c r="BZ23" s="19">
        <f t="shared" si="32"/>
        <v>183</v>
      </c>
      <c r="CA23" s="20">
        <f t="shared" si="33"/>
        <v>9.15</v>
      </c>
      <c r="CB23" s="35" t="str">
        <f t="shared" si="34"/>
        <v>O</v>
      </c>
      <c r="CC23" s="31">
        <f t="shared" si="35"/>
        <v>86.924999999999997</v>
      </c>
      <c r="CD23" s="31"/>
      <c r="CE23" s="35">
        <f t="shared" si="36"/>
        <v>708</v>
      </c>
      <c r="CF23" s="35">
        <f t="shared" si="37"/>
        <v>88.5</v>
      </c>
      <c r="CG23" s="31"/>
      <c r="CH23" s="31"/>
      <c r="CI23" s="31" t="str">
        <f t="shared" si="38"/>
        <v>FCD</v>
      </c>
    </row>
    <row r="24" spans="1:89" ht="15.75" x14ac:dyDescent="0.25">
      <c r="A24" s="44">
        <f t="shared" si="39"/>
        <v>62</v>
      </c>
      <c r="B24" s="47" t="s">
        <v>107</v>
      </c>
      <c r="C24" s="54" t="s">
        <v>169</v>
      </c>
      <c r="D24" s="58" t="s">
        <v>232</v>
      </c>
      <c r="E24" s="9">
        <v>46</v>
      </c>
      <c r="F24" s="9">
        <v>50</v>
      </c>
      <c r="G24" s="30"/>
      <c r="H24" s="19">
        <f t="shared" si="0"/>
        <v>96</v>
      </c>
      <c r="I24" s="19">
        <v>4</v>
      </c>
      <c r="J24" s="19" t="str">
        <f t="shared" si="1"/>
        <v>10</v>
      </c>
      <c r="K24" s="19" t="str">
        <f t="shared" si="2"/>
        <v>O</v>
      </c>
      <c r="L24" s="19">
        <f t="shared" si="3"/>
        <v>40</v>
      </c>
      <c r="M24" s="19"/>
      <c r="N24" s="9">
        <v>44</v>
      </c>
      <c r="O24" s="9">
        <v>41</v>
      </c>
      <c r="P24" s="30"/>
      <c r="Q24" s="19">
        <f t="shared" si="4"/>
        <v>85</v>
      </c>
      <c r="R24" s="19">
        <v>4</v>
      </c>
      <c r="S24" s="19" t="str">
        <f t="shared" si="5"/>
        <v>9</v>
      </c>
      <c r="T24" s="19" t="str">
        <f t="shared" si="6"/>
        <v>A+</v>
      </c>
      <c r="U24" s="19">
        <f t="shared" si="7"/>
        <v>36</v>
      </c>
      <c r="V24" s="19"/>
      <c r="W24" s="9">
        <v>47</v>
      </c>
      <c r="X24" s="9">
        <v>45</v>
      </c>
      <c r="Y24" s="19"/>
      <c r="Z24" s="19">
        <f t="shared" si="8"/>
        <v>92</v>
      </c>
      <c r="AA24" s="19">
        <v>3</v>
      </c>
      <c r="AB24" s="19" t="str">
        <f t="shared" si="9"/>
        <v>10</v>
      </c>
      <c r="AC24" s="19" t="str">
        <f t="shared" si="10"/>
        <v>O</v>
      </c>
      <c r="AD24" s="19">
        <f t="shared" si="11"/>
        <v>30</v>
      </c>
      <c r="AE24" s="19"/>
      <c r="AF24" s="56">
        <v>40</v>
      </c>
      <c r="AG24" s="56">
        <v>39</v>
      </c>
      <c r="AH24" s="30"/>
      <c r="AI24" s="19">
        <f t="shared" si="12"/>
        <v>79</v>
      </c>
      <c r="AJ24" s="19">
        <v>3</v>
      </c>
      <c r="AK24" s="19" t="str">
        <f t="shared" si="13"/>
        <v>8</v>
      </c>
      <c r="AL24" s="19" t="str">
        <f t="shared" si="14"/>
        <v>A</v>
      </c>
      <c r="AM24" s="19">
        <f t="shared" si="15"/>
        <v>24</v>
      </c>
      <c r="AN24" s="19"/>
      <c r="AO24" s="56">
        <v>49</v>
      </c>
      <c r="AP24" s="56">
        <v>32</v>
      </c>
      <c r="AQ24" s="30"/>
      <c r="AR24" s="19">
        <f t="shared" si="16"/>
        <v>81</v>
      </c>
      <c r="AS24" s="19">
        <v>3</v>
      </c>
      <c r="AT24" s="19" t="str">
        <f t="shared" si="17"/>
        <v>9</v>
      </c>
      <c r="AU24" s="19" t="str">
        <f t="shared" si="18"/>
        <v>A+</v>
      </c>
      <c r="AV24" s="19">
        <f t="shared" si="19"/>
        <v>27</v>
      </c>
      <c r="AW24" s="19"/>
      <c r="AX24" s="9">
        <v>46</v>
      </c>
      <c r="AY24" s="9">
        <v>35</v>
      </c>
      <c r="AZ24" s="30"/>
      <c r="BA24" s="19">
        <f t="shared" si="20"/>
        <v>81</v>
      </c>
      <c r="BB24" s="19">
        <v>1</v>
      </c>
      <c r="BC24" s="19" t="str">
        <f t="shared" si="21"/>
        <v>9</v>
      </c>
      <c r="BD24" s="19" t="str">
        <f t="shared" si="22"/>
        <v>A+</v>
      </c>
      <c r="BE24" s="19">
        <f t="shared" si="23"/>
        <v>9</v>
      </c>
      <c r="BF24" s="53" t="s">
        <v>92</v>
      </c>
      <c r="BG24" s="9">
        <v>45</v>
      </c>
      <c r="BH24" s="9">
        <v>32</v>
      </c>
      <c r="BI24" s="30"/>
      <c r="BJ24" s="19">
        <f t="shared" si="24"/>
        <v>77</v>
      </c>
      <c r="BK24" s="19">
        <v>1</v>
      </c>
      <c r="BL24" s="19" t="str">
        <f t="shared" si="25"/>
        <v>8</v>
      </c>
      <c r="BM24" s="19" t="str">
        <f t="shared" si="26"/>
        <v>A</v>
      </c>
      <c r="BN24" s="19">
        <f t="shared" si="27"/>
        <v>8</v>
      </c>
      <c r="BO24" s="19"/>
      <c r="BP24" s="9">
        <v>48</v>
      </c>
      <c r="BQ24" s="9">
        <v>38</v>
      </c>
      <c r="BR24" s="30"/>
      <c r="BS24" s="19">
        <f t="shared" si="28"/>
        <v>86</v>
      </c>
      <c r="BT24" s="19">
        <v>1</v>
      </c>
      <c r="BU24" s="19" t="str">
        <f t="shared" si="29"/>
        <v>9</v>
      </c>
      <c r="BV24" s="19" t="str">
        <f t="shared" si="30"/>
        <v>A+</v>
      </c>
      <c r="BW24" s="19">
        <f t="shared" si="31"/>
        <v>9</v>
      </c>
      <c r="BX24" s="19"/>
      <c r="BY24" s="19"/>
      <c r="BZ24" s="19">
        <f t="shared" si="32"/>
        <v>183</v>
      </c>
      <c r="CA24" s="20">
        <f t="shared" si="33"/>
        <v>9.15</v>
      </c>
      <c r="CB24" s="35" t="str">
        <f t="shared" si="34"/>
        <v>O</v>
      </c>
      <c r="CC24" s="31">
        <f t="shared" si="35"/>
        <v>86.924999999999997</v>
      </c>
      <c r="CD24" s="31"/>
      <c r="CE24" s="35">
        <f t="shared" si="36"/>
        <v>677</v>
      </c>
      <c r="CF24" s="35">
        <f t="shared" si="37"/>
        <v>84.625</v>
      </c>
      <c r="CG24" s="31"/>
      <c r="CH24" s="31"/>
      <c r="CI24" s="31" t="str">
        <f t="shared" si="38"/>
        <v>FCD</v>
      </c>
    </row>
    <row r="25" spans="1:89" ht="15.75" x14ac:dyDescent="0.25">
      <c r="A25" s="44">
        <f t="shared" si="39"/>
        <v>63</v>
      </c>
      <c r="B25" s="47" t="s">
        <v>144</v>
      </c>
      <c r="C25" s="54" t="s">
        <v>206</v>
      </c>
      <c r="D25" s="58" t="s">
        <v>232</v>
      </c>
      <c r="E25" s="9">
        <v>49</v>
      </c>
      <c r="F25" s="9">
        <v>42</v>
      </c>
      <c r="G25" s="30"/>
      <c r="H25" s="19">
        <f t="shared" si="0"/>
        <v>91</v>
      </c>
      <c r="I25" s="19">
        <v>4</v>
      </c>
      <c r="J25" s="19" t="str">
        <f t="shared" si="1"/>
        <v>10</v>
      </c>
      <c r="K25" s="19" t="str">
        <f t="shared" si="2"/>
        <v>O</v>
      </c>
      <c r="L25" s="19">
        <f t="shared" si="3"/>
        <v>40</v>
      </c>
      <c r="M25" s="19"/>
      <c r="N25" s="9">
        <v>50</v>
      </c>
      <c r="O25" s="9">
        <v>33</v>
      </c>
      <c r="P25" s="30"/>
      <c r="Q25" s="19">
        <f t="shared" si="4"/>
        <v>83</v>
      </c>
      <c r="R25" s="19">
        <v>4</v>
      </c>
      <c r="S25" s="19" t="str">
        <f t="shared" si="5"/>
        <v>9</v>
      </c>
      <c r="T25" s="19" t="str">
        <f t="shared" si="6"/>
        <v>A+</v>
      </c>
      <c r="U25" s="19">
        <f t="shared" si="7"/>
        <v>36</v>
      </c>
      <c r="V25" s="19"/>
      <c r="W25" s="9">
        <v>48</v>
      </c>
      <c r="X25" s="9">
        <v>48</v>
      </c>
      <c r="Y25" s="19"/>
      <c r="Z25" s="19">
        <f t="shared" si="8"/>
        <v>96</v>
      </c>
      <c r="AA25" s="19">
        <v>3</v>
      </c>
      <c r="AB25" s="19" t="str">
        <f t="shared" si="9"/>
        <v>10</v>
      </c>
      <c r="AC25" s="19" t="str">
        <f t="shared" si="10"/>
        <v>O</v>
      </c>
      <c r="AD25" s="19">
        <f t="shared" si="11"/>
        <v>30</v>
      </c>
      <c r="AE25" s="19"/>
      <c r="AF25" s="56">
        <v>44</v>
      </c>
      <c r="AG25" s="56">
        <v>33</v>
      </c>
      <c r="AH25" s="30"/>
      <c r="AI25" s="19">
        <f t="shared" si="12"/>
        <v>77</v>
      </c>
      <c r="AJ25" s="19">
        <v>3</v>
      </c>
      <c r="AK25" s="19" t="str">
        <f t="shared" si="13"/>
        <v>8</v>
      </c>
      <c r="AL25" s="19" t="str">
        <f t="shared" si="14"/>
        <v>A</v>
      </c>
      <c r="AM25" s="19">
        <f t="shared" si="15"/>
        <v>24</v>
      </c>
      <c r="AN25" s="19"/>
      <c r="AO25" s="56">
        <v>50</v>
      </c>
      <c r="AP25" s="56">
        <v>30</v>
      </c>
      <c r="AQ25" s="30"/>
      <c r="AR25" s="19">
        <f t="shared" si="16"/>
        <v>80</v>
      </c>
      <c r="AS25" s="19">
        <v>3</v>
      </c>
      <c r="AT25" s="19" t="str">
        <f t="shared" si="17"/>
        <v>9</v>
      </c>
      <c r="AU25" s="19" t="str">
        <f t="shared" si="18"/>
        <v>A+</v>
      </c>
      <c r="AV25" s="19">
        <f t="shared" si="19"/>
        <v>27</v>
      </c>
      <c r="AW25" s="19"/>
      <c r="AX25" s="9">
        <v>48</v>
      </c>
      <c r="AY25" s="9">
        <v>36</v>
      </c>
      <c r="AZ25" s="30"/>
      <c r="BA25" s="19">
        <f t="shared" si="20"/>
        <v>84</v>
      </c>
      <c r="BB25" s="19">
        <v>1</v>
      </c>
      <c r="BC25" s="19" t="str">
        <f t="shared" si="21"/>
        <v>9</v>
      </c>
      <c r="BD25" s="19" t="str">
        <f t="shared" si="22"/>
        <v>A+</v>
      </c>
      <c r="BE25" s="19">
        <f t="shared" si="23"/>
        <v>9</v>
      </c>
      <c r="BF25" s="53" t="s">
        <v>92</v>
      </c>
      <c r="BG25" s="9">
        <v>43</v>
      </c>
      <c r="BH25" s="9">
        <v>36</v>
      </c>
      <c r="BI25" s="30"/>
      <c r="BJ25" s="19">
        <f t="shared" si="24"/>
        <v>79</v>
      </c>
      <c r="BK25" s="19">
        <v>1</v>
      </c>
      <c r="BL25" s="19" t="str">
        <f t="shared" si="25"/>
        <v>8</v>
      </c>
      <c r="BM25" s="19" t="str">
        <f t="shared" si="26"/>
        <v>A</v>
      </c>
      <c r="BN25" s="19">
        <f t="shared" si="27"/>
        <v>8</v>
      </c>
      <c r="BO25" s="19"/>
      <c r="BP25" s="9">
        <v>44</v>
      </c>
      <c r="BQ25" s="9">
        <v>42</v>
      </c>
      <c r="BR25" s="30"/>
      <c r="BS25" s="19">
        <f t="shared" si="28"/>
        <v>86</v>
      </c>
      <c r="BT25" s="19">
        <v>1</v>
      </c>
      <c r="BU25" s="19" t="str">
        <f t="shared" si="29"/>
        <v>9</v>
      </c>
      <c r="BV25" s="19" t="str">
        <f t="shared" si="30"/>
        <v>A+</v>
      </c>
      <c r="BW25" s="19">
        <f t="shared" si="31"/>
        <v>9</v>
      </c>
      <c r="BX25" s="19"/>
      <c r="BY25" s="19"/>
      <c r="BZ25" s="19">
        <f t="shared" si="32"/>
        <v>183</v>
      </c>
      <c r="CA25" s="20">
        <f t="shared" si="33"/>
        <v>9.15</v>
      </c>
      <c r="CB25" s="35" t="str">
        <f t="shared" si="34"/>
        <v>O</v>
      </c>
      <c r="CC25" s="31">
        <f t="shared" si="35"/>
        <v>86.924999999999997</v>
      </c>
      <c r="CD25" s="31"/>
      <c r="CE25" s="35">
        <f t="shared" si="36"/>
        <v>676</v>
      </c>
      <c r="CF25" s="35">
        <f t="shared" si="37"/>
        <v>84.5</v>
      </c>
      <c r="CG25" s="31"/>
      <c r="CH25" s="31"/>
      <c r="CI25" s="31" t="str">
        <f t="shared" si="38"/>
        <v>FCD</v>
      </c>
    </row>
    <row r="26" spans="1:89" ht="15.75" x14ac:dyDescent="0.25">
      <c r="A26" s="44">
        <f t="shared" si="39"/>
        <v>64</v>
      </c>
      <c r="B26" s="46" t="s">
        <v>124</v>
      </c>
      <c r="C26" s="54" t="s">
        <v>186</v>
      </c>
      <c r="D26" s="58" t="s">
        <v>232</v>
      </c>
      <c r="E26" s="43">
        <v>50</v>
      </c>
      <c r="F26" s="43">
        <v>36</v>
      </c>
      <c r="G26" s="30"/>
      <c r="H26" s="19">
        <f t="shared" si="0"/>
        <v>86</v>
      </c>
      <c r="I26" s="19">
        <v>4</v>
      </c>
      <c r="J26" s="19" t="str">
        <f t="shared" si="1"/>
        <v>9</v>
      </c>
      <c r="K26" s="19" t="str">
        <f t="shared" si="2"/>
        <v>A+</v>
      </c>
      <c r="L26" s="19">
        <f t="shared" si="3"/>
        <v>36</v>
      </c>
      <c r="M26" s="19"/>
      <c r="N26" s="43">
        <v>50</v>
      </c>
      <c r="O26" s="43">
        <v>35</v>
      </c>
      <c r="P26" s="30"/>
      <c r="Q26" s="19">
        <f t="shared" si="4"/>
        <v>85</v>
      </c>
      <c r="R26" s="19">
        <v>4</v>
      </c>
      <c r="S26" s="19" t="str">
        <f t="shared" si="5"/>
        <v>9</v>
      </c>
      <c r="T26" s="19" t="str">
        <f t="shared" si="6"/>
        <v>A+</v>
      </c>
      <c r="U26" s="19">
        <f t="shared" si="7"/>
        <v>36</v>
      </c>
      <c r="V26" s="19"/>
      <c r="W26" s="43">
        <v>50</v>
      </c>
      <c r="X26" s="43">
        <v>41</v>
      </c>
      <c r="Y26" s="19"/>
      <c r="Z26" s="19">
        <f t="shared" si="8"/>
        <v>91</v>
      </c>
      <c r="AA26" s="19">
        <v>3</v>
      </c>
      <c r="AB26" s="19" t="str">
        <f t="shared" si="9"/>
        <v>10</v>
      </c>
      <c r="AC26" s="19" t="str">
        <f t="shared" si="10"/>
        <v>O</v>
      </c>
      <c r="AD26" s="19">
        <f t="shared" si="11"/>
        <v>30</v>
      </c>
      <c r="AE26" s="19"/>
      <c r="AF26" s="56">
        <v>50</v>
      </c>
      <c r="AG26" s="56">
        <v>39</v>
      </c>
      <c r="AH26" s="30"/>
      <c r="AI26" s="19">
        <f t="shared" si="12"/>
        <v>89</v>
      </c>
      <c r="AJ26" s="19">
        <v>3</v>
      </c>
      <c r="AK26" s="19" t="str">
        <f t="shared" si="13"/>
        <v>9</v>
      </c>
      <c r="AL26" s="19" t="str">
        <f t="shared" si="14"/>
        <v>A+</v>
      </c>
      <c r="AM26" s="19">
        <f t="shared" si="15"/>
        <v>27</v>
      </c>
      <c r="AN26" s="19"/>
      <c r="AO26" s="56">
        <v>50</v>
      </c>
      <c r="AP26" s="56">
        <v>29</v>
      </c>
      <c r="AQ26" s="30"/>
      <c r="AR26" s="19">
        <f t="shared" si="16"/>
        <v>79</v>
      </c>
      <c r="AS26" s="19">
        <v>3</v>
      </c>
      <c r="AT26" s="19" t="str">
        <f t="shared" si="17"/>
        <v>8</v>
      </c>
      <c r="AU26" s="19" t="str">
        <f t="shared" si="18"/>
        <v>A</v>
      </c>
      <c r="AV26" s="19">
        <f t="shared" si="19"/>
        <v>24</v>
      </c>
      <c r="AW26" s="19"/>
      <c r="AX26" s="43">
        <v>50</v>
      </c>
      <c r="AY26" s="43">
        <v>33</v>
      </c>
      <c r="AZ26" s="30"/>
      <c r="BA26" s="19">
        <f t="shared" si="20"/>
        <v>83</v>
      </c>
      <c r="BB26" s="19">
        <v>1</v>
      </c>
      <c r="BC26" s="19" t="str">
        <f t="shared" si="21"/>
        <v>9</v>
      </c>
      <c r="BD26" s="19" t="str">
        <f t="shared" si="22"/>
        <v>A+</v>
      </c>
      <c r="BE26" s="19">
        <f t="shared" si="23"/>
        <v>9</v>
      </c>
      <c r="BF26" s="53" t="s">
        <v>97</v>
      </c>
      <c r="BG26" s="43">
        <v>50</v>
      </c>
      <c r="BH26" s="43">
        <v>49</v>
      </c>
      <c r="BI26" s="30"/>
      <c r="BJ26" s="19">
        <f t="shared" si="24"/>
        <v>99</v>
      </c>
      <c r="BK26" s="19">
        <v>1</v>
      </c>
      <c r="BL26" s="19" t="str">
        <f t="shared" si="25"/>
        <v>10</v>
      </c>
      <c r="BM26" s="19" t="str">
        <f t="shared" si="26"/>
        <v>O</v>
      </c>
      <c r="BN26" s="19">
        <f t="shared" si="27"/>
        <v>10</v>
      </c>
      <c r="BO26" s="19"/>
      <c r="BP26" s="43">
        <v>50</v>
      </c>
      <c r="BQ26" s="43">
        <v>38</v>
      </c>
      <c r="BR26" s="30"/>
      <c r="BS26" s="19">
        <f t="shared" si="28"/>
        <v>88</v>
      </c>
      <c r="BT26" s="19">
        <v>1</v>
      </c>
      <c r="BU26" s="19" t="str">
        <f t="shared" si="29"/>
        <v>9</v>
      </c>
      <c r="BV26" s="19" t="str">
        <f t="shared" si="30"/>
        <v>A+</v>
      </c>
      <c r="BW26" s="19">
        <f t="shared" si="31"/>
        <v>9</v>
      </c>
      <c r="BX26" s="19"/>
      <c r="BY26" s="19"/>
      <c r="BZ26" s="19">
        <f t="shared" si="32"/>
        <v>181</v>
      </c>
      <c r="CA26" s="20">
        <f t="shared" si="33"/>
        <v>9.0500000000000007</v>
      </c>
      <c r="CB26" s="35" t="str">
        <f t="shared" si="34"/>
        <v>O</v>
      </c>
      <c r="CC26" s="31">
        <f t="shared" si="35"/>
        <v>85.975000000000009</v>
      </c>
      <c r="CD26" s="31"/>
      <c r="CE26" s="35">
        <f t="shared" si="36"/>
        <v>700</v>
      </c>
      <c r="CF26" s="35">
        <f t="shared" si="37"/>
        <v>87.5</v>
      </c>
      <c r="CG26" s="31"/>
      <c r="CH26" s="31"/>
      <c r="CI26" s="31" t="str">
        <f t="shared" si="38"/>
        <v>FCD</v>
      </c>
      <c r="CJ26" s="11">
        <v>9.0500000000000007</v>
      </c>
      <c r="CK26" s="11">
        <v>9.0500000000000007</v>
      </c>
    </row>
    <row r="27" spans="1:89" ht="15.75" x14ac:dyDescent="0.25">
      <c r="A27" s="44">
        <f t="shared" si="39"/>
        <v>65</v>
      </c>
      <c r="B27" s="47" t="s">
        <v>132</v>
      </c>
      <c r="C27" s="54" t="s">
        <v>194</v>
      </c>
      <c r="D27" s="58" t="s">
        <v>232</v>
      </c>
      <c r="E27" s="9">
        <v>47</v>
      </c>
      <c r="F27" s="9">
        <v>38</v>
      </c>
      <c r="G27" s="30"/>
      <c r="H27" s="19">
        <f t="shared" si="0"/>
        <v>85</v>
      </c>
      <c r="I27" s="19">
        <v>4</v>
      </c>
      <c r="J27" s="19" t="str">
        <f t="shared" si="1"/>
        <v>9</v>
      </c>
      <c r="K27" s="19" t="str">
        <f t="shared" si="2"/>
        <v>A+</v>
      </c>
      <c r="L27" s="19">
        <f t="shared" si="3"/>
        <v>36</v>
      </c>
      <c r="M27" s="19"/>
      <c r="N27" s="9">
        <v>47</v>
      </c>
      <c r="O27" s="9">
        <v>38</v>
      </c>
      <c r="P27" s="30"/>
      <c r="Q27" s="19">
        <f t="shared" si="4"/>
        <v>85</v>
      </c>
      <c r="R27" s="19">
        <v>4</v>
      </c>
      <c r="S27" s="19" t="str">
        <f t="shared" si="5"/>
        <v>9</v>
      </c>
      <c r="T27" s="19" t="str">
        <f t="shared" si="6"/>
        <v>A+</v>
      </c>
      <c r="U27" s="19">
        <f t="shared" si="7"/>
        <v>36</v>
      </c>
      <c r="V27" s="19"/>
      <c r="W27" s="9">
        <v>47</v>
      </c>
      <c r="X27" s="9">
        <v>48</v>
      </c>
      <c r="Y27" s="19"/>
      <c r="Z27" s="19">
        <f t="shared" si="8"/>
        <v>95</v>
      </c>
      <c r="AA27" s="19">
        <v>3</v>
      </c>
      <c r="AB27" s="19" t="str">
        <f t="shared" si="9"/>
        <v>10</v>
      </c>
      <c r="AC27" s="19" t="str">
        <f t="shared" si="10"/>
        <v>O</v>
      </c>
      <c r="AD27" s="19">
        <f t="shared" si="11"/>
        <v>30</v>
      </c>
      <c r="AE27" s="19"/>
      <c r="AF27" s="56">
        <v>48</v>
      </c>
      <c r="AG27" s="56">
        <v>34</v>
      </c>
      <c r="AH27" s="30"/>
      <c r="AI27" s="19">
        <f t="shared" si="12"/>
        <v>82</v>
      </c>
      <c r="AJ27" s="19">
        <v>3</v>
      </c>
      <c r="AK27" s="19" t="str">
        <f t="shared" si="13"/>
        <v>9</v>
      </c>
      <c r="AL27" s="19" t="str">
        <f t="shared" si="14"/>
        <v>A+</v>
      </c>
      <c r="AM27" s="19">
        <f t="shared" si="15"/>
        <v>27</v>
      </c>
      <c r="AN27" s="19"/>
      <c r="AO27" s="56">
        <v>49</v>
      </c>
      <c r="AP27" s="56">
        <v>29</v>
      </c>
      <c r="AQ27" s="30"/>
      <c r="AR27" s="19">
        <f t="shared" si="16"/>
        <v>78</v>
      </c>
      <c r="AS27" s="19">
        <v>3</v>
      </c>
      <c r="AT27" s="19" t="str">
        <f t="shared" si="17"/>
        <v>8</v>
      </c>
      <c r="AU27" s="19" t="str">
        <f t="shared" si="18"/>
        <v>A</v>
      </c>
      <c r="AV27" s="19">
        <f t="shared" si="19"/>
        <v>24</v>
      </c>
      <c r="AW27" s="19"/>
      <c r="AX27" s="9">
        <v>47</v>
      </c>
      <c r="AY27" s="9">
        <v>29</v>
      </c>
      <c r="AZ27" s="30"/>
      <c r="BA27" s="19">
        <f t="shared" si="20"/>
        <v>76</v>
      </c>
      <c r="BB27" s="19">
        <v>1</v>
      </c>
      <c r="BC27" s="19" t="str">
        <f t="shared" si="21"/>
        <v>8</v>
      </c>
      <c r="BD27" s="19" t="str">
        <f t="shared" si="22"/>
        <v>A</v>
      </c>
      <c r="BE27" s="19">
        <f t="shared" si="23"/>
        <v>8</v>
      </c>
      <c r="BF27" s="53" t="s">
        <v>92</v>
      </c>
      <c r="BG27" s="9">
        <v>46</v>
      </c>
      <c r="BH27" s="9">
        <v>42</v>
      </c>
      <c r="BI27" s="30"/>
      <c r="BJ27" s="19">
        <f t="shared" si="24"/>
        <v>88</v>
      </c>
      <c r="BK27" s="19">
        <v>1</v>
      </c>
      <c r="BL27" s="19" t="str">
        <f t="shared" si="25"/>
        <v>9</v>
      </c>
      <c r="BM27" s="19" t="str">
        <f t="shared" si="26"/>
        <v>A+</v>
      </c>
      <c r="BN27" s="19">
        <f t="shared" si="27"/>
        <v>9</v>
      </c>
      <c r="BO27" s="19"/>
      <c r="BP27" s="9">
        <v>45</v>
      </c>
      <c r="BQ27" s="9">
        <v>40</v>
      </c>
      <c r="BR27" s="30"/>
      <c r="BS27" s="19">
        <f t="shared" si="28"/>
        <v>85</v>
      </c>
      <c r="BT27" s="19">
        <v>1</v>
      </c>
      <c r="BU27" s="19" t="str">
        <f t="shared" si="29"/>
        <v>9</v>
      </c>
      <c r="BV27" s="19" t="str">
        <f t="shared" si="30"/>
        <v>A+</v>
      </c>
      <c r="BW27" s="19">
        <f t="shared" si="31"/>
        <v>9</v>
      </c>
      <c r="BX27" s="19"/>
      <c r="BY27" s="19"/>
      <c r="BZ27" s="19">
        <f t="shared" si="32"/>
        <v>179</v>
      </c>
      <c r="CA27" s="20">
        <f t="shared" si="33"/>
        <v>8.9499999999999993</v>
      </c>
      <c r="CB27" s="35" t="str">
        <f t="shared" si="34"/>
        <v>A+</v>
      </c>
      <c r="CC27" s="31">
        <f t="shared" si="35"/>
        <v>85.024999999999991</v>
      </c>
      <c r="CD27" s="31"/>
      <c r="CE27" s="35">
        <f t="shared" si="36"/>
        <v>674</v>
      </c>
      <c r="CF27" s="35">
        <f t="shared" si="37"/>
        <v>84.25</v>
      </c>
      <c r="CG27" s="31"/>
      <c r="CH27" s="31"/>
      <c r="CI27" s="31" t="str">
        <f t="shared" si="38"/>
        <v>FCD</v>
      </c>
    </row>
    <row r="28" spans="1:89" ht="15.75" x14ac:dyDescent="0.25">
      <c r="A28" s="44">
        <v>57</v>
      </c>
      <c r="B28" s="46" t="s">
        <v>154</v>
      </c>
      <c r="C28" s="54" t="s">
        <v>216</v>
      </c>
      <c r="D28" s="58" t="s">
        <v>232</v>
      </c>
      <c r="E28" s="43">
        <v>47</v>
      </c>
      <c r="F28" s="43">
        <v>44</v>
      </c>
      <c r="G28" s="30"/>
      <c r="H28" s="19">
        <f t="shared" si="0"/>
        <v>91</v>
      </c>
      <c r="I28" s="19">
        <v>4</v>
      </c>
      <c r="J28" s="19" t="str">
        <f t="shared" si="1"/>
        <v>10</v>
      </c>
      <c r="K28" s="19" t="str">
        <f t="shared" si="2"/>
        <v>O</v>
      </c>
      <c r="L28" s="19">
        <f t="shared" si="3"/>
        <v>40</v>
      </c>
      <c r="M28" s="19"/>
      <c r="N28" s="43">
        <v>47</v>
      </c>
      <c r="O28" s="43">
        <v>24</v>
      </c>
      <c r="P28" s="30"/>
      <c r="Q28" s="19">
        <f t="shared" si="4"/>
        <v>71</v>
      </c>
      <c r="R28" s="19">
        <v>4</v>
      </c>
      <c r="S28" s="19" t="str">
        <f t="shared" si="5"/>
        <v>8</v>
      </c>
      <c r="T28" s="19" t="str">
        <f t="shared" si="6"/>
        <v>A</v>
      </c>
      <c r="U28" s="19">
        <f t="shared" si="7"/>
        <v>32</v>
      </c>
      <c r="V28" s="19"/>
      <c r="W28" s="43">
        <v>47</v>
      </c>
      <c r="X28" s="43">
        <v>41</v>
      </c>
      <c r="Y28" s="19"/>
      <c r="Z28" s="19">
        <f t="shared" si="8"/>
        <v>88</v>
      </c>
      <c r="AA28" s="19">
        <v>3</v>
      </c>
      <c r="AB28" s="19" t="str">
        <f t="shared" si="9"/>
        <v>9</v>
      </c>
      <c r="AC28" s="19" t="str">
        <f t="shared" si="10"/>
        <v>A+</v>
      </c>
      <c r="AD28" s="19">
        <f t="shared" si="11"/>
        <v>27</v>
      </c>
      <c r="AE28" s="19"/>
      <c r="AF28" s="56">
        <v>47</v>
      </c>
      <c r="AG28" s="56">
        <v>36</v>
      </c>
      <c r="AH28" s="30"/>
      <c r="AI28" s="19">
        <f t="shared" si="12"/>
        <v>83</v>
      </c>
      <c r="AJ28" s="19">
        <v>3</v>
      </c>
      <c r="AK28" s="19" t="str">
        <f t="shared" si="13"/>
        <v>9</v>
      </c>
      <c r="AL28" s="19" t="str">
        <f t="shared" si="14"/>
        <v>A+</v>
      </c>
      <c r="AM28" s="19">
        <f t="shared" si="15"/>
        <v>27</v>
      </c>
      <c r="AN28" s="19"/>
      <c r="AO28" s="56">
        <v>49</v>
      </c>
      <c r="AP28" s="56">
        <v>38</v>
      </c>
      <c r="AQ28" s="30"/>
      <c r="AR28" s="19">
        <f t="shared" si="16"/>
        <v>87</v>
      </c>
      <c r="AS28" s="19">
        <v>3</v>
      </c>
      <c r="AT28" s="19" t="str">
        <f t="shared" si="17"/>
        <v>9</v>
      </c>
      <c r="AU28" s="19" t="str">
        <f t="shared" si="18"/>
        <v>A+</v>
      </c>
      <c r="AV28" s="19">
        <f t="shared" si="19"/>
        <v>27</v>
      </c>
      <c r="AW28" s="19"/>
      <c r="AX28" s="43">
        <v>44</v>
      </c>
      <c r="AY28" s="43">
        <v>35</v>
      </c>
      <c r="AZ28" s="30"/>
      <c r="BA28" s="19">
        <f t="shared" si="20"/>
        <v>79</v>
      </c>
      <c r="BB28" s="19">
        <v>1</v>
      </c>
      <c r="BC28" s="19" t="str">
        <f t="shared" si="21"/>
        <v>8</v>
      </c>
      <c r="BD28" s="19" t="str">
        <f t="shared" si="22"/>
        <v>A</v>
      </c>
      <c r="BE28" s="19">
        <f t="shared" si="23"/>
        <v>8</v>
      </c>
      <c r="BF28" s="53" t="s">
        <v>92</v>
      </c>
      <c r="BG28" s="43">
        <v>47</v>
      </c>
      <c r="BH28" s="43">
        <v>34</v>
      </c>
      <c r="BI28" s="30"/>
      <c r="BJ28" s="19">
        <f t="shared" si="24"/>
        <v>81</v>
      </c>
      <c r="BK28" s="19">
        <v>1</v>
      </c>
      <c r="BL28" s="19" t="str">
        <f t="shared" si="25"/>
        <v>9</v>
      </c>
      <c r="BM28" s="19" t="str">
        <f t="shared" si="26"/>
        <v>A+</v>
      </c>
      <c r="BN28" s="19">
        <f t="shared" si="27"/>
        <v>9</v>
      </c>
      <c r="BO28" s="19"/>
      <c r="BP28" s="43">
        <v>48</v>
      </c>
      <c r="BQ28" s="43">
        <v>38</v>
      </c>
      <c r="BR28" s="30"/>
      <c r="BS28" s="19">
        <f t="shared" si="28"/>
        <v>86</v>
      </c>
      <c r="BT28" s="19">
        <v>1</v>
      </c>
      <c r="BU28" s="19" t="str">
        <f t="shared" si="29"/>
        <v>9</v>
      </c>
      <c r="BV28" s="19" t="str">
        <f t="shared" si="30"/>
        <v>A+</v>
      </c>
      <c r="BW28" s="19">
        <f t="shared" si="31"/>
        <v>9</v>
      </c>
      <c r="BX28" s="19"/>
      <c r="BY28" s="19"/>
      <c r="BZ28" s="19">
        <f t="shared" si="32"/>
        <v>179</v>
      </c>
      <c r="CA28" s="20">
        <f t="shared" si="33"/>
        <v>8.9499999999999993</v>
      </c>
      <c r="CB28" s="35" t="str">
        <f t="shared" si="34"/>
        <v>A+</v>
      </c>
      <c r="CC28" s="31">
        <f t="shared" si="35"/>
        <v>85.024999999999991</v>
      </c>
      <c r="CD28" s="34"/>
      <c r="CE28" s="35">
        <f t="shared" si="36"/>
        <v>666</v>
      </c>
      <c r="CF28" s="35">
        <f t="shared" si="37"/>
        <v>83.25</v>
      </c>
      <c r="CG28" s="31"/>
      <c r="CH28" s="31"/>
      <c r="CI28" s="31" t="str">
        <f t="shared" si="38"/>
        <v>FCD</v>
      </c>
    </row>
    <row r="29" spans="1:89" ht="15.75" x14ac:dyDescent="0.25">
      <c r="A29" s="44">
        <f t="shared" ref="A29:A39" si="40">A28+1</f>
        <v>58</v>
      </c>
      <c r="B29" s="47" t="s">
        <v>99</v>
      </c>
      <c r="C29" s="54" t="s">
        <v>161</v>
      </c>
      <c r="D29" s="58" t="s">
        <v>232</v>
      </c>
      <c r="E29" s="9">
        <v>49</v>
      </c>
      <c r="F29" s="9">
        <v>46</v>
      </c>
      <c r="G29" s="30"/>
      <c r="H29" s="19">
        <f t="shared" si="0"/>
        <v>95</v>
      </c>
      <c r="I29" s="19">
        <v>4</v>
      </c>
      <c r="J29" s="19" t="str">
        <f t="shared" si="1"/>
        <v>10</v>
      </c>
      <c r="K29" s="19" t="str">
        <f t="shared" si="2"/>
        <v>O</v>
      </c>
      <c r="L29" s="19">
        <f t="shared" si="3"/>
        <v>40</v>
      </c>
      <c r="M29" s="19"/>
      <c r="N29" s="9">
        <v>45</v>
      </c>
      <c r="O29" s="9">
        <v>33</v>
      </c>
      <c r="P29" s="30"/>
      <c r="Q29" s="19">
        <f t="shared" si="4"/>
        <v>78</v>
      </c>
      <c r="R29" s="19">
        <v>4</v>
      </c>
      <c r="S29" s="19" t="str">
        <f t="shared" si="5"/>
        <v>8</v>
      </c>
      <c r="T29" s="19" t="str">
        <f t="shared" si="6"/>
        <v>A</v>
      </c>
      <c r="U29" s="19">
        <f t="shared" si="7"/>
        <v>32</v>
      </c>
      <c r="V29" s="19"/>
      <c r="W29" s="9">
        <v>45</v>
      </c>
      <c r="X29" s="9">
        <v>46</v>
      </c>
      <c r="Y29" s="19"/>
      <c r="Z29" s="19">
        <f t="shared" si="8"/>
        <v>91</v>
      </c>
      <c r="AA29" s="19">
        <v>3</v>
      </c>
      <c r="AB29" s="19" t="str">
        <f t="shared" si="9"/>
        <v>10</v>
      </c>
      <c r="AC29" s="19" t="str">
        <f t="shared" si="10"/>
        <v>O</v>
      </c>
      <c r="AD29" s="19">
        <f t="shared" si="11"/>
        <v>30</v>
      </c>
      <c r="AE29" s="19"/>
      <c r="AF29" s="56">
        <v>45</v>
      </c>
      <c r="AG29" s="56">
        <v>40</v>
      </c>
      <c r="AH29" s="30"/>
      <c r="AI29" s="19">
        <f t="shared" si="12"/>
        <v>85</v>
      </c>
      <c r="AJ29" s="19">
        <v>3</v>
      </c>
      <c r="AK29" s="19" t="str">
        <f t="shared" si="13"/>
        <v>9</v>
      </c>
      <c r="AL29" s="19" t="str">
        <f t="shared" si="14"/>
        <v>A+</v>
      </c>
      <c r="AM29" s="19">
        <f t="shared" si="15"/>
        <v>27</v>
      </c>
      <c r="AN29" s="18"/>
      <c r="AO29" s="73">
        <v>43</v>
      </c>
      <c r="AP29" s="56">
        <v>32</v>
      </c>
      <c r="AQ29" s="30"/>
      <c r="AR29" s="19">
        <f t="shared" si="16"/>
        <v>75</v>
      </c>
      <c r="AS29" s="19">
        <v>3</v>
      </c>
      <c r="AT29" s="19" t="str">
        <f t="shared" si="17"/>
        <v>8</v>
      </c>
      <c r="AU29" s="19" t="str">
        <f t="shared" si="18"/>
        <v>A</v>
      </c>
      <c r="AV29" s="19">
        <f t="shared" si="19"/>
        <v>24</v>
      </c>
      <c r="AW29" s="19"/>
      <c r="AX29" s="9">
        <v>44</v>
      </c>
      <c r="AY29" s="9">
        <v>26</v>
      </c>
      <c r="AZ29" s="30"/>
      <c r="BA29" s="19">
        <f t="shared" si="20"/>
        <v>70</v>
      </c>
      <c r="BB29" s="19">
        <v>1</v>
      </c>
      <c r="BC29" s="19" t="str">
        <f t="shared" si="21"/>
        <v>8</v>
      </c>
      <c r="BD29" s="19" t="str">
        <f t="shared" si="22"/>
        <v>A</v>
      </c>
      <c r="BE29" s="19">
        <f t="shared" si="23"/>
        <v>8</v>
      </c>
      <c r="BF29" s="53" t="s">
        <v>92</v>
      </c>
      <c r="BG29" s="9">
        <v>46</v>
      </c>
      <c r="BH29" s="9">
        <v>37</v>
      </c>
      <c r="BI29" s="30"/>
      <c r="BJ29" s="19">
        <f t="shared" si="24"/>
        <v>83</v>
      </c>
      <c r="BK29" s="19">
        <v>1</v>
      </c>
      <c r="BL29" s="19" t="str">
        <f t="shared" si="25"/>
        <v>9</v>
      </c>
      <c r="BM29" s="19" t="str">
        <f t="shared" si="26"/>
        <v>A+</v>
      </c>
      <c r="BN29" s="19">
        <f t="shared" si="27"/>
        <v>9</v>
      </c>
      <c r="BO29" s="19"/>
      <c r="BP29" s="9">
        <v>48</v>
      </c>
      <c r="BQ29" s="9">
        <v>39</v>
      </c>
      <c r="BR29" s="30"/>
      <c r="BS29" s="19">
        <f t="shared" si="28"/>
        <v>87</v>
      </c>
      <c r="BT29" s="19">
        <v>1</v>
      </c>
      <c r="BU29" s="19" t="str">
        <f t="shared" si="29"/>
        <v>9</v>
      </c>
      <c r="BV29" s="19" t="str">
        <f t="shared" si="30"/>
        <v>A+</v>
      </c>
      <c r="BW29" s="19">
        <f t="shared" si="31"/>
        <v>9</v>
      </c>
      <c r="BX29" s="19"/>
      <c r="BY29" s="19"/>
      <c r="BZ29" s="19">
        <f t="shared" si="32"/>
        <v>179</v>
      </c>
      <c r="CA29" s="20">
        <f t="shared" si="33"/>
        <v>8.9499999999999993</v>
      </c>
      <c r="CB29" s="35" t="str">
        <f t="shared" si="34"/>
        <v>A+</v>
      </c>
      <c r="CC29" s="31">
        <f t="shared" si="35"/>
        <v>85.024999999999991</v>
      </c>
      <c r="CD29" s="31"/>
      <c r="CE29" s="35">
        <f t="shared" si="36"/>
        <v>664</v>
      </c>
      <c r="CF29" s="35">
        <f t="shared" si="37"/>
        <v>83</v>
      </c>
      <c r="CG29" s="31"/>
      <c r="CH29" s="31"/>
      <c r="CI29" s="31" t="str">
        <f t="shared" si="38"/>
        <v>FCD</v>
      </c>
    </row>
    <row r="30" spans="1:89" ht="15.75" x14ac:dyDescent="0.25">
      <c r="A30" s="44">
        <f t="shared" si="40"/>
        <v>59</v>
      </c>
      <c r="B30" s="47" t="s">
        <v>149</v>
      </c>
      <c r="C30" s="54" t="s">
        <v>211</v>
      </c>
      <c r="D30" s="58" t="s">
        <v>232</v>
      </c>
      <c r="E30" s="9">
        <v>48</v>
      </c>
      <c r="F30" s="9">
        <v>38</v>
      </c>
      <c r="G30" s="30"/>
      <c r="H30" s="19">
        <f t="shared" si="0"/>
        <v>86</v>
      </c>
      <c r="I30" s="19">
        <v>4</v>
      </c>
      <c r="J30" s="19" t="str">
        <f t="shared" si="1"/>
        <v>9</v>
      </c>
      <c r="K30" s="19" t="str">
        <f t="shared" si="2"/>
        <v>A+</v>
      </c>
      <c r="L30" s="19">
        <f t="shared" si="3"/>
        <v>36</v>
      </c>
      <c r="M30" s="19"/>
      <c r="N30" s="9">
        <v>44</v>
      </c>
      <c r="O30" s="9">
        <v>42</v>
      </c>
      <c r="P30" s="30"/>
      <c r="Q30" s="19">
        <f t="shared" si="4"/>
        <v>86</v>
      </c>
      <c r="R30" s="19">
        <v>4</v>
      </c>
      <c r="S30" s="19" t="str">
        <f t="shared" si="5"/>
        <v>9</v>
      </c>
      <c r="T30" s="19" t="str">
        <f t="shared" si="6"/>
        <v>A+</v>
      </c>
      <c r="U30" s="19">
        <f t="shared" si="7"/>
        <v>36</v>
      </c>
      <c r="V30" s="19"/>
      <c r="W30" s="9">
        <v>41</v>
      </c>
      <c r="X30" s="9">
        <v>42</v>
      </c>
      <c r="Y30" s="19"/>
      <c r="Z30" s="19">
        <f t="shared" si="8"/>
        <v>83</v>
      </c>
      <c r="AA30" s="19">
        <v>3</v>
      </c>
      <c r="AB30" s="19" t="str">
        <f t="shared" si="9"/>
        <v>9</v>
      </c>
      <c r="AC30" s="19" t="str">
        <f t="shared" si="10"/>
        <v>A+</v>
      </c>
      <c r="AD30" s="19">
        <f t="shared" si="11"/>
        <v>27</v>
      </c>
      <c r="AE30" s="19"/>
      <c r="AF30" s="56">
        <v>48</v>
      </c>
      <c r="AG30" s="56">
        <v>39</v>
      </c>
      <c r="AH30" s="30"/>
      <c r="AI30" s="19">
        <f t="shared" si="12"/>
        <v>87</v>
      </c>
      <c r="AJ30" s="19">
        <v>3</v>
      </c>
      <c r="AK30" s="19" t="str">
        <f t="shared" si="13"/>
        <v>9</v>
      </c>
      <c r="AL30" s="19" t="str">
        <f t="shared" si="14"/>
        <v>A+</v>
      </c>
      <c r="AM30" s="19">
        <f t="shared" si="15"/>
        <v>27</v>
      </c>
      <c r="AN30" s="19"/>
      <c r="AO30" s="56">
        <v>42</v>
      </c>
      <c r="AP30" s="56">
        <v>33</v>
      </c>
      <c r="AQ30" s="30"/>
      <c r="AR30" s="19">
        <f t="shared" si="16"/>
        <v>75</v>
      </c>
      <c r="AS30" s="19">
        <v>3</v>
      </c>
      <c r="AT30" s="19" t="str">
        <f t="shared" si="17"/>
        <v>8</v>
      </c>
      <c r="AU30" s="19" t="str">
        <f t="shared" si="18"/>
        <v>A</v>
      </c>
      <c r="AV30" s="19">
        <f t="shared" si="19"/>
        <v>24</v>
      </c>
      <c r="AW30" s="19"/>
      <c r="AX30" s="9">
        <v>46</v>
      </c>
      <c r="AY30" s="9">
        <v>35</v>
      </c>
      <c r="AZ30" s="30"/>
      <c r="BA30" s="19">
        <f t="shared" si="20"/>
        <v>81</v>
      </c>
      <c r="BB30" s="19">
        <v>1</v>
      </c>
      <c r="BC30" s="19" t="str">
        <f t="shared" si="21"/>
        <v>9</v>
      </c>
      <c r="BD30" s="19" t="str">
        <f t="shared" si="22"/>
        <v>A+</v>
      </c>
      <c r="BE30" s="19">
        <f t="shared" si="23"/>
        <v>9</v>
      </c>
      <c r="BF30" s="53" t="s">
        <v>92</v>
      </c>
      <c r="BG30" s="9">
        <v>45</v>
      </c>
      <c r="BH30" s="9">
        <v>38</v>
      </c>
      <c r="BI30" s="30"/>
      <c r="BJ30" s="19">
        <f t="shared" si="24"/>
        <v>83</v>
      </c>
      <c r="BK30" s="19">
        <v>1</v>
      </c>
      <c r="BL30" s="19" t="str">
        <f t="shared" si="25"/>
        <v>9</v>
      </c>
      <c r="BM30" s="19" t="str">
        <f t="shared" si="26"/>
        <v>A+</v>
      </c>
      <c r="BN30" s="19">
        <f t="shared" si="27"/>
        <v>9</v>
      </c>
      <c r="BO30" s="19"/>
      <c r="BP30" s="9">
        <v>48</v>
      </c>
      <c r="BQ30" s="9">
        <v>41</v>
      </c>
      <c r="BR30" s="30"/>
      <c r="BS30" s="19">
        <f t="shared" si="28"/>
        <v>89</v>
      </c>
      <c r="BT30" s="19">
        <v>1</v>
      </c>
      <c r="BU30" s="19" t="str">
        <f t="shared" si="29"/>
        <v>9</v>
      </c>
      <c r="BV30" s="19" t="str">
        <f t="shared" si="30"/>
        <v>A+</v>
      </c>
      <c r="BW30" s="19">
        <f t="shared" si="31"/>
        <v>9</v>
      </c>
      <c r="BX30" s="19"/>
      <c r="BY30" s="19"/>
      <c r="BZ30" s="19">
        <f t="shared" si="32"/>
        <v>177</v>
      </c>
      <c r="CA30" s="20">
        <f t="shared" si="33"/>
        <v>8.85</v>
      </c>
      <c r="CB30" s="35" t="str">
        <f t="shared" si="34"/>
        <v>A+</v>
      </c>
      <c r="CC30" s="31">
        <f t="shared" si="35"/>
        <v>84.075000000000003</v>
      </c>
      <c r="CD30" s="34"/>
      <c r="CE30" s="35">
        <f t="shared" si="36"/>
        <v>670</v>
      </c>
      <c r="CF30" s="35">
        <f t="shared" si="37"/>
        <v>83.75</v>
      </c>
      <c r="CG30" s="31"/>
      <c r="CH30" s="31"/>
      <c r="CI30" s="31" t="str">
        <f t="shared" si="38"/>
        <v>FCD</v>
      </c>
    </row>
    <row r="31" spans="1:89" ht="15.75" x14ac:dyDescent="0.25">
      <c r="A31" s="44">
        <f t="shared" si="40"/>
        <v>60</v>
      </c>
      <c r="B31" s="47" t="s">
        <v>138</v>
      </c>
      <c r="C31" s="54" t="s">
        <v>200</v>
      </c>
      <c r="D31" s="58" t="s">
        <v>232</v>
      </c>
      <c r="E31" s="9">
        <v>50</v>
      </c>
      <c r="F31" s="9">
        <v>45</v>
      </c>
      <c r="G31" s="30"/>
      <c r="H31" s="19">
        <f t="shared" si="0"/>
        <v>95</v>
      </c>
      <c r="I31" s="19">
        <v>4</v>
      </c>
      <c r="J31" s="19" t="str">
        <f t="shared" si="1"/>
        <v>10</v>
      </c>
      <c r="K31" s="19" t="str">
        <f t="shared" si="2"/>
        <v>O</v>
      </c>
      <c r="L31" s="19">
        <f t="shared" si="3"/>
        <v>40</v>
      </c>
      <c r="M31" s="19"/>
      <c r="N31" s="9">
        <v>41</v>
      </c>
      <c r="O31" s="9">
        <v>39</v>
      </c>
      <c r="P31" s="30"/>
      <c r="Q31" s="19">
        <f t="shared" si="4"/>
        <v>80</v>
      </c>
      <c r="R31" s="19">
        <v>4</v>
      </c>
      <c r="S31" s="19" t="str">
        <f t="shared" si="5"/>
        <v>9</v>
      </c>
      <c r="T31" s="19" t="str">
        <f t="shared" si="6"/>
        <v>A+</v>
      </c>
      <c r="U31" s="19">
        <f t="shared" si="7"/>
        <v>36</v>
      </c>
      <c r="V31" s="19"/>
      <c r="W31" s="9">
        <v>48</v>
      </c>
      <c r="X31" s="9">
        <v>39</v>
      </c>
      <c r="Y31" s="19"/>
      <c r="Z31" s="19">
        <f t="shared" si="8"/>
        <v>87</v>
      </c>
      <c r="AA31" s="19">
        <v>3</v>
      </c>
      <c r="AB31" s="19" t="str">
        <f t="shared" si="9"/>
        <v>9</v>
      </c>
      <c r="AC31" s="19" t="str">
        <f t="shared" si="10"/>
        <v>A+</v>
      </c>
      <c r="AD31" s="19">
        <f t="shared" si="11"/>
        <v>27</v>
      </c>
      <c r="AE31" s="19"/>
      <c r="AF31" s="56">
        <v>45</v>
      </c>
      <c r="AG31" s="56">
        <v>34</v>
      </c>
      <c r="AH31" s="30"/>
      <c r="AI31" s="19">
        <f t="shared" si="12"/>
        <v>79</v>
      </c>
      <c r="AJ31" s="19">
        <v>3</v>
      </c>
      <c r="AK31" s="19" t="str">
        <f t="shared" si="13"/>
        <v>8</v>
      </c>
      <c r="AL31" s="19" t="str">
        <f t="shared" si="14"/>
        <v>A</v>
      </c>
      <c r="AM31" s="19">
        <f t="shared" si="15"/>
        <v>24</v>
      </c>
      <c r="AN31" s="19"/>
      <c r="AO31" s="56">
        <v>41</v>
      </c>
      <c r="AP31" s="56">
        <v>32</v>
      </c>
      <c r="AQ31" s="30"/>
      <c r="AR31" s="19">
        <f t="shared" si="16"/>
        <v>73</v>
      </c>
      <c r="AS31" s="19">
        <v>3</v>
      </c>
      <c r="AT31" s="19" t="str">
        <f t="shared" si="17"/>
        <v>8</v>
      </c>
      <c r="AU31" s="19" t="str">
        <f t="shared" si="18"/>
        <v>A</v>
      </c>
      <c r="AV31" s="19">
        <f t="shared" si="19"/>
        <v>24</v>
      </c>
      <c r="AW31" s="19"/>
      <c r="AX31" s="9">
        <v>46</v>
      </c>
      <c r="AY31" s="9">
        <v>32</v>
      </c>
      <c r="AZ31" s="30"/>
      <c r="BA31" s="19">
        <f t="shared" si="20"/>
        <v>78</v>
      </c>
      <c r="BB31" s="19">
        <v>1</v>
      </c>
      <c r="BC31" s="19" t="str">
        <f t="shared" si="21"/>
        <v>8</v>
      </c>
      <c r="BD31" s="19" t="str">
        <f t="shared" si="22"/>
        <v>A</v>
      </c>
      <c r="BE31" s="19">
        <f t="shared" si="23"/>
        <v>8</v>
      </c>
      <c r="BF31" s="53" t="s">
        <v>97</v>
      </c>
      <c r="BG31" s="9">
        <v>44</v>
      </c>
      <c r="BH31" s="9">
        <v>44</v>
      </c>
      <c r="BI31" s="30"/>
      <c r="BJ31" s="19">
        <f t="shared" si="24"/>
        <v>88</v>
      </c>
      <c r="BK31" s="19">
        <v>1</v>
      </c>
      <c r="BL31" s="19" t="str">
        <f t="shared" si="25"/>
        <v>9</v>
      </c>
      <c r="BM31" s="19" t="str">
        <f t="shared" si="26"/>
        <v>A+</v>
      </c>
      <c r="BN31" s="19">
        <f t="shared" si="27"/>
        <v>9</v>
      </c>
      <c r="BO31" s="19"/>
      <c r="BP31" s="9">
        <v>46</v>
      </c>
      <c r="BQ31" s="9">
        <v>41</v>
      </c>
      <c r="BR31" s="30"/>
      <c r="BS31" s="19">
        <f t="shared" si="28"/>
        <v>87</v>
      </c>
      <c r="BT31" s="19">
        <v>1</v>
      </c>
      <c r="BU31" s="19" t="str">
        <f t="shared" si="29"/>
        <v>9</v>
      </c>
      <c r="BV31" s="19" t="str">
        <f t="shared" si="30"/>
        <v>A+</v>
      </c>
      <c r="BW31" s="19">
        <f t="shared" si="31"/>
        <v>9</v>
      </c>
      <c r="BX31" s="19"/>
      <c r="BY31" s="19"/>
      <c r="BZ31" s="19">
        <f t="shared" si="32"/>
        <v>177</v>
      </c>
      <c r="CA31" s="20">
        <f t="shared" si="33"/>
        <v>8.85</v>
      </c>
      <c r="CB31" s="35" t="str">
        <f t="shared" si="34"/>
        <v>A+</v>
      </c>
      <c r="CC31" s="31">
        <f t="shared" si="35"/>
        <v>84.075000000000003</v>
      </c>
      <c r="CD31" s="31"/>
      <c r="CE31" s="35">
        <f t="shared" si="36"/>
        <v>667</v>
      </c>
      <c r="CF31" s="35">
        <f t="shared" si="37"/>
        <v>83.375</v>
      </c>
      <c r="CG31" s="31"/>
      <c r="CH31" s="31"/>
      <c r="CI31" s="31" t="str">
        <f t="shared" si="38"/>
        <v>FCD</v>
      </c>
    </row>
    <row r="32" spans="1:89" ht="15.75" x14ac:dyDescent="0.25">
      <c r="A32" s="44">
        <f t="shared" si="40"/>
        <v>61</v>
      </c>
      <c r="B32" s="47" t="s">
        <v>102</v>
      </c>
      <c r="C32" s="54" t="s">
        <v>164</v>
      </c>
      <c r="D32" s="58" t="s">
        <v>232</v>
      </c>
      <c r="E32" s="9">
        <v>45</v>
      </c>
      <c r="F32" s="9">
        <v>32</v>
      </c>
      <c r="G32" s="30"/>
      <c r="H32" s="19">
        <f t="shared" si="0"/>
        <v>77</v>
      </c>
      <c r="I32" s="19">
        <v>4</v>
      </c>
      <c r="J32" s="19" t="str">
        <f t="shared" si="1"/>
        <v>8</v>
      </c>
      <c r="K32" s="19" t="str">
        <f t="shared" si="2"/>
        <v>A</v>
      </c>
      <c r="L32" s="19">
        <f t="shared" si="3"/>
        <v>32</v>
      </c>
      <c r="M32" s="19"/>
      <c r="N32" s="9">
        <v>46</v>
      </c>
      <c r="O32" s="9">
        <v>35</v>
      </c>
      <c r="P32" s="30"/>
      <c r="Q32" s="19">
        <f t="shared" si="4"/>
        <v>81</v>
      </c>
      <c r="R32" s="19">
        <v>4</v>
      </c>
      <c r="S32" s="19" t="str">
        <f t="shared" si="5"/>
        <v>9</v>
      </c>
      <c r="T32" s="19" t="str">
        <f t="shared" si="6"/>
        <v>A+</v>
      </c>
      <c r="U32" s="19">
        <f t="shared" si="7"/>
        <v>36</v>
      </c>
      <c r="V32" s="19"/>
      <c r="W32" s="9">
        <v>47</v>
      </c>
      <c r="X32" s="9">
        <v>45</v>
      </c>
      <c r="Y32" s="19"/>
      <c r="Z32" s="19">
        <f t="shared" si="8"/>
        <v>92</v>
      </c>
      <c r="AA32" s="19">
        <v>3</v>
      </c>
      <c r="AB32" s="19" t="str">
        <f t="shared" si="9"/>
        <v>10</v>
      </c>
      <c r="AC32" s="19" t="str">
        <f t="shared" si="10"/>
        <v>O</v>
      </c>
      <c r="AD32" s="19">
        <f t="shared" si="11"/>
        <v>30</v>
      </c>
      <c r="AE32" s="19"/>
      <c r="AF32" s="56">
        <v>44</v>
      </c>
      <c r="AG32" s="56">
        <v>36</v>
      </c>
      <c r="AH32" s="30"/>
      <c r="AI32" s="19">
        <f t="shared" si="12"/>
        <v>80</v>
      </c>
      <c r="AJ32" s="19">
        <v>3</v>
      </c>
      <c r="AK32" s="19" t="str">
        <f t="shared" si="13"/>
        <v>9</v>
      </c>
      <c r="AL32" s="19" t="str">
        <f t="shared" si="14"/>
        <v>A+</v>
      </c>
      <c r="AM32" s="19">
        <f t="shared" si="15"/>
        <v>27</v>
      </c>
      <c r="AN32" s="19"/>
      <c r="AO32" s="56">
        <v>48</v>
      </c>
      <c r="AP32" s="56">
        <v>41</v>
      </c>
      <c r="AQ32" s="30"/>
      <c r="AR32" s="19">
        <f t="shared" si="16"/>
        <v>89</v>
      </c>
      <c r="AS32" s="19">
        <v>3</v>
      </c>
      <c r="AT32" s="19" t="str">
        <f t="shared" si="17"/>
        <v>9</v>
      </c>
      <c r="AU32" s="19" t="str">
        <f t="shared" si="18"/>
        <v>A+</v>
      </c>
      <c r="AV32" s="19">
        <f t="shared" si="19"/>
        <v>27</v>
      </c>
      <c r="AW32" s="19"/>
      <c r="AX32" s="9">
        <v>43</v>
      </c>
      <c r="AY32" s="9">
        <v>27</v>
      </c>
      <c r="AZ32" s="30"/>
      <c r="BA32" s="19">
        <f t="shared" si="20"/>
        <v>70</v>
      </c>
      <c r="BB32" s="19">
        <v>1</v>
      </c>
      <c r="BC32" s="19" t="str">
        <f t="shared" si="21"/>
        <v>8</v>
      </c>
      <c r="BD32" s="19" t="str">
        <f t="shared" si="22"/>
        <v>A</v>
      </c>
      <c r="BE32" s="19">
        <f t="shared" si="23"/>
        <v>8</v>
      </c>
      <c r="BF32" s="53" t="s">
        <v>92</v>
      </c>
      <c r="BG32" s="9">
        <v>41</v>
      </c>
      <c r="BH32" s="9">
        <v>35</v>
      </c>
      <c r="BI32" s="30"/>
      <c r="BJ32" s="19">
        <f t="shared" si="24"/>
        <v>76</v>
      </c>
      <c r="BK32" s="19">
        <v>1</v>
      </c>
      <c r="BL32" s="19" t="str">
        <f t="shared" si="25"/>
        <v>8</v>
      </c>
      <c r="BM32" s="19" t="str">
        <f t="shared" si="26"/>
        <v>A</v>
      </c>
      <c r="BN32" s="19">
        <f t="shared" si="27"/>
        <v>8</v>
      </c>
      <c r="BO32" s="19"/>
      <c r="BP32" s="9">
        <v>44</v>
      </c>
      <c r="BQ32" s="9">
        <v>37</v>
      </c>
      <c r="BR32" s="30"/>
      <c r="BS32" s="19">
        <f t="shared" si="28"/>
        <v>81</v>
      </c>
      <c r="BT32" s="19">
        <v>1</v>
      </c>
      <c r="BU32" s="19" t="str">
        <f t="shared" si="29"/>
        <v>9</v>
      </c>
      <c r="BV32" s="19" t="str">
        <f t="shared" si="30"/>
        <v>A+</v>
      </c>
      <c r="BW32" s="19">
        <f t="shared" si="31"/>
        <v>9</v>
      </c>
      <c r="BX32" s="19"/>
      <c r="BY32" s="19"/>
      <c r="BZ32" s="19">
        <f t="shared" si="32"/>
        <v>177</v>
      </c>
      <c r="CA32" s="20">
        <f t="shared" si="33"/>
        <v>8.85</v>
      </c>
      <c r="CB32" s="35" t="str">
        <f t="shared" si="34"/>
        <v>A+</v>
      </c>
      <c r="CC32" s="31">
        <f t="shared" si="35"/>
        <v>84.075000000000003</v>
      </c>
      <c r="CD32" s="31"/>
      <c r="CE32" s="35">
        <f t="shared" si="36"/>
        <v>646</v>
      </c>
      <c r="CF32" s="35">
        <f t="shared" si="37"/>
        <v>80.75</v>
      </c>
      <c r="CG32" s="31"/>
      <c r="CH32" s="31"/>
      <c r="CI32" s="31" t="str">
        <f t="shared" si="38"/>
        <v>FCD</v>
      </c>
    </row>
    <row r="33" spans="1:87" ht="15.75" x14ac:dyDescent="0.25">
      <c r="A33" s="44">
        <f t="shared" si="40"/>
        <v>62</v>
      </c>
      <c r="B33" s="47" t="s">
        <v>150</v>
      </c>
      <c r="C33" s="54" t="s">
        <v>212</v>
      </c>
      <c r="D33" s="58" t="s">
        <v>232</v>
      </c>
      <c r="E33" s="9">
        <v>49</v>
      </c>
      <c r="F33" s="9">
        <v>28</v>
      </c>
      <c r="G33" s="30"/>
      <c r="H33" s="19">
        <f t="shared" si="0"/>
        <v>77</v>
      </c>
      <c r="I33" s="19">
        <v>4</v>
      </c>
      <c r="J33" s="19" t="str">
        <f t="shared" si="1"/>
        <v>8</v>
      </c>
      <c r="K33" s="19" t="str">
        <f t="shared" si="2"/>
        <v>A</v>
      </c>
      <c r="L33" s="19">
        <f t="shared" si="3"/>
        <v>32</v>
      </c>
      <c r="M33" s="19"/>
      <c r="N33" s="9">
        <v>47</v>
      </c>
      <c r="O33" s="9">
        <v>34</v>
      </c>
      <c r="P33" s="30"/>
      <c r="Q33" s="19">
        <f t="shared" si="4"/>
        <v>81</v>
      </c>
      <c r="R33" s="19">
        <v>4</v>
      </c>
      <c r="S33" s="19" t="str">
        <f t="shared" si="5"/>
        <v>9</v>
      </c>
      <c r="T33" s="19" t="str">
        <f t="shared" si="6"/>
        <v>A+</v>
      </c>
      <c r="U33" s="19">
        <f t="shared" si="7"/>
        <v>36</v>
      </c>
      <c r="V33" s="19"/>
      <c r="W33" s="9">
        <v>47</v>
      </c>
      <c r="X33" s="9">
        <v>45</v>
      </c>
      <c r="Y33" s="19"/>
      <c r="Z33" s="19">
        <f t="shared" si="8"/>
        <v>92</v>
      </c>
      <c r="AA33" s="19">
        <v>3</v>
      </c>
      <c r="AB33" s="19" t="str">
        <f t="shared" si="9"/>
        <v>10</v>
      </c>
      <c r="AC33" s="19" t="str">
        <f t="shared" si="10"/>
        <v>O</v>
      </c>
      <c r="AD33" s="19">
        <f t="shared" si="11"/>
        <v>30</v>
      </c>
      <c r="AE33" s="19"/>
      <c r="AF33" s="56">
        <v>41</v>
      </c>
      <c r="AG33" s="56">
        <v>33</v>
      </c>
      <c r="AH33" s="30"/>
      <c r="AI33" s="19">
        <f t="shared" si="12"/>
        <v>74</v>
      </c>
      <c r="AJ33" s="19">
        <v>3</v>
      </c>
      <c r="AK33" s="19" t="str">
        <f t="shared" si="13"/>
        <v>8</v>
      </c>
      <c r="AL33" s="19" t="str">
        <f t="shared" si="14"/>
        <v>A</v>
      </c>
      <c r="AM33" s="19">
        <f t="shared" si="15"/>
        <v>24</v>
      </c>
      <c r="AN33" s="19"/>
      <c r="AO33" s="56">
        <v>49</v>
      </c>
      <c r="AP33" s="56">
        <v>39</v>
      </c>
      <c r="AQ33" s="30"/>
      <c r="AR33" s="19">
        <f t="shared" si="16"/>
        <v>88</v>
      </c>
      <c r="AS33" s="19">
        <v>3</v>
      </c>
      <c r="AT33" s="19" t="str">
        <f t="shared" si="17"/>
        <v>9</v>
      </c>
      <c r="AU33" s="19" t="str">
        <f t="shared" si="18"/>
        <v>A+</v>
      </c>
      <c r="AV33" s="19">
        <f t="shared" si="19"/>
        <v>27</v>
      </c>
      <c r="AW33" s="19"/>
      <c r="AX33" s="9">
        <v>45</v>
      </c>
      <c r="AY33" s="9">
        <v>33</v>
      </c>
      <c r="AZ33" s="30"/>
      <c r="BA33" s="19">
        <f t="shared" si="20"/>
        <v>78</v>
      </c>
      <c r="BB33" s="19">
        <v>1</v>
      </c>
      <c r="BC33" s="19" t="str">
        <f t="shared" si="21"/>
        <v>8</v>
      </c>
      <c r="BD33" s="19" t="str">
        <f t="shared" si="22"/>
        <v>A</v>
      </c>
      <c r="BE33" s="19">
        <f t="shared" si="23"/>
        <v>8</v>
      </c>
      <c r="BF33" s="53" t="s">
        <v>97</v>
      </c>
      <c r="BG33" s="9">
        <v>49</v>
      </c>
      <c r="BH33" s="9">
        <v>50</v>
      </c>
      <c r="BI33" s="30"/>
      <c r="BJ33" s="19">
        <f t="shared" si="24"/>
        <v>99</v>
      </c>
      <c r="BK33" s="19">
        <v>1</v>
      </c>
      <c r="BL33" s="19" t="str">
        <f t="shared" si="25"/>
        <v>10</v>
      </c>
      <c r="BM33" s="19" t="str">
        <f t="shared" si="26"/>
        <v>O</v>
      </c>
      <c r="BN33" s="19">
        <f t="shared" si="27"/>
        <v>10</v>
      </c>
      <c r="BO33" s="19"/>
      <c r="BP33" s="9">
        <v>48</v>
      </c>
      <c r="BQ33" s="9">
        <v>40</v>
      </c>
      <c r="BR33" s="30"/>
      <c r="BS33" s="19">
        <f t="shared" si="28"/>
        <v>88</v>
      </c>
      <c r="BT33" s="19">
        <v>1</v>
      </c>
      <c r="BU33" s="19" t="str">
        <f t="shared" si="29"/>
        <v>9</v>
      </c>
      <c r="BV33" s="19" t="str">
        <f t="shared" si="30"/>
        <v>A+</v>
      </c>
      <c r="BW33" s="19">
        <f t="shared" si="31"/>
        <v>9</v>
      </c>
      <c r="BX33" s="19"/>
      <c r="BY33" s="19"/>
      <c r="BZ33" s="19">
        <f t="shared" si="32"/>
        <v>176</v>
      </c>
      <c r="CA33" s="20">
        <f t="shared" si="33"/>
        <v>8.8000000000000007</v>
      </c>
      <c r="CB33" s="35" t="str">
        <f t="shared" si="34"/>
        <v>A+</v>
      </c>
      <c r="CC33" s="31">
        <f t="shared" si="35"/>
        <v>83.600000000000009</v>
      </c>
      <c r="CD33" s="34"/>
      <c r="CE33" s="35">
        <f t="shared" si="36"/>
        <v>677</v>
      </c>
      <c r="CF33" s="35">
        <f t="shared" si="37"/>
        <v>84.625</v>
      </c>
      <c r="CG33" s="31"/>
      <c r="CH33" s="31"/>
      <c r="CI33" s="31" t="str">
        <f t="shared" si="38"/>
        <v>FCD</v>
      </c>
    </row>
    <row r="34" spans="1:87" ht="15.75" x14ac:dyDescent="0.25">
      <c r="A34" s="44">
        <f t="shared" si="40"/>
        <v>63</v>
      </c>
      <c r="B34" s="47" t="s">
        <v>130</v>
      </c>
      <c r="C34" s="54" t="s">
        <v>192</v>
      </c>
      <c r="D34" s="58" t="s">
        <v>232</v>
      </c>
      <c r="E34" s="9">
        <v>45</v>
      </c>
      <c r="F34" s="9">
        <v>39</v>
      </c>
      <c r="G34" s="30"/>
      <c r="H34" s="19">
        <f t="shared" si="0"/>
        <v>84</v>
      </c>
      <c r="I34" s="19">
        <v>4</v>
      </c>
      <c r="J34" s="19" t="str">
        <f t="shared" si="1"/>
        <v>9</v>
      </c>
      <c r="K34" s="19" t="str">
        <f t="shared" si="2"/>
        <v>A+</v>
      </c>
      <c r="L34" s="19">
        <f t="shared" si="3"/>
        <v>36</v>
      </c>
      <c r="M34" s="19"/>
      <c r="N34" s="9">
        <v>47</v>
      </c>
      <c r="O34" s="9">
        <v>39</v>
      </c>
      <c r="P34" s="30"/>
      <c r="Q34" s="19">
        <f t="shared" si="4"/>
        <v>86</v>
      </c>
      <c r="R34" s="19">
        <v>4</v>
      </c>
      <c r="S34" s="19" t="str">
        <f t="shared" si="5"/>
        <v>9</v>
      </c>
      <c r="T34" s="19" t="str">
        <f t="shared" si="6"/>
        <v>A+</v>
      </c>
      <c r="U34" s="19">
        <f t="shared" si="7"/>
        <v>36</v>
      </c>
      <c r="V34" s="19"/>
      <c r="W34" s="9">
        <v>47</v>
      </c>
      <c r="X34" s="9">
        <v>30</v>
      </c>
      <c r="Y34" s="19"/>
      <c r="Z34" s="19">
        <f t="shared" si="8"/>
        <v>77</v>
      </c>
      <c r="AA34" s="19">
        <v>3</v>
      </c>
      <c r="AB34" s="19" t="str">
        <f t="shared" si="9"/>
        <v>8</v>
      </c>
      <c r="AC34" s="19" t="str">
        <f t="shared" si="10"/>
        <v>A</v>
      </c>
      <c r="AD34" s="19">
        <f t="shared" si="11"/>
        <v>24</v>
      </c>
      <c r="AE34" s="19"/>
      <c r="AF34" s="56">
        <v>44</v>
      </c>
      <c r="AG34" s="56">
        <v>32</v>
      </c>
      <c r="AH34" s="30"/>
      <c r="AI34" s="19">
        <f t="shared" si="12"/>
        <v>76</v>
      </c>
      <c r="AJ34" s="19">
        <v>3</v>
      </c>
      <c r="AK34" s="19" t="str">
        <f t="shared" si="13"/>
        <v>8</v>
      </c>
      <c r="AL34" s="19" t="str">
        <f t="shared" si="14"/>
        <v>A</v>
      </c>
      <c r="AM34" s="19">
        <f t="shared" si="15"/>
        <v>24</v>
      </c>
      <c r="AN34" s="19"/>
      <c r="AO34" s="56">
        <v>49</v>
      </c>
      <c r="AP34" s="56">
        <v>33</v>
      </c>
      <c r="AQ34" s="30"/>
      <c r="AR34" s="19">
        <f t="shared" si="16"/>
        <v>82</v>
      </c>
      <c r="AS34" s="19">
        <v>3</v>
      </c>
      <c r="AT34" s="19" t="str">
        <f t="shared" si="17"/>
        <v>9</v>
      </c>
      <c r="AU34" s="19" t="str">
        <f t="shared" si="18"/>
        <v>A+</v>
      </c>
      <c r="AV34" s="19">
        <f t="shared" si="19"/>
        <v>27</v>
      </c>
      <c r="AW34" s="19"/>
      <c r="AX34" s="9">
        <v>45</v>
      </c>
      <c r="AY34" s="9">
        <v>33</v>
      </c>
      <c r="AZ34" s="30"/>
      <c r="BA34" s="19">
        <f t="shared" si="20"/>
        <v>78</v>
      </c>
      <c r="BB34" s="19">
        <v>1</v>
      </c>
      <c r="BC34" s="19" t="str">
        <f t="shared" si="21"/>
        <v>8</v>
      </c>
      <c r="BD34" s="19" t="str">
        <f t="shared" si="22"/>
        <v>A</v>
      </c>
      <c r="BE34" s="19">
        <f t="shared" si="23"/>
        <v>8</v>
      </c>
      <c r="BF34" s="53" t="s">
        <v>97</v>
      </c>
      <c r="BG34" s="9">
        <v>49</v>
      </c>
      <c r="BH34" s="9">
        <v>41</v>
      </c>
      <c r="BI34" s="30"/>
      <c r="BJ34" s="19">
        <f t="shared" si="24"/>
        <v>90</v>
      </c>
      <c r="BK34" s="19">
        <v>1</v>
      </c>
      <c r="BL34" s="19" t="str">
        <f t="shared" si="25"/>
        <v>10</v>
      </c>
      <c r="BM34" s="19" t="str">
        <f t="shared" si="26"/>
        <v>O</v>
      </c>
      <c r="BN34" s="19">
        <f t="shared" si="27"/>
        <v>10</v>
      </c>
      <c r="BO34" s="19"/>
      <c r="BP34" s="9">
        <v>49</v>
      </c>
      <c r="BQ34" s="9">
        <v>42</v>
      </c>
      <c r="BR34" s="30"/>
      <c r="BS34" s="19">
        <f t="shared" si="28"/>
        <v>91</v>
      </c>
      <c r="BT34" s="19">
        <v>1</v>
      </c>
      <c r="BU34" s="19" t="str">
        <f t="shared" si="29"/>
        <v>10</v>
      </c>
      <c r="BV34" s="19" t="str">
        <f t="shared" si="30"/>
        <v>O</v>
      </c>
      <c r="BW34" s="19">
        <f t="shared" si="31"/>
        <v>10</v>
      </c>
      <c r="BX34" s="19"/>
      <c r="BY34" s="19"/>
      <c r="BZ34" s="19">
        <f t="shared" si="32"/>
        <v>175</v>
      </c>
      <c r="CA34" s="20">
        <f t="shared" si="33"/>
        <v>8.75</v>
      </c>
      <c r="CB34" s="35" t="str">
        <f t="shared" si="34"/>
        <v>A+</v>
      </c>
      <c r="CC34" s="31">
        <f t="shared" si="35"/>
        <v>83.125</v>
      </c>
      <c r="CD34" s="31"/>
      <c r="CE34" s="35">
        <f t="shared" si="36"/>
        <v>664</v>
      </c>
      <c r="CF34" s="35">
        <f t="shared" si="37"/>
        <v>83</v>
      </c>
      <c r="CG34" s="31"/>
      <c r="CH34" s="31"/>
      <c r="CI34" s="31" t="str">
        <f t="shared" si="38"/>
        <v>FCD</v>
      </c>
    </row>
    <row r="35" spans="1:87" ht="15.75" x14ac:dyDescent="0.25">
      <c r="A35" s="44">
        <f t="shared" si="40"/>
        <v>64</v>
      </c>
      <c r="B35" s="47" t="s">
        <v>135</v>
      </c>
      <c r="C35" s="54" t="s">
        <v>197</v>
      </c>
      <c r="D35" s="58" t="s">
        <v>232</v>
      </c>
      <c r="E35" s="9">
        <v>47</v>
      </c>
      <c r="F35" s="9">
        <v>37</v>
      </c>
      <c r="G35" s="30"/>
      <c r="H35" s="19">
        <f t="shared" si="0"/>
        <v>84</v>
      </c>
      <c r="I35" s="19">
        <v>4</v>
      </c>
      <c r="J35" s="19" t="str">
        <f t="shared" si="1"/>
        <v>9</v>
      </c>
      <c r="K35" s="19" t="str">
        <f t="shared" si="2"/>
        <v>A+</v>
      </c>
      <c r="L35" s="19">
        <f t="shared" si="3"/>
        <v>36</v>
      </c>
      <c r="M35" s="19"/>
      <c r="N35" s="9">
        <v>45</v>
      </c>
      <c r="O35" s="9">
        <v>29</v>
      </c>
      <c r="P35" s="30"/>
      <c r="Q35" s="19">
        <f t="shared" si="4"/>
        <v>74</v>
      </c>
      <c r="R35" s="19">
        <v>4</v>
      </c>
      <c r="S35" s="19" t="str">
        <f t="shared" si="5"/>
        <v>8</v>
      </c>
      <c r="T35" s="19" t="str">
        <f t="shared" si="6"/>
        <v>A</v>
      </c>
      <c r="U35" s="19">
        <f t="shared" si="7"/>
        <v>32</v>
      </c>
      <c r="V35" s="19"/>
      <c r="W35" s="9">
        <v>42</v>
      </c>
      <c r="X35" s="9">
        <v>47</v>
      </c>
      <c r="Y35" s="19"/>
      <c r="Z35" s="19">
        <f t="shared" si="8"/>
        <v>89</v>
      </c>
      <c r="AA35" s="19">
        <v>3</v>
      </c>
      <c r="AB35" s="19" t="str">
        <f t="shared" si="9"/>
        <v>9</v>
      </c>
      <c r="AC35" s="19" t="str">
        <f t="shared" si="10"/>
        <v>A+</v>
      </c>
      <c r="AD35" s="19">
        <f t="shared" si="11"/>
        <v>27</v>
      </c>
      <c r="AE35" s="19"/>
      <c r="AF35" s="56">
        <v>43</v>
      </c>
      <c r="AG35" s="56">
        <v>48</v>
      </c>
      <c r="AH35" s="30"/>
      <c r="AI35" s="19">
        <f t="shared" si="12"/>
        <v>91</v>
      </c>
      <c r="AJ35" s="19">
        <v>3</v>
      </c>
      <c r="AK35" s="19" t="str">
        <f t="shared" si="13"/>
        <v>10</v>
      </c>
      <c r="AL35" s="19" t="str">
        <f t="shared" si="14"/>
        <v>O</v>
      </c>
      <c r="AM35" s="19">
        <f t="shared" si="15"/>
        <v>30</v>
      </c>
      <c r="AN35" s="19"/>
      <c r="AO35" s="56">
        <v>46</v>
      </c>
      <c r="AP35" s="56">
        <v>26</v>
      </c>
      <c r="AQ35" s="30"/>
      <c r="AR35" s="19">
        <f t="shared" si="16"/>
        <v>72</v>
      </c>
      <c r="AS35" s="19">
        <v>3</v>
      </c>
      <c r="AT35" s="19" t="str">
        <f t="shared" si="17"/>
        <v>8</v>
      </c>
      <c r="AU35" s="19" t="str">
        <f t="shared" si="18"/>
        <v>A</v>
      </c>
      <c r="AV35" s="19">
        <f t="shared" si="19"/>
        <v>24</v>
      </c>
      <c r="AW35" s="19"/>
      <c r="AX35" s="9">
        <v>47</v>
      </c>
      <c r="AY35" s="9">
        <v>28</v>
      </c>
      <c r="AZ35" s="30"/>
      <c r="BA35" s="19">
        <f t="shared" si="20"/>
        <v>75</v>
      </c>
      <c r="BB35" s="19">
        <v>1</v>
      </c>
      <c r="BC35" s="19" t="str">
        <f t="shared" si="21"/>
        <v>8</v>
      </c>
      <c r="BD35" s="19" t="str">
        <f t="shared" si="22"/>
        <v>A</v>
      </c>
      <c r="BE35" s="19">
        <f t="shared" si="23"/>
        <v>8</v>
      </c>
      <c r="BF35" s="53" t="s">
        <v>92</v>
      </c>
      <c r="BG35" s="9">
        <v>47</v>
      </c>
      <c r="BH35" s="9">
        <v>41</v>
      </c>
      <c r="BI35" s="30"/>
      <c r="BJ35" s="19">
        <f t="shared" si="24"/>
        <v>88</v>
      </c>
      <c r="BK35" s="19">
        <v>1</v>
      </c>
      <c r="BL35" s="19" t="str">
        <f t="shared" si="25"/>
        <v>9</v>
      </c>
      <c r="BM35" s="19" t="str">
        <f t="shared" si="26"/>
        <v>A+</v>
      </c>
      <c r="BN35" s="19">
        <f t="shared" si="27"/>
        <v>9</v>
      </c>
      <c r="BO35" s="19"/>
      <c r="BP35" s="9">
        <v>46</v>
      </c>
      <c r="BQ35" s="9">
        <v>43</v>
      </c>
      <c r="BR35" s="30"/>
      <c r="BS35" s="19">
        <f t="shared" si="28"/>
        <v>89</v>
      </c>
      <c r="BT35" s="19">
        <v>1</v>
      </c>
      <c r="BU35" s="19" t="str">
        <f t="shared" si="29"/>
        <v>9</v>
      </c>
      <c r="BV35" s="19" t="str">
        <f t="shared" si="30"/>
        <v>A+</v>
      </c>
      <c r="BW35" s="19">
        <f t="shared" si="31"/>
        <v>9</v>
      </c>
      <c r="BX35" s="19"/>
      <c r="BY35" s="19"/>
      <c r="BZ35" s="19">
        <f t="shared" si="32"/>
        <v>175</v>
      </c>
      <c r="CA35" s="20">
        <f t="shared" si="33"/>
        <v>8.75</v>
      </c>
      <c r="CB35" s="35" t="str">
        <f t="shared" si="34"/>
        <v>A+</v>
      </c>
      <c r="CC35" s="31">
        <f t="shared" si="35"/>
        <v>83.125</v>
      </c>
      <c r="CD35" s="31"/>
      <c r="CE35" s="35">
        <f t="shared" si="36"/>
        <v>662</v>
      </c>
      <c r="CF35" s="35">
        <f t="shared" si="37"/>
        <v>82.75</v>
      </c>
      <c r="CG35" s="31"/>
      <c r="CH35" s="31"/>
      <c r="CI35" s="31" t="str">
        <f t="shared" si="38"/>
        <v>FCD</v>
      </c>
    </row>
    <row r="36" spans="1:87" ht="15.75" x14ac:dyDescent="0.25">
      <c r="A36" s="44">
        <f t="shared" si="40"/>
        <v>65</v>
      </c>
      <c r="B36" s="47" t="s">
        <v>126</v>
      </c>
      <c r="C36" s="54" t="s">
        <v>188</v>
      </c>
      <c r="D36" s="58" t="s">
        <v>232</v>
      </c>
      <c r="E36" s="9">
        <v>46</v>
      </c>
      <c r="F36" s="9">
        <v>42</v>
      </c>
      <c r="G36" s="30"/>
      <c r="H36" s="19">
        <f t="shared" si="0"/>
        <v>88</v>
      </c>
      <c r="I36" s="19">
        <v>4</v>
      </c>
      <c r="J36" s="19" t="str">
        <f t="shared" si="1"/>
        <v>9</v>
      </c>
      <c r="K36" s="19" t="str">
        <f t="shared" si="2"/>
        <v>A+</v>
      </c>
      <c r="L36" s="19">
        <f t="shared" si="3"/>
        <v>36</v>
      </c>
      <c r="M36" s="19"/>
      <c r="N36" s="9">
        <v>44</v>
      </c>
      <c r="O36" s="9">
        <v>32</v>
      </c>
      <c r="P36" s="30"/>
      <c r="Q36" s="19">
        <f t="shared" si="4"/>
        <v>76</v>
      </c>
      <c r="R36" s="19">
        <v>4</v>
      </c>
      <c r="S36" s="19" t="str">
        <f t="shared" si="5"/>
        <v>8</v>
      </c>
      <c r="T36" s="19" t="str">
        <f t="shared" si="6"/>
        <v>A</v>
      </c>
      <c r="U36" s="19">
        <f t="shared" si="7"/>
        <v>32</v>
      </c>
      <c r="V36" s="19"/>
      <c r="W36" s="9">
        <v>48</v>
      </c>
      <c r="X36" s="9">
        <v>43</v>
      </c>
      <c r="Y36" s="19"/>
      <c r="Z36" s="19">
        <f t="shared" si="8"/>
        <v>91</v>
      </c>
      <c r="AA36" s="19">
        <v>3</v>
      </c>
      <c r="AB36" s="19" t="str">
        <f t="shared" si="9"/>
        <v>10</v>
      </c>
      <c r="AC36" s="19" t="str">
        <f t="shared" si="10"/>
        <v>O</v>
      </c>
      <c r="AD36" s="19">
        <f t="shared" si="11"/>
        <v>30</v>
      </c>
      <c r="AE36" s="19"/>
      <c r="AF36" s="56">
        <v>40</v>
      </c>
      <c r="AG36" s="56">
        <v>40</v>
      </c>
      <c r="AH36" s="30"/>
      <c r="AI36" s="19">
        <f t="shared" si="12"/>
        <v>80</v>
      </c>
      <c r="AJ36" s="19">
        <v>3</v>
      </c>
      <c r="AK36" s="19" t="str">
        <f t="shared" si="13"/>
        <v>9</v>
      </c>
      <c r="AL36" s="19" t="str">
        <f t="shared" si="14"/>
        <v>A+</v>
      </c>
      <c r="AM36" s="19">
        <f t="shared" si="15"/>
        <v>27</v>
      </c>
      <c r="AN36" s="19"/>
      <c r="AO36" s="56">
        <v>48</v>
      </c>
      <c r="AP36" s="56">
        <v>30</v>
      </c>
      <c r="AQ36" s="30"/>
      <c r="AR36" s="19">
        <f t="shared" si="16"/>
        <v>78</v>
      </c>
      <c r="AS36" s="19">
        <v>3</v>
      </c>
      <c r="AT36" s="19" t="str">
        <f t="shared" si="17"/>
        <v>8</v>
      </c>
      <c r="AU36" s="19" t="str">
        <f t="shared" si="18"/>
        <v>A</v>
      </c>
      <c r="AV36" s="19">
        <f t="shared" si="19"/>
        <v>24</v>
      </c>
      <c r="AW36" s="19"/>
      <c r="AX36" s="9">
        <v>47</v>
      </c>
      <c r="AY36" s="9">
        <v>29</v>
      </c>
      <c r="AZ36" s="30"/>
      <c r="BA36" s="19">
        <f t="shared" si="20"/>
        <v>76</v>
      </c>
      <c r="BB36" s="19">
        <v>1</v>
      </c>
      <c r="BC36" s="19" t="str">
        <f t="shared" si="21"/>
        <v>8</v>
      </c>
      <c r="BD36" s="19" t="str">
        <f t="shared" si="22"/>
        <v>A</v>
      </c>
      <c r="BE36" s="19">
        <f t="shared" si="23"/>
        <v>8</v>
      </c>
      <c r="BF36" s="53" t="s">
        <v>92</v>
      </c>
      <c r="BG36" s="9">
        <v>42</v>
      </c>
      <c r="BH36" s="9">
        <v>30</v>
      </c>
      <c r="BI36" s="30"/>
      <c r="BJ36" s="19">
        <f t="shared" si="24"/>
        <v>72</v>
      </c>
      <c r="BK36" s="19">
        <v>1</v>
      </c>
      <c r="BL36" s="19" t="str">
        <f t="shared" si="25"/>
        <v>8</v>
      </c>
      <c r="BM36" s="19" t="str">
        <f t="shared" si="26"/>
        <v>A</v>
      </c>
      <c r="BN36" s="19">
        <f t="shared" si="27"/>
        <v>8</v>
      </c>
      <c r="BO36" s="19"/>
      <c r="BP36" s="9">
        <v>46</v>
      </c>
      <c r="BQ36" s="9">
        <v>37</v>
      </c>
      <c r="BR36" s="30"/>
      <c r="BS36" s="19">
        <f t="shared" si="28"/>
        <v>83</v>
      </c>
      <c r="BT36" s="19">
        <v>1</v>
      </c>
      <c r="BU36" s="19" t="str">
        <f t="shared" si="29"/>
        <v>9</v>
      </c>
      <c r="BV36" s="19" t="str">
        <f t="shared" si="30"/>
        <v>A+</v>
      </c>
      <c r="BW36" s="19">
        <f t="shared" si="31"/>
        <v>9</v>
      </c>
      <c r="BX36" s="19"/>
      <c r="BY36" s="19"/>
      <c r="BZ36" s="19">
        <f t="shared" si="32"/>
        <v>174</v>
      </c>
      <c r="CA36" s="20">
        <f t="shared" si="33"/>
        <v>8.6999999999999993</v>
      </c>
      <c r="CB36" s="35" t="str">
        <f t="shared" si="34"/>
        <v>A+</v>
      </c>
      <c r="CC36" s="31">
        <f t="shared" si="35"/>
        <v>82.649999999999991</v>
      </c>
      <c r="CD36" s="31"/>
      <c r="CE36" s="35">
        <f t="shared" si="36"/>
        <v>644</v>
      </c>
      <c r="CF36" s="35">
        <f t="shared" si="37"/>
        <v>80.5</v>
      </c>
      <c r="CG36" s="31"/>
      <c r="CH36" s="31"/>
      <c r="CI36" s="31" t="str">
        <f t="shared" si="38"/>
        <v>FCD</v>
      </c>
    </row>
    <row r="37" spans="1:87" ht="15.75" x14ac:dyDescent="0.25">
      <c r="A37" s="44">
        <f t="shared" si="40"/>
        <v>66</v>
      </c>
      <c r="B37" s="47" t="s">
        <v>139</v>
      </c>
      <c r="C37" s="54" t="s">
        <v>201</v>
      </c>
      <c r="D37" s="58" t="s">
        <v>232</v>
      </c>
      <c r="E37" s="9">
        <v>45</v>
      </c>
      <c r="F37" s="9">
        <v>28</v>
      </c>
      <c r="G37" s="30"/>
      <c r="H37" s="19">
        <f t="shared" si="0"/>
        <v>73</v>
      </c>
      <c r="I37" s="19">
        <v>4</v>
      </c>
      <c r="J37" s="19" t="str">
        <f t="shared" si="1"/>
        <v>8</v>
      </c>
      <c r="K37" s="19" t="str">
        <f t="shared" si="2"/>
        <v>A</v>
      </c>
      <c r="L37" s="19">
        <f t="shared" si="3"/>
        <v>32</v>
      </c>
      <c r="M37" s="19"/>
      <c r="N37" s="9">
        <v>47</v>
      </c>
      <c r="O37" s="9">
        <v>31</v>
      </c>
      <c r="P37" s="30"/>
      <c r="Q37" s="19">
        <f t="shared" si="4"/>
        <v>78</v>
      </c>
      <c r="R37" s="19">
        <v>4</v>
      </c>
      <c r="S37" s="19" t="str">
        <f t="shared" si="5"/>
        <v>8</v>
      </c>
      <c r="T37" s="19" t="str">
        <f t="shared" si="6"/>
        <v>A</v>
      </c>
      <c r="U37" s="19">
        <f t="shared" si="7"/>
        <v>32</v>
      </c>
      <c r="V37" s="19"/>
      <c r="W37" s="9">
        <v>43</v>
      </c>
      <c r="X37" s="9">
        <v>48</v>
      </c>
      <c r="Y37" s="19"/>
      <c r="Z37" s="19">
        <f t="shared" si="8"/>
        <v>91</v>
      </c>
      <c r="AA37" s="19">
        <v>3</v>
      </c>
      <c r="AB37" s="19" t="str">
        <f t="shared" si="9"/>
        <v>10</v>
      </c>
      <c r="AC37" s="19" t="str">
        <f t="shared" si="10"/>
        <v>O</v>
      </c>
      <c r="AD37" s="19">
        <f t="shared" si="11"/>
        <v>30</v>
      </c>
      <c r="AE37" s="19"/>
      <c r="AF37" s="56">
        <v>43</v>
      </c>
      <c r="AG37" s="56">
        <v>38</v>
      </c>
      <c r="AH37" s="30"/>
      <c r="AI37" s="19">
        <f t="shared" si="12"/>
        <v>81</v>
      </c>
      <c r="AJ37" s="19">
        <v>3</v>
      </c>
      <c r="AK37" s="19" t="str">
        <f t="shared" si="13"/>
        <v>9</v>
      </c>
      <c r="AL37" s="19" t="str">
        <f t="shared" si="14"/>
        <v>A+</v>
      </c>
      <c r="AM37" s="19">
        <f t="shared" si="15"/>
        <v>27</v>
      </c>
      <c r="AN37" s="19"/>
      <c r="AO37" s="56">
        <v>46</v>
      </c>
      <c r="AP37" s="56">
        <v>36</v>
      </c>
      <c r="AQ37" s="30"/>
      <c r="AR37" s="19">
        <f t="shared" si="16"/>
        <v>82</v>
      </c>
      <c r="AS37" s="19">
        <v>3</v>
      </c>
      <c r="AT37" s="19" t="str">
        <f t="shared" si="17"/>
        <v>9</v>
      </c>
      <c r="AU37" s="19" t="str">
        <f t="shared" si="18"/>
        <v>A+</v>
      </c>
      <c r="AV37" s="19">
        <f t="shared" si="19"/>
        <v>27</v>
      </c>
      <c r="AW37" s="19"/>
      <c r="AX37" s="9">
        <v>45</v>
      </c>
      <c r="AY37" s="9">
        <v>30</v>
      </c>
      <c r="AZ37" s="30"/>
      <c r="BA37" s="19">
        <f t="shared" si="20"/>
        <v>75</v>
      </c>
      <c r="BB37" s="19">
        <v>1</v>
      </c>
      <c r="BC37" s="19" t="str">
        <f t="shared" si="21"/>
        <v>8</v>
      </c>
      <c r="BD37" s="19" t="str">
        <f t="shared" si="22"/>
        <v>A</v>
      </c>
      <c r="BE37" s="19">
        <f t="shared" si="23"/>
        <v>8</v>
      </c>
      <c r="BF37" s="53" t="s">
        <v>92</v>
      </c>
      <c r="BG37" s="9">
        <v>47</v>
      </c>
      <c r="BH37" s="9">
        <v>33</v>
      </c>
      <c r="BI37" s="30"/>
      <c r="BJ37" s="19">
        <f t="shared" si="24"/>
        <v>80</v>
      </c>
      <c r="BK37" s="19">
        <v>1</v>
      </c>
      <c r="BL37" s="19" t="str">
        <f t="shared" si="25"/>
        <v>9</v>
      </c>
      <c r="BM37" s="19" t="str">
        <f t="shared" si="26"/>
        <v>A+</v>
      </c>
      <c r="BN37" s="19">
        <f t="shared" si="27"/>
        <v>9</v>
      </c>
      <c r="BO37" s="19"/>
      <c r="BP37" s="9">
        <v>45</v>
      </c>
      <c r="BQ37" s="9">
        <v>38</v>
      </c>
      <c r="BR37" s="30"/>
      <c r="BS37" s="19">
        <f t="shared" si="28"/>
        <v>83</v>
      </c>
      <c r="BT37" s="19">
        <v>1</v>
      </c>
      <c r="BU37" s="19" t="str">
        <f t="shared" si="29"/>
        <v>9</v>
      </c>
      <c r="BV37" s="19" t="str">
        <f t="shared" si="30"/>
        <v>A+</v>
      </c>
      <c r="BW37" s="19">
        <f t="shared" si="31"/>
        <v>9</v>
      </c>
      <c r="BX37" s="19"/>
      <c r="BY37" s="19"/>
      <c r="BZ37" s="19">
        <f t="shared" si="32"/>
        <v>174</v>
      </c>
      <c r="CA37" s="20">
        <f t="shared" si="33"/>
        <v>8.6999999999999993</v>
      </c>
      <c r="CB37" s="35" t="str">
        <f t="shared" si="34"/>
        <v>A+</v>
      </c>
      <c r="CC37" s="31">
        <f t="shared" si="35"/>
        <v>82.649999999999991</v>
      </c>
      <c r="CD37" s="31"/>
      <c r="CE37" s="35">
        <f t="shared" si="36"/>
        <v>643</v>
      </c>
      <c r="CF37" s="35">
        <f t="shared" si="37"/>
        <v>80.375</v>
      </c>
      <c r="CG37" s="31"/>
      <c r="CH37" s="31"/>
      <c r="CI37" s="31" t="str">
        <f t="shared" si="38"/>
        <v>FCD</v>
      </c>
    </row>
    <row r="38" spans="1:87" ht="15.75" x14ac:dyDescent="0.25">
      <c r="A38" s="44">
        <f t="shared" si="40"/>
        <v>67</v>
      </c>
      <c r="B38" s="47" t="s">
        <v>104</v>
      </c>
      <c r="C38" s="54" t="s">
        <v>166</v>
      </c>
      <c r="D38" s="58" t="s">
        <v>232</v>
      </c>
      <c r="E38" s="9">
        <v>41</v>
      </c>
      <c r="F38" s="9">
        <v>29</v>
      </c>
      <c r="G38" s="30"/>
      <c r="H38" s="19">
        <f t="shared" si="0"/>
        <v>70</v>
      </c>
      <c r="I38" s="19">
        <v>4</v>
      </c>
      <c r="J38" s="19" t="str">
        <f t="shared" si="1"/>
        <v>8</v>
      </c>
      <c r="K38" s="19" t="str">
        <f t="shared" si="2"/>
        <v>A</v>
      </c>
      <c r="L38" s="19">
        <f t="shared" si="3"/>
        <v>32</v>
      </c>
      <c r="M38" s="19"/>
      <c r="N38" s="9">
        <v>45</v>
      </c>
      <c r="O38" s="9">
        <v>38</v>
      </c>
      <c r="P38" s="30"/>
      <c r="Q38" s="19">
        <f t="shared" si="4"/>
        <v>83</v>
      </c>
      <c r="R38" s="19">
        <v>4</v>
      </c>
      <c r="S38" s="19" t="str">
        <f t="shared" si="5"/>
        <v>9</v>
      </c>
      <c r="T38" s="19" t="str">
        <f t="shared" si="6"/>
        <v>A+</v>
      </c>
      <c r="U38" s="19">
        <f t="shared" si="7"/>
        <v>36</v>
      </c>
      <c r="V38" s="19"/>
      <c r="W38" s="9">
        <v>45</v>
      </c>
      <c r="X38" s="9">
        <v>46</v>
      </c>
      <c r="Y38" s="19"/>
      <c r="Z38" s="19">
        <f t="shared" si="8"/>
        <v>91</v>
      </c>
      <c r="AA38" s="19">
        <v>3</v>
      </c>
      <c r="AB38" s="19" t="str">
        <f t="shared" si="9"/>
        <v>10</v>
      </c>
      <c r="AC38" s="19" t="str">
        <f t="shared" si="10"/>
        <v>O</v>
      </c>
      <c r="AD38" s="19">
        <f t="shared" si="11"/>
        <v>30</v>
      </c>
      <c r="AE38" s="19"/>
      <c r="AF38" s="56">
        <v>40</v>
      </c>
      <c r="AG38" s="56">
        <v>42</v>
      </c>
      <c r="AH38" s="30"/>
      <c r="AI38" s="19">
        <f t="shared" si="12"/>
        <v>82</v>
      </c>
      <c r="AJ38" s="19">
        <v>3</v>
      </c>
      <c r="AK38" s="19" t="str">
        <f t="shared" si="13"/>
        <v>9</v>
      </c>
      <c r="AL38" s="19" t="str">
        <f t="shared" si="14"/>
        <v>A+</v>
      </c>
      <c r="AM38" s="19">
        <f t="shared" si="15"/>
        <v>27</v>
      </c>
      <c r="AN38" s="19"/>
      <c r="AO38" s="56">
        <v>48</v>
      </c>
      <c r="AP38" s="56">
        <v>29</v>
      </c>
      <c r="AQ38" s="30"/>
      <c r="AR38" s="19">
        <f t="shared" si="16"/>
        <v>77</v>
      </c>
      <c r="AS38" s="19">
        <v>3</v>
      </c>
      <c r="AT38" s="19" t="str">
        <f t="shared" si="17"/>
        <v>8</v>
      </c>
      <c r="AU38" s="19" t="str">
        <f t="shared" si="18"/>
        <v>A</v>
      </c>
      <c r="AV38" s="19">
        <f t="shared" si="19"/>
        <v>24</v>
      </c>
      <c r="AW38" s="19"/>
      <c r="AX38" s="9">
        <v>46</v>
      </c>
      <c r="AY38" s="9">
        <v>30</v>
      </c>
      <c r="AZ38" s="30"/>
      <c r="BA38" s="19">
        <f t="shared" si="20"/>
        <v>76</v>
      </c>
      <c r="BB38" s="19">
        <v>1</v>
      </c>
      <c r="BC38" s="19" t="str">
        <f t="shared" si="21"/>
        <v>8</v>
      </c>
      <c r="BD38" s="19" t="str">
        <f t="shared" si="22"/>
        <v>A</v>
      </c>
      <c r="BE38" s="19">
        <f t="shared" si="23"/>
        <v>8</v>
      </c>
      <c r="BF38" s="53" t="s">
        <v>92</v>
      </c>
      <c r="BG38" s="9">
        <v>44</v>
      </c>
      <c r="BH38" s="9">
        <v>32</v>
      </c>
      <c r="BI38" s="30"/>
      <c r="BJ38" s="19">
        <f t="shared" si="24"/>
        <v>76</v>
      </c>
      <c r="BK38" s="19">
        <v>1</v>
      </c>
      <c r="BL38" s="19" t="str">
        <f t="shared" si="25"/>
        <v>8</v>
      </c>
      <c r="BM38" s="19" t="str">
        <f t="shared" si="26"/>
        <v>A</v>
      </c>
      <c r="BN38" s="19">
        <f t="shared" si="27"/>
        <v>8</v>
      </c>
      <c r="BO38" s="19"/>
      <c r="BP38" s="9">
        <v>48</v>
      </c>
      <c r="BQ38" s="9">
        <v>39</v>
      </c>
      <c r="BR38" s="30"/>
      <c r="BS38" s="19">
        <f t="shared" si="28"/>
        <v>87</v>
      </c>
      <c r="BT38" s="19">
        <v>1</v>
      </c>
      <c r="BU38" s="19" t="str">
        <f t="shared" si="29"/>
        <v>9</v>
      </c>
      <c r="BV38" s="19" t="str">
        <f t="shared" si="30"/>
        <v>A+</v>
      </c>
      <c r="BW38" s="19">
        <f t="shared" si="31"/>
        <v>9</v>
      </c>
      <c r="BX38" s="19"/>
      <c r="BY38" s="19"/>
      <c r="BZ38" s="19">
        <f t="shared" si="32"/>
        <v>174</v>
      </c>
      <c r="CA38" s="20">
        <f t="shared" si="33"/>
        <v>8.6999999999999993</v>
      </c>
      <c r="CB38" s="35" t="str">
        <f t="shared" si="34"/>
        <v>A+</v>
      </c>
      <c r="CC38" s="31">
        <f t="shared" si="35"/>
        <v>82.649999999999991</v>
      </c>
      <c r="CD38" s="31"/>
      <c r="CE38" s="35">
        <f t="shared" si="36"/>
        <v>642</v>
      </c>
      <c r="CF38" s="35">
        <f t="shared" si="37"/>
        <v>80.25</v>
      </c>
      <c r="CG38" s="31"/>
      <c r="CH38" s="31"/>
      <c r="CI38" s="31" t="str">
        <f t="shared" si="38"/>
        <v>FCD</v>
      </c>
    </row>
    <row r="39" spans="1:87" ht="15.75" x14ac:dyDescent="0.25">
      <c r="A39" s="44">
        <f t="shared" si="40"/>
        <v>68</v>
      </c>
      <c r="B39" s="46" t="s">
        <v>116</v>
      </c>
      <c r="C39" s="54" t="s">
        <v>178</v>
      </c>
      <c r="D39" s="58" t="s">
        <v>232</v>
      </c>
      <c r="E39" s="43">
        <v>46</v>
      </c>
      <c r="F39" s="43">
        <v>37</v>
      </c>
      <c r="G39" s="30"/>
      <c r="H39" s="19">
        <f t="shared" si="0"/>
        <v>83</v>
      </c>
      <c r="I39" s="19">
        <v>4</v>
      </c>
      <c r="J39" s="19" t="str">
        <f t="shared" si="1"/>
        <v>9</v>
      </c>
      <c r="K39" s="19" t="str">
        <f t="shared" si="2"/>
        <v>A+</v>
      </c>
      <c r="L39" s="19">
        <f t="shared" si="3"/>
        <v>36</v>
      </c>
      <c r="M39" s="19"/>
      <c r="N39" s="43">
        <v>44</v>
      </c>
      <c r="O39" s="43">
        <v>31</v>
      </c>
      <c r="P39" s="30"/>
      <c r="Q39" s="19">
        <f t="shared" si="4"/>
        <v>75</v>
      </c>
      <c r="R39" s="19">
        <v>4</v>
      </c>
      <c r="S39" s="19" t="str">
        <f t="shared" si="5"/>
        <v>8</v>
      </c>
      <c r="T39" s="19" t="str">
        <f t="shared" si="6"/>
        <v>A</v>
      </c>
      <c r="U39" s="19">
        <f t="shared" si="7"/>
        <v>32</v>
      </c>
      <c r="V39" s="19"/>
      <c r="W39" s="43">
        <v>48</v>
      </c>
      <c r="X39" s="43">
        <v>45</v>
      </c>
      <c r="Y39" s="19"/>
      <c r="Z39" s="19">
        <f t="shared" si="8"/>
        <v>93</v>
      </c>
      <c r="AA39" s="19">
        <v>3</v>
      </c>
      <c r="AB39" s="19" t="str">
        <f t="shared" si="9"/>
        <v>10</v>
      </c>
      <c r="AC39" s="19" t="str">
        <f t="shared" si="10"/>
        <v>O</v>
      </c>
      <c r="AD39" s="19">
        <f t="shared" si="11"/>
        <v>30</v>
      </c>
      <c r="AE39" s="19"/>
      <c r="AF39" s="56">
        <v>43</v>
      </c>
      <c r="AG39" s="56">
        <v>35</v>
      </c>
      <c r="AH39" s="30"/>
      <c r="AI39" s="19">
        <f t="shared" si="12"/>
        <v>78</v>
      </c>
      <c r="AJ39" s="19">
        <v>3</v>
      </c>
      <c r="AK39" s="19" t="str">
        <f t="shared" si="13"/>
        <v>8</v>
      </c>
      <c r="AL39" s="19" t="str">
        <f t="shared" si="14"/>
        <v>A</v>
      </c>
      <c r="AM39" s="19">
        <f t="shared" si="15"/>
        <v>24</v>
      </c>
      <c r="AN39" s="19"/>
      <c r="AO39" s="56">
        <v>50</v>
      </c>
      <c r="AP39" s="57">
        <v>23</v>
      </c>
      <c r="AQ39" s="30"/>
      <c r="AR39" s="19">
        <f t="shared" si="16"/>
        <v>73</v>
      </c>
      <c r="AS39" s="19">
        <v>3</v>
      </c>
      <c r="AT39" s="19" t="str">
        <f t="shared" si="17"/>
        <v>8</v>
      </c>
      <c r="AU39" s="19" t="str">
        <f t="shared" si="18"/>
        <v>A</v>
      </c>
      <c r="AV39" s="19">
        <f t="shared" si="19"/>
        <v>24</v>
      </c>
      <c r="AW39" s="19"/>
      <c r="AX39" s="43">
        <v>45</v>
      </c>
      <c r="AY39" s="43">
        <v>32</v>
      </c>
      <c r="AZ39" s="30"/>
      <c r="BA39" s="19">
        <f t="shared" si="20"/>
        <v>77</v>
      </c>
      <c r="BB39" s="19">
        <v>1</v>
      </c>
      <c r="BC39" s="19" t="str">
        <f t="shared" si="21"/>
        <v>8</v>
      </c>
      <c r="BD39" s="19" t="str">
        <f t="shared" si="22"/>
        <v>A</v>
      </c>
      <c r="BE39" s="19">
        <f t="shared" si="23"/>
        <v>8</v>
      </c>
      <c r="BF39" s="53" t="s">
        <v>97</v>
      </c>
      <c r="BG39" s="43">
        <v>49</v>
      </c>
      <c r="BH39" s="43">
        <v>47</v>
      </c>
      <c r="BI39" s="30"/>
      <c r="BJ39" s="19">
        <f t="shared" si="24"/>
        <v>96</v>
      </c>
      <c r="BK39" s="19">
        <v>1</v>
      </c>
      <c r="BL39" s="19" t="str">
        <f t="shared" si="25"/>
        <v>10</v>
      </c>
      <c r="BM39" s="19" t="str">
        <f t="shared" si="26"/>
        <v>O</v>
      </c>
      <c r="BN39" s="19">
        <f t="shared" si="27"/>
        <v>10</v>
      </c>
      <c r="BO39" s="19"/>
      <c r="BP39" s="43">
        <v>49</v>
      </c>
      <c r="BQ39" s="43">
        <v>39</v>
      </c>
      <c r="BR39" s="30"/>
      <c r="BS39" s="19">
        <f t="shared" si="28"/>
        <v>88</v>
      </c>
      <c r="BT39" s="19">
        <v>1</v>
      </c>
      <c r="BU39" s="19" t="str">
        <f t="shared" si="29"/>
        <v>9</v>
      </c>
      <c r="BV39" s="19" t="str">
        <f t="shared" si="30"/>
        <v>A+</v>
      </c>
      <c r="BW39" s="19">
        <f t="shared" si="31"/>
        <v>9</v>
      </c>
      <c r="BX39" s="19"/>
      <c r="BY39" s="19"/>
      <c r="BZ39" s="19">
        <f t="shared" si="32"/>
        <v>173</v>
      </c>
      <c r="CA39" s="20">
        <f t="shared" si="33"/>
        <v>8.65</v>
      </c>
      <c r="CB39" s="35" t="str">
        <f t="shared" si="34"/>
        <v>A+</v>
      </c>
      <c r="CC39" s="31">
        <f t="shared" si="35"/>
        <v>82.174999999999997</v>
      </c>
      <c r="CD39" s="31"/>
      <c r="CE39" s="35">
        <f t="shared" si="36"/>
        <v>663</v>
      </c>
      <c r="CF39" s="35">
        <f t="shared" si="37"/>
        <v>82.875</v>
      </c>
      <c r="CG39" s="31"/>
      <c r="CH39" s="31"/>
      <c r="CI39" s="31" t="str">
        <f t="shared" si="38"/>
        <v>FCD</v>
      </c>
    </row>
    <row r="40" spans="1:87" ht="15.75" x14ac:dyDescent="0.25">
      <c r="A40" s="44">
        <v>60</v>
      </c>
      <c r="B40" s="46" t="s">
        <v>157</v>
      </c>
      <c r="C40" s="54" t="s">
        <v>219</v>
      </c>
      <c r="D40" s="58" t="s">
        <v>232</v>
      </c>
      <c r="E40" s="43">
        <v>48</v>
      </c>
      <c r="F40" s="43">
        <v>18</v>
      </c>
      <c r="G40" s="30"/>
      <c r="H40" s="19">
        <f t="shared" ref="H40:H70" si="41">SUM(E40:F40)</f>
        <v>66</v>
      </c>
      <c r="I40" s="19">
        <v>4</v>
      </c>
      <c r="J40" s="19" t="str">
        <f t="shared" ref="J40:J70" si="42">IF(F40&lt;=17,"0",IF(H40&lt;=39,"0",IF(H40&lt;=49,"4",IF(H40&lt;=54,"5",IF(H40&lt;=59,"6",IF(H40&lt;=69,"7",IF(H40&lt;=79,"8",IF(H40&lt;=89,"9","10"))))))))</f>
        <v>7</v>
      </c>
      <c r="K40" s="19" t="str">
        <f t="shared" ref="K40:K70" si="43">IF(F40&lt;=17,"F",IF(H40&lt;=39,"F",IF(H40&lt;=49,"P",IF(H40&lt;=54,"C",IF(H40&lt;=59,"B",IF(H40&lt;=69,"B+",IF(H40&lt;=79,"A",IF(H40&lt;=89,"A+","O"))))))))</f>
        <v>B+</v>
      </c>
      <c r="L40" s="19">
        <f t="shared" ref="L40:L70" si="44">I40*J40</f>
        <v>28</v>
      </c>
      <c r="M40" s="19"/>
      <c r="N40" s="43">
        <v>44</v>
      </c>
      <c r="O40" s="43">
        <v>45</v>
      </c>
      <c r="P40" s="30"/>
      <c r="Q40" s="19">
        <f t="shared" ref="Q40:Q70" si="45">SUM(N40:O40)</f>
        <v>89</v>
      </c>
      <c r="R40" s="19">
        <v>4</v>
      </c>
      <c r="S40" s="19" t="str">
        <f t="shared" ref="S40:S70" si="46">IF(O40&lt;=17,"0",IF(Q40&lt;=39,"4",IF(Q40&lt;=49,"4",IF(Q40&lt;=54,"5",IF(Q40&lt;=59,"6",IF(Q40&lt;=69,"7",IF(Q40&lt;=79,"8",IF(Q40&lt;=89,"9","10"))))))))</f>
        <v>9</v>
      </c>
      <c r="T40" s="19" t="str">
        <f t="shared" ref="T40:T70" si="47">IF(O40&lt;=17,"F",IF(Q40&lt;=39,"F",IF(Q40&lt;=49,"P",IF(Q40&lt;=54,"C",IF(Q40&lt;=59,"B",IF(Q40&lt;=69,"B+",IF(Q40&lt;=79,"A",IF(Q40&lt;=89,"A+","O"))))))))</f>
        <v>A+</v>
      </c>
      <c r="U40" s="19">
        <f t="shared" ref="U40:U70" si="48">R40*S40</f>
        <v>36</v>
      </c>
      <c r="V40" s="19"/>
      <c r="W40" s="43">
        <v>46</v>
      </c>
      <c r="X40" s="43">
        <v>44</v>
      </c>
      <c r="Y40" s="19"/>
      <c r="Z40" s="19">
        <f t="shared" ref="Z40:Z70" si="49">SUM(W40:X40)</f>
        <v>90</v>
      </c>
      <c r="AA40" s="19">
        <v>3</v>
      </c>
      <c r="AB40" s="19" t="str">
        <f t="shared" ref="AB40:AB70" si="50">IF(X40&lt;=17,"0",IF(Z40&lt;=39,"0",IF(Z40&lt;=49,"4",IF(Z40&lt;=54,"5",IF(Z40&lt;=59,"6",IF(Z40&lt;=69,"7",IF(Z40&lt;=79,"8",IF(Z40&lt;=89,"9","10"))))))))</f>
        <v>10</v>
      </c>
      <c r="AC40" s="19" t="str">
        <f t="shared" ref="AC40:AC70" si="51">IF(X40&lt;=17,"F",IF(Z40&lt;=39,"F",IF(Z40&lt;=49,"P",IF(Z40&lt;=54,"C",IF(Z40&lt;=59,"B",IF(Z40&lt;=69,"B+",IF(Z40&lt;=79,"A",IF(Z40&lt;=89,"A+","O"))))))))</f>
        <v>O</v>
      </c>
      <c r="AD40" s="19">
        <f t="shared" ref="AD40:AD70" si="52">AA40*AB40</f>
        <v>30</v>
      </c>
      <c r="AE40" s="19"/>
      <c r="AF40" s="56">
        <v>41</v>
      </c>
      <c r="AG40" s="56">
        <v>35</v>
      </c>
      <c r="AH40" s="30"/>
      <c r="AI40" s="19">
        <f t="shared" ref="AI40:AI70" si="53">SUM(AF40:AG40)</f>
        <v>76</v>
      </c>
      <c r="AJ40" s="19">
        <v>3</v>
      </c>
      <c r="AK40" s="19" t="str">
        <f t="shared" ref="AK40:AK70" si="54">IF(AG40&lt;=17,"0",IF(AI40&lt;=39,"0",IF(AI40&lt;=49,"4",IF(AI40&lt;=54,"5",IF(AI40&lt;=59,"6",IF(AI40&lt;=69,"7",IF(AI40&lt;=79,"8",IF(AI40&lt;=89,"9","10"))))))))</f>
        <v>8</v>
      </c>
      <c r="AL40" s="19" t="str">
        <f t="shared" ref="AL40:AL70" si="55">IF(AG40&lt;=17,"F",IF(AI40&lt;=39,"F",IF(AI40&lt;=49,"P",IF(AI40&lt;=54,"C",IF(AI40&lt;=59,"B",IF(AI40&lt;=69,"B+",IF(AI40&lt;=79,"A",IF(AI40&lt;=89,"A+","O"))))))))</f>
        <v>A</v>
      </c>
      <c r="AM40" s="19">
        <f t="shared" ref="AM40:AM70" si="56">AJ40*AK40</f>
        <v>24</v>
      </c>
      <c r="AN40" s="19"/>
      <c r="AO40" s="56">
        <v>43</v>
      </c>
      <c r="AP40" s="56">
        <v>38</v>
      </c>
      <c r="AQ40" s="30"/>
      <c r="AR40" s="19">
        <f t="shared" ref="AR40:AR70" si="57">(AO40+AP40)</f>
        <v>81</v>
      </c>
      <c r="AS40" s="19">
        <v>3</v>
      </c>
      <c r="AT40" s="19" t="str">
        <f t="shared" ref="AT40:AT70" si="58">IF(AP40&lt;=17,"0",IF(AR40&lt;=39,"0",IF(AR40&lt;=49,"4",IF(AR40&lt;=54,"5",IF(AR40&lt;=59,"6",IF(AR40&lt;=69,"7",IF(AR40&lt;=79,"8",IF(AR40&lt;=89,"9","10"))))))))</f>
        <v>9</v>
      </c>
      <c r="AU40" s="19" t="str">
        <f t="shared" ref="AU40:AU70" si="59">IF(AP40&lt;=17,"F",IF(AR40&lt;=39,"F",IF(AR40&lt;=49,"P",IF(AR40&lt;=54,"C",IF(AR40&lt;=59,"B",IF(AR40&lt;=69,"B+",IF(AR40&lt;=79,"A",IF(AR40&lt;=89,"A+","O"))))))))</f>
        <v>A+</v>
      </c>
      <c r="AV40" s="19">
        <f t="shared" ref="AV40:AV70" si="60">AS40*AT40</f>
        <v>27</v>
      </c>
      <c r="AW40" s="19"/>
      <c r="AX40" s="43">
        <v>46</v>
      </c>
      <c r="AY40" s="43">
        <v>33</v>
      </c>
      <c r="AZ40" s="30"/>
      <c r="BA40" s="19">
        <f t="shared" ref="BA40:BA70" si="61">(AX40+AY40)</f>
        <v>79</v>
      </c>
      <c r="BB40" s="19">
        <v>1</v>
      </c>
      <c r="BC40" s="19" t="str">
        <f t="shared" ref="BC40:BC70" si="62">IF(AY40&lt;=17,"0",IF(BA40&lt;=39,"0",IF(BA40&lt;=49,"4",IF(BA40&lt;=54,"5",IF(BA40&lt;=59,"6",IF(BA40&lt;=69,"7",IF(BA40&lt;=79,"8",IF(BA40&lt;=89,"9","10"))))))))</f>
        <v>8</v>
      </c>
      <c r="BD40" s="19" t="str">
        <f t="shared" ref="BD40:BD70" si="63">IF(AY40&lt;=17,"F",IF(BA40&lt;=39,"F",IF(BA40&lt;=49,"P",IF(BA40&lt;=54,"C",IF(BA40&lt;=59,"B",IF(BA40&lt;=69,"B+",IF(BA40&lt;=79,"A",IF(BA40&lt;=89,"A+","O"))))))))</f>
        <v>A</v>
      </c>
      <c r="BE40" s="19">
        <f t="shared" ref="BE40:BE70" si="64">BB40*BC40</f>
        <v>8</v>
      </c>
      <c r="BF40" s="53" t="s">
        <v>92</v>
      </c>
      <c r="BG40" s="43">
        <v>45</v>
      </c>
      <c r="BH40" s="43">
        <v>37</v>
      </c>
      <c r="BI40" s="30"/>
      <c r="BJ40" s="19">
        <f t="shared" ref="BJ40:BJ70" si="65">(BG40+BH40)</f>
        <v>82</v>
      </c>
      <c r="BK40" s="19">
        <v>1</v>
      </c>
      <c r="BL40" s="19" t="str">
        <f t="shared" ref="BL40:BL70" si="66">IF(BH40&lt;=17,"0",IF(BJ40&lt;=39,"0",IF(BJ40&lt;=49,"4",IF(BJ40&lt;=54,"5",IF(BJ40&lt;=59,"6",IF(BJ40&lt;=69,"7",IF(BJ40&lt;=79,"8",IF(BJ40&lt;=89,"9","10"))))))))</f>
        <v>9</v>
      </c>
      <c r="BM40" s="19" t="str">
        <f t="shared" ref="BM40:BM70" si="67">IF(BH40&lt;=17,"F",IF(BJ40&lt;=39,"F",IF(BJ40&lt;=49,"P",IF(BJ40&lt;=54,"C",IF(BJ40&lt;=59,"B",IF(BJ40&lt;=69,"B+",IF(BJ40&lt;=79,"A",IF(BJ40&lt;=89,"A+","O"))))))))</f>
        <v>A+</v>
      </c>
      <c r="BN40" s="19">
        <f t="shared" ref="BN40:BN70" si="68">BK40*BL40</f>
        <v>9</v>
      </c>
      <c r="BO40" s="19"/>
      <c r="BP40" s="43">
        <v>41</v>
      </c>
      <c r="BQ40" s="43">
        <v>41</v>
      </c>
      <c r="BR40" s="30"/>
      <c r="BS40" s="19">
        <f t="shared" ref="BS40:BS70" si="69">(BP40+BQ40)</f>
        <v>82</v>
      </c>
      <c r="BT40" s="19">
        <v>1</v>
      </c>
      <c r="BU40" s="19" t="str">
        <f t="shared" ref="BU40:BU70" si="70">IF(BQ40&lt;=17,"0",IF(BS40&lt;=39,"0",IF(BS40&lt;=49,"4",IF(BS40&lt;=54,"5",IF(BS40&lt;=59,"6",IF(BS40&lt;=69,"7",IF(BS40&lt;=79,"8",IF(BS40&lt;=89,"9","10"))))))))</f>
        <v>9</v>
      </c>
      <c r="BV40" s="19" t="str">
        <f t="shared" ref="BV40:BV70" si="71">IF(BQ40&lt;=17,"F",IF(BS40&lt;=39,"F",IF(BS40&lt;=49,"P",IF(BS40&lt;=54,"C",IF(BS40&lt;=59,"B",IF(BS40&lt;=69,"B+",IF(BS40&lt;=79,"A",IF(BS40&lt;=89,"A+","O"))))))))</f>
        <v>A+</v>
      </c>
      <c r="BW40" s="19">
        <f t="shared" ref="BW40:BW70" si="72">BT40*BU40</f>
        <v>9</v>
      </c>
      <c r="BX40" s="19"/>
      <c r="BY40" s="19"/>
      <c r="BZ40" s="19">
        <f t="shared" ref="BZ40:BZ70" si="73">L40+U40+AD40+AM40+AV40+BE40+BN40+BW40</f>
        <v>171</v>
      </c>
      <c r="CA40" s="20">
        <f t="shared" ref="CA40:CA70" si="74">BZ40/20</f>
        <v>8.5500000000000007</v>
      </c>
      <c r="CB40" s="35" t="str">
        <f t="shared" ref="CB40:CB70" si="75">IF(CA40&lt;4,"F",IF(BV40="F","F",IF(BM40="F","F",IF(BD40="F","F",IF(AU40="F","F",IF(AL40="F","F",IF(AC40="F","F",IF(T40="F","F",IF(K40="F","F",IF(CA40&lt;=5,"C",IF(CA40&lt;6,"B",IF(CA40&lt;7,"B+",IF(CA40&lt;8,"A",IF(CA40&lt;=9,"A+","O"))))))))))))))</f>
        <v>A+</v>
      </c>
      <c r="CC40" s="31">
        <f t="shared" ref="CC40:CC70" si="76">CA40*9.5</f>
        <v>81.225000000000009</v>
      </c>
      <c r="CD40" s="34"/>
      <c r="CE40" s="35">
        <f t="shared" ref="CE40:CE70" si="77">SUM(BS40,BJ40,BA40,AR40,AI40,Z40,Q40,H40)</f>
        <v>645</v>
      </c>
      <c r="CF40" s="35">
        <f t="shared" ref="CF40:CF70" si="78">(CE40/800)*100</f>
        <v>80.625</v>
      </c>
      <c r="CG40" s="31"/>
      <c r="CH40" s="31"/>
      <c r="CI40" s="31" t="str">
        <f t="shared" ref="CI40:CI68" si="79">IF(CA40&lt;=4,"F",IF(CA40&lt;=6,"PASS",IF(CA40&lt;=6.5,"SC",IF(CA40&lt;=7.5,"FC",IF(CA40&lt;="10","FCD")))))</f>
        <v>FCD</v>
      </c>
    </row>
    <row r="41" spans="1:87" ht="15.75" x14ac:dyDescent="0.25">
      <c r="A41" s="44">
        <f>A40+1</f>
        <v>61</v>
      </c>
      <c r="B41" s="47" t="s">
        <v>129</v>
      </c>
      <c r="C41" s="54" t="s">
        <v>191</v>
      </c>
      <c r="D41" s="58" t="s">
        <v>232</v>
      </c>
      <c r="E41" s="9">
        <v>49</v>
      </c>
      <c r="F41" s="9">
        <v>48</v>
      </c>
      <c r="G41" s="30"/>
      <c r="H41" s="19">
        <f t="shared" si="41"/>
        <v>97</v>
      </c>
      <c r="I41" s="19">
        <v>4</v>
      </c>
      <c r="J41" s="19" t="str">
        <f t="shared" si="42"/>
        <v>10</v>
      </c>
      <c r="K41" s="19" t="str">
        <f t="shared" si="43"/>
        <v>O</v>
      </c>
      <c r="L41" s="19">
        <f t="shared" si="44"/>
        <v>40</v>
      </c>
      <c r="M41" s="19"/>
      <c r="N41" s="9">
        <v>45</v>
      </c>
      <c r="O41" s="9">
        <v>29</v>
      </c>
      <c r="P41" s="30"/>
      <c r="Q41" s="19">
        <f t="shared" si="45"/>
        <v>74</v>
      </c>
      <c r="R41" s="19">
        <v>4</v>
      </c>
      <c r="S41" s="19" t="str">
        <f t="shared" si="46"/>
        <v>8</v>
      </c>
      <c r="T41" s="19" t="str">
        <f t="shared" si="47"/>
        <v>A</v>
      </c>
      <c r="U41" s="19">
        <f t="shared" si="48"/>
        <v>32</v>
      </c>
      <c r="V41" s="19"/>
      <c r="W41" s="9">
        <v>47</v>
      </c>
      <c r="X41" s="9">
        <v>49</v>
      </c>
      <c r="Y41" s="19"/>
      <c r="Z41" s="19">
        <f t="shared" si="49"/>
        <v>96</v>
      </c>
      <c r="AA41" s="19">
        <v>3</v>
      </c>
      <c r="AB41" s="19" t="str">
        <f t="shared" si="50"/>
        <v>10</v>
      </c>
      <c r="AC41" s="19" t="str">
        <f t="shared" si="51"/>
        <v>O</v>
      </c>
      <c r="AD41" s="19">
        <f t="shared" si="52"/>
        <v>30</v>
      </c>
      <c r="AE41" s="19"/>
      <c r="AF41" s="56">
        <v>40</v>
      </c>
      <c r="AG41" s="56">
        <v>27</v>
      </c>
      <c r="AH41" s="30"/>
      <c r="AI41" s="19">
        <f t="shared" si="53"/>
        <v>67</v>
      </c>
      <c r="AJ41" s="19">
        <v>3</v>
      </c>
      <c r="AK41" s="19" t="str">
        <f t="shared" si="54"/>
        <v>7</v>
      </c>
      <c r="AL41" s="19" t="str">
        <f t="shared" si="55"/>
        <v>B+</v>
      </c>
      <c r="AM41" s="19">
        <f t="shared" si="56"/>
        <v>21</v>
      </c>
      <c r="AN41" s="19"/>
      <c r="AO41" s="56">
        <v>43</v>
      </c>
      <c r="AP41" s="56">
        <v>23</v>
      </c>
      <c r="AQ41" s="30"/>
      <c r="AR41" s="19">
        <f t="shared" si="57"/>
        <v>66</v>
      </c>
      <c r="AS41" s="19">
        <v>3</v>
      </c>
      <c r="AT41" s="19" t="str">
        <f t="shared" si="58"/>
        <v>7</v>
      </c>
      <c r="AU41" s="19" t="str">
        <f t="shared" si="59"/>
        <v>B+</v>
      </c>
      <c r="AV41" s="19">
        <f t="shared" si="60"/>
        <v>21</v>
      </c>
      <c r="AW41" s="19"/>
      <c r="AX41" s="9">
        <v>45</v>
      </c>
      <c r="AY41" s="9">
        <v>30</v>
      </c>
      <c r="AZ41" s="30"/>
      <c r="BA41" s="19">
        <f t="shared" si="61"/>
        <v>75</v>
      </c>
      <c r="BB41" s="19">
        <v>1</v>
      </c>
      <c r="BC41" s="19" t="str">
        <f t="shared" si="62"/>
        <v>8</v>
      </c>
      <c r="BD41" s="19" t="str">
        <f t="shared" si="63"/>
        <v>A</v>
      </c>
      <c r="BE41" s="19">
        <f t="shared" si="64"/>
        <v>8</v>
      </c>
      <c r="BF41" s="53" t="s">
        <v>92</v>
      </c>
      <c r="BG41" s="9">
        <v>44</v>
      </c>
      <c r="BH41" s="9">
        <v>36</v>
      </c>
      <c r="BI41" s="30"/>
      <c r="BJ41" s="19">
        <f t="shared" si="65"/>
        <v>80</v>
      </c>
      <c r="BK41" s="19">
        <v>1</v>
      </c>
      <c r="BL41" s="19" t="str">
        <f t="shared" si="66"/>
        <v>9</v>
      </c>
      <c r="BM41" s="19" t="str">
        <f t="shared" si="67"/>
        <v>A+</v>
      </c>
      <c r="BN41" s="19">
        <f t="shared" si="68"/>
        <v>9</v>
      </c>
      <c r="BO41" s="19"/>
      <c r="BP41" s="9">
        <v>46</v>
      </c>
      <c r="BQ41" s="9">
        <v>36</v>
      </c>
      <c r="BR41" s="30"/>
      <c r="BS41" s="19">
        <f t="shared" si="69"/>
        <v>82</v>
      </c>
      <c r="BT41" s="19">
        <v>1</v>
      </c>
      <c r="BU41" s="19" t="str">
        <f t="shared" si="70"/>
        <v>9</v>
      </c>
      <c r="BV41" s="19" t="str">
        <f t="shared" si="71"/>
        <v>A+</v>
      </c>
      <c r="BW41" s="19">
        <f t="shared" si="72"/>
        <v>9</v>
      </c>
      <c r="BX41" s="19"/>
      <c r="BY41" s="19"/>
      <c r="BZ41" s="19">
        <f t="shared" si="73"/>
        <v>170</v>
      </c>
      <c r="CA41" s="20">
        <f t="shared" si="74"/>
        <v>8.5</v>
      </c>
      <c r="CB41" s="35" t="str">
        <f t="shared" si="75"/>
        <v>A+</v>
      </c>
      <c r="CC41" s="31">
        <f t="shared" si="76"/>
        <v>80.75</v>
      </c>
      <c r="CD41" s="31"/>
      <c r="CE41" s="35">
        <f t="shared" si="77"/>
        <v>637</v>
      </c>
      <c r="CF41" s="35">
        <f t="shared" si="78"/>
        <v>79.625</v>
      </c>
      <c r="CG41" s="31"/>
      <c r="CH41" s="31"/>
      <c r="CI41" s="31" t="str">
        <f t="shared" si="79"/>
        <v>FCD</v>
      </c>
    </row>
    <row r="42" spans="1:87" ht="15.75" x14ac:dyDescent="0.25">
      <c r="A42" s="44">
        <f>A41+1</f>
        <v>62</v>
      </c>
      <c r="B42" s="47" t="s">
        <v>111</v>
      </c>
      <c r="C42" s="54" t="s">
        <v>173</v>
      </c>
      <c r="D42" s="58" t="s">
        <v>232</v>
      </c>
      <c r="E42" s="9">
        <v>49</v>
      </c>
      <c r="F42" s="9">
        <v>37</v>
      </c>
      <c r="G42" s="30"/>
      <c r="H42" s="19">
        <f t="shared" si="41"/>
        <v>86</v>
      </c>
      <c r="I42" s="19">
        <v>4</v>
      </c>
      <c r="J42" s="19" t="str">
        <f t="shared" si="42"/>
        <v>9</v>
      </c>
      <c r="K42" s="19" t="str">
        <f t="shared" si="43"/>
        <v>A+</v>
      </c>
      <c r="L42" s="19">
        <f t="shared" si="44"/>
        <v>36</v>
      </c>
      <c r="M42" s="19"/>
      <c r="N42" s="9">
        <v>46</v>
      </c>
      <c r="O42" s="9">
        <v>39</v>
      </c>
      <c r="P42" s="30"/>
      <c r="Q42" s="19">
        <f t="shared" si="45"/>
        <v>85</v>
      </c>
      <c r="R42" s="19">
        <v>4</v>
      </c>
      <c r="S42" s="19" t="str">
        <f t="shared" si="46"/>
        <v>9</v>
      </c>
      <c r="T42" s="19" t="str">
        <f t="shared" si="47"/>
        <v>A+</v>
      </c>
      <c r="U42" s="19">
        <f t="shared" si="48"/>
        <v>36</v>
      </c>
      <c r="V42" s="19"/>
      <c r="W42" s="9">
        <v>45</v>
      </c>
      <c r="X42" s="9">
        <v>32</v>
      </c>
      <c r="Y42" s="19"/>
      <c r="Z42" s="19">
        <f t="shared" si="49"/>
        <v>77</v>
      </c>
      <c r="AA42" s="19">
        <v>3</v>
      </c>
      <c r="AB42" s="19" t="str">
        <f t="shared" si="50"/>
        <v>8</v>
      </c>
      <c r="AC42" s="19" t="str">
        <f t="shared" si="51"/>
        <v>A</v>
      </c>
      <c r="AD42" s="19">
        <f t="shared" si="52"/>
        <v>24</v>
      </c>
      <c r="AE42" s="19"/>
      <c r="AF42" s="56">
        <v>41</v>
      </c>
      <c r="AG42" s="56">
        <v>29</v>
      </c>
      <c r="AH42" s="30"/>
      <c r="AI42" s="19">
        <f t="shared" si="53"/>
        <v>70</v>
      </c>
      <c r="AJ42" s="19">
        <v>3</v>
      </c>
      <c r="AK42" s="19" t="str">
        <f t="shared" si="54"/>
        <v>8</v>
      </c>
      <c r="AL42" s="19" t="str">
        <f t="shared" si="55"/>
        <v>A</v>
      </c>
      <c r="AM42" s="19">
        <f t="shared" si="56"/>
        <v>24</v>
      </c>
      <c r="AN42" s="19"/>
      <c r="AO42" s="56">
        <v>50</v>
      </c>
      <c r="AP42" s="56">
        <v>18</v>
      </c>
      <c r="AQ42" s="30"/>
      <c r="AR42" s="19">
        <f t="shared" si="57"/>
        <v>68</v>
      </c>
      <c r="AS42" s="19">
        <v>3</v>
      </c>
      <c r="AT42" s="19" t="str">
        <f t="shared" si="58"/>
        <v>7</v>
      </c>
      <c r="AU42" s="19" t="str">
        <f t="shared" si="59"/>
        <v>B+</v>
      </c>
      <c r="AV42" s="19">
        <f t="shared" si="60"/>
        <v>21</v>
      </c>
      <c r="AW42" s="19"/>
      <c r="AX42" s="9">
        <v>40</v>
      </c>
      <c r="AY42" s="9">
        <v>34</v>
      </c>
      <c r="AZ42" s="30"/>
      <c r="BA42" s="19">
        <f t="shared" si="61"/>
        <v>74</v>
      </c>
      <c r="BB42" s="19">
        <v>1</v>
      </c>
      <c r="BC42" s="19" t="str">
        <f t="shared" si="62"/>
        <v>8</v>
      </c>
      <c r="BD42" s="19" t="str">
        <f t="shared" si="63"/>
        <v>A</v>
      </c>
      <c r="BE42" s="19">
        <f t="shared" si="64"/>
        <v>8</v>
      </c>
      <c r="BF42" s="53" t="s">
        <v>97</v>
      </c>
      <c r="BG42" s="9">
        <v>50</v>
      </c>
      <c r="BH42" s="9">
        <v>42</v>
      </c>
      <c r="BI42" s="30"/>
      <c r="BJ42" s="19">
        <f t="shared" si="65"/>
        <v>92</v>
      </c>
      <c r="BK42" s="19">
        <v>1</v>
      </c>
      <c r="BL42" s="19" t="str">
        <f t="shared" si="66"/>
        <v>10</v>
      </c>
      <c r="BM42" s="19" t="str">
        <f t="shared" si="67"/>
        <v>O</v>
      </c>
      <c r="BN42" s="19">
        <f t="shared" si="68"/>
        <v>10</v>
      </c>
      <c r="BO42" s="19"/>
      <c r="BP42" s="9">
        <v>50</v>
      </c>
      <c r="BQ42" s="9">
        <v>42</v>
      </c>
      <c r="BR42" s="30"/>
      <c r="BS42" s="19">
        <f t="shared" si="69"/>
        <v>92</v>
      </c>
      <c r="BT42" s="19">
        <v>1</v>
      </c>
      <c r="BU42" s="19" t="str">
        <f t="shared" si="70"/>
        <v>10</v>
      </c>
      <c r="BV42" s="19" t="str">
        <f t="shared" si="71"/>
        <v>O</v>
      </c>
      <c r="BW42" s="19">
        <f t="shared" si="72"/>
        <v>10</v>
      </c>
      <c r="BX42" s="19"/>
      <c r="BY42" s="19"/>
      <c r="BZ42" s="19">
        <f t="shared" si="73"/>
        <v>169</v>
      </c>
      <c r="CA42" s="20">
        <f t="shared" si="74"/>
        <v>8.4499999999999993</v>
      </c>
      <c r="CB42" s="35" t="str">
        <f t="shared" si="75"/>
        <v>A+</v>
      </c>
      <c r="CC42" s="31">
        <f t="shared" si="76"/>
        <v>80.274999999999991</v>
      </c>
      <c r="CD42" s="31"/>
      <c r="CE42" s="35">
        <f t="shared" si="77"/>
        <v>644</v>
      </c>
      <c r="CF42" s="35">
        <f t="shared" si="78"/>
        <v>80.5</v>
      </c>
      <c r="CG42" s="31"/>
      <c r="CH42" s="31"/>
      <c r="CI42" s="31" t="str">
        <f t="shared" si="79"/>
        <v>FCD</v>
      </c>
    </row>
    <row r="43" spans="1:87" ht="15.75" x14ac:dyDescent="0.25">
      <c r="A43" s="44">
        <f>A42+1</f>
        <v>63</v>
      </c>
      <c r="B43" s="47" t="s">
        <v>121</v>
      </c>
      <c r="C43" s="54" t="s">
        <v>183</v>
      </c>
      <c r="D43" s="58" t="s">
        <v>232</v>
      </c>
      <c r="E43" s="9">
        <v>44</v>
      </c>
      <c r="F43" s="9">
        <v>31</v>
      </c>
      <c r="G43" s="30"/>
      <c r="H43" s="19">
        <f t="shared" si="41"/>
        <v>75</v>
      </c>
      <c r="I43" s="19">
        <v>4</v>
      </c>
      <c r="J43" s="19" t="str">
        <f t="shared" si="42"/>
        <v>8</v>
      </c>
      <c r="K43" s="19" t="str">
        <f t="shared" si="43"/>
        <v>A</v>
      </c>
      <c r="L43" s="19">
        <f t="shared" si="44"/>
        <v>32</v>
      </c>
      <c r="M43" s="19"/>
      <c r="N43" s="9">
        <v>45</v>
      </c>
      <c r="O43" s="9">
        <v>35</v>
      </c>
      <c r="P43" s="30"/>
      <c r="Q43" s="19">
        <f t="shared" si="45"/>
        <v>80</v>
      </c>
      <c r="R43" s="19">
        <v>4</v>
      </c>
      <c r="S43" s="19" t="str">
        <f t="shared" si="46"/>
        <v>9</v>
      </c>
      <c r="T43" s="19" t="str">
        <f t="shared" si="47"/>
        <v>A+</v>
      </c>
      <c r="U43" s="19">
        <f t="shared" si="48"/>
        <v>36</v>
      </c>
      <c r="V43" s="19"/>
      <c r="W43" s="9">
        <v>45</v>
      </c>
      <c r="X43" s="9">
        <v>39</v>
      </c>
      <c r="Y43" s="19"/>
      <c r="Z43" s="19">
        <f t="shared" si="49"/>
        <v>84</v>
      </c>
      <c r="AA43" s="19">
        <v>3</v>
      </c>
      <c r="AB43" s="19" t="str">
        <f t="shared" si="50"/>
        <v>9</v>
      </c>
      <c r="AC43" s="19" t="str">
        <f t="shared" si="51"/>
        <v>A+</v>
      </c>
      <c r="AD43" s="19">
        <f t="shared" si="52"/>
        <v>27</v>
      </c>
      <c r="AE43" s="19"/>
      <c r="AF43" s="56">
        <v>48</v>
      </c>
      <c r="AG43" s="56">
        <v>37</v>
      </c>
      <c r="AH43" s="30"/>
      <c r="AI43" s="19">
        <f t="shared" si="53"/>
        <v>85</v>
      </c>
      <c r="AJ43" s="19">
        <v>3</v>
      </c>
      <c r="AK43" s="19" t="str">
        <f t="shared" si="54"/>
        <v>9</v>
      </c>
      <c r="AL43" s="19" t="str">
        <f t="shared" si="55"/>
        <v>A+</v>
      </c>
      <c r="AM43" s="19">
        <f t="shared" si="56"/>
        <v>27</v>
      </c>
      <c r="AN43" s="19"/>
      <c r="AO43" s="56">
        <v>46</v>
      </c>
      <c r="AP43" s="56">
        <v>18</v>
      </c>
      <c r="AQ43" s="30"/>
      <c r="AR43" s="19">
        <f t="shared" si="57"/>
        <v>64</v>
      </c>
      <c r="AS43" s="19">
        <v>3</v>
      </c>
      <c r="AT43" s="19" t="str">
        <f t="shared" si="58"/>
        <v>7</v>
      </c>
      <c r="AU43" s="19" t="str">
        <f t="shared" si="59"/>
        <v>B+</v>
      </c>
      <c r="AV43" s="19">
        <f t="shared" si="60"/>
        <v>21</v>
      </c>
      <c r="AW43" s="19"/>
      <c r="AX43" s="9">
        <v>46</v>
      </c>
      <c r="AY43" s="9">
        <v>29</v>
      </c>
      <c r="AZ43" s="30"/>
      <c r="BA43" s="19">
        <f t="shared" si="61"/>
        <v>75</v>
      </c>
      <c r="BB43" s="19">
        <v>1</v>
      </c>
      <c r="BC43" s="19" t="str">
        <f t="shared" si="62"/>
        <v>8</v>
      </c>
      <c r="BD43" s="19" t="str">
        <f t="shared" si="63"/>
        <v>A</v>
      </c>
      <c r="BE43" s="19">
        <f t="shared" si="64"/>
        <v>8</v>
      </c>
      <c r="BF43" s="53" t="s">
        <v>92</v>
      </c>
      <c r="BG43" s="9">
        <v>47</v>
      </c>
      <c r="BH43" s="9">
        <v>38</v>
      </c>
      <c r="BI43" s="30"/>
      <c r="BJ43" s="19">
        <f t="shared" si="65"/>
        <v>85</v>
      </c>
      <c r="BK43" s="19">
        <v>1</v>
      </c>
      <c r="BL43" s="19" t="str">
        <f t="shared" si="66"/>
        <v>9</v>
      </c>
      <c r="BM43" s="19" t="str">
        <f t="shared" si="67"/>
        <v>A+</v>
      </c>
      <c r="BN43" s="19">
        <f t="shared" si="68"/>
        <v>9</v>
      </c>
      <c r="BO43" s="19"/>
      <c r="BP43" s="9">
        <v>46</v>
      </c>
      <c r="BQ43" s="9">
        <v>37</v>
      </c>
      <c r="BR43" s="30"/>
      <c r="BS43" s="19">
        <f t="shared" si="69"/>
        <v>83</v>
      </c>
      <c r="BT43" s="19">
        <v>1</v>
      </c>
      <c r="BU43" s="19" t="str">
        <f t="shared" si="70"/>
        <v>9</v>
      </c>
      <c r="BV43" s="19" t="str">
        <f t="shared" si="71"/>
        <v>A+</v>
      </c>
      <c r="BW43" s="19">
        <f t="shared" si="72"/>
        <v>9</v>
      </c>
      <c r="BX43" s="19"/>
      <c r="BY43" s="19"/>
      <c r="BZ43" s="19">
        <f t="shared" si="73"/>
        <v>169</v>
      </c>
      <c r="CA43" s="20">
        <f t="shared" si="74"/>
        <v>8.4499999999999993</v>
      </c>
      <c r="CB43" s="35" t="str">
        <f t="shared" si="75"/>
        <v>A+</v>
      </c>
      <c r="CC43" s="31">
        <f t="shared" si="76"/>
        <v>80.274999999999991</v>
      </c>
      <c r="CD43" s="31"/>
      <c r="CE43" s="35">
        <f t="shared" si="77"/>
        <v>631</v>
      </c>
      <c r="CF43" s="35">
        <f t="shared" si="78"/>
        <v>78.875</v>
      </c>
      <c r="CG43" s="31"/>
      <c r="CH43" s="31"/>
      <c r="CI43" s="31" t="str">
        <f t="shared" si="79"/>
        <v>FCD</v>
      </c>
    </row>
    <row r="44" spans="1:87" ht="15.75" x14ac:dyDescent="0.25">
      <c r="A44" s="44">
        <f>A43+1</f>
        <v>64</v>
      </c>
      <c r="B44" s="46" t="s">
        <v>151</v>
      </c>
      <c r="C44" s="54" t="s">
        <v>213</v>
      </c>
      <c r="D44" s="58" t="s">
        <v>232</v>
      </c>
      <c r="E44" s="43">
        <v>47</v>
      </c>
      <c r="F44" s="43">
        <v>31</v>
      </c>
      <c r="G44" s="30"/>
      <c r="H44" s="19">
        <f t="shared" si="41"/>
        <v>78</v>
      </c>
      <c r="I44" s="19">
        <v>4</v>
      </c>
      <c r="J44" s="19" t="str">
        <f t="shared" si="42"/>
        <v>8</v>
      </c>
      <c r="K44" s="19" t="str">
        <f t="shared" si="43"/>
        <v>A</v>
      </c>
      <c r="L44" s="19">
        <f t="shared" si="44"/>
        <v>32</v>
      </c>
      <c r="M44" s="19"/>
      <c r="N44" s="43">
        <v>50</v>
      </c>
      <c r="O44" s="43">
        <v>39</v>
      </c>
      <c r="P44" s="30"/>
      <c r="Q44" s="19">
        <f t="shared" si="45"/>
        <v>89</v>
      </c>
      <c r="R44" s="19">
        <v>4</v>
      </c>
      <c r="S44" s="19" t="str">
        <f t="shared" si="46"/>
        <v>9</v>
      </c>
      <c r="T44" s="19" t="str">
        <f t="shared" si="47"/>
        <v>A+</v>
      </c>
      <c r="U44" s="19">
        <f t="shared" si="48"/>
        <v>36</v>
      </c>
      <c r="V44" s="19"/>
      <c r="W44" s="43">
        <v>46</v>
      </c>
      <c r="X44" s="43">
        <v>42</v>
      </c>
      <c r="Y44" s="19"/>
      <c r="Z44" s="19">
        <f t="shared" si="49"/>
        <v>88</v>
      </c>
      <c r="AA44" s="19">
        <v>3</v>
      </c>
      <c r="AB44" s="19" t="str">
        <f t="shared" si="50"/>
        <v>9</v>
      </c>
      <c r="AC44" s="19" t="str">
        <f t="shared" si="51"/>
        <v>A+</v>
      </c>
      <c r="AD44" s="19">
        <f t="shared" si="52"/>
        <v>27</v>
      </c>
      <c r="AE44" s="19"/>
      <c r="AF44" s="56">
        <v>45</v>
      </c>
      <c r="AG44" s="56">
        <v>27</v>
      </c>
      <c r="AH44" s="30"/>
      <c r="AI44" s="19">
        <f t="shared" si="53"/>
        <v>72</v>
      </c>
      <c r="AJ44" s="19">
        <v>3</v>
      </c>
      <c r="AK44" s="19" t="str">
        <f t="shared" si="54"/>
        <v>8</v>
      </c>
      <c r="AL44" s="19" t="str">
        <f t="shared" si="55"/>
        <v>A</v>
      </c>
      <c r="AM44" s="19">
        <f t="shared" si="56"/>
        <v>24</v>
      </c>
      <c r="AN44" s="19"/>
      <c r="AO44" s="56">
        <v>45</v>
      </c>
      <c r="AP44" s="56">
        <v>32</v>
      </c>
      <c r="AQ44" s="30"/>
      <c r="AR44" s="19">
        <f t="shared" si="57"/>
        <v>77</v>
      </c>
      <c r="AS44" s="19">
        <v>3</v>
      </c>
      <c r="AT44" s="19" t="str">
        <f t="shared" si="58"/>
        <v>8</v>
      </c>
      <c r="AU44" s="19" t="str">
        <f t="shared" si="59"/>
        <v>A</v>
      </c>
      <c r="AV44" s="19">
        <f t="shared" si="60"/>
        <v>24</v>
      </c>
      <c r="AW44" s="19"/>
      <c r="AX44" s="43">
        <v>44</v>
      </c>
      <c r="AY44" s="43">
        <v>32</v>
      </c>
      <c r="AZ44" s="30"/>
      <c r="BA44" s="19">
        <f t="shared" si="61"/>
        <v>76</v>
      </c>
      <c r="BB44" s="19">
        <v>1</v>
      </c>
      <c r="BC44" s="19" t="str">
        <f t="shared" si="62"/>
        <v>8</v>
      </c>
      <c r="BD44" s="19" t="str">
        <f t="shared" si="63"/>
        <v>A</v>
      </c>
      <c r="BE44" s="19">
        <f t="shared" si="64"/>
        <v>8</v>
      </c>
      <c r="BF44" s="53" t="s">
        <v>92</v>
      </c>
      <c r="BG44" s="43">
        <v>43</v>
      </c>
      <c r="BH44" s="43">
        <v>36</v>
      </c>
      <c r="BI44" s="30"/>
      <c r="BJ44" s="19">
        <f t="shared" si="65"/>
        <v>79</v>
      </c>
      <c r="BK44" s="19">
        <v>1</v>
      </c>
      <c r="BL44" s="19" t="str">
        <f t="shared" si="66"/>
        <v>8</v>
      </c>
      <c r="BM44" s="19" t="str">
        <f t="shared" si="67"/>
        <v>A</v>
      </c>
      <c r="BN44" s="19">
        <f t="shared" si="68"/>
        <v>8</v>
      </c>
      <c r="BO44" s="19"/>
      <c r="BP44" s="43">
        <v>42</v>
      </c>
      <c r="BQ44" s="43">
        <v>39</v>
      </c>
      <c r="BR44" s="30"/>
      <c r="BS44" s="19">
        <f t="shared" si="69"/>
        <v>81</v>
      </c>
      <c r="BT44" s="19">
        <v>1</v>
      </c>
      <c r="BU44" s="19" t="str">
        <f t="shared" si="70"/>
        <v>9</v>
      </c>
      <c r="BV44" s="19" t="str">
        <f t="shared" si="71"/>
        <v>A+</v>
      </c>
      <c r="BW44" s="19">
        <f t="shared" si="72"/>
        <v>9</v>
      </c>
      <c r="BX44" s="19"/>
      <c r="BY44" s="19"/>
      <c r="BZ44" s="19">
        <f t="shared" si="73"/>
        <v>168</v>
      </c>
      <c r="CA44" s="20">
        <f t="shared" si="74"/>
        <v>8.4</v>
      </c>
      <c r="CB44" s="35" t="str">
        <f t="shared" si="75"/>
        <v>A+</v>
      </c>
      <c r="CC44" s="31">
        <f t="shared" si="76"/>
        <v>79.8</v>
      </c>
      <c r="CD44" s="34"/>
      <c r="CE44" s="35">
        <f t="shared" si="77"/>
        <v>640</v>
      </c>
      <c r="CF44" s="35">
        <f t="shared" si="78"/>
        <v>80</v>
      </c>
      <c r="CG44" s="31"/>
      <c r="CH44" s="31"/>
      <c r="CI44" s="31" t="str">
        <f t="shared" si="79"/>
        <v>FCD</v>
      </c>
    </row>
    <row r="45" spans="1:87" ht="15.75" x14ac:dyDescent="0.25">
      <c r="A45" s="44">
        <v>59</v>
      </c>
      <c r="B45" s="46" t="s">
        <v>156</v>
      </c>
      <c r="C45" s="54" t="s">
        <v>218</v>
      </c>
      <c r="D45" s="58" t="s">
        <v>232</v>
      </c>
      <c r="E45" s="43">
        <v>48</v>
      </c>
      <c r="F45" s="43">
        <v>29</v>
      </c>
      <c r="G45" s="30"/>
      <c r="H45" s="19">
        <f t="shared" si="41"/>
        <v>77</v>
      </c>
      <c r="I45" s="19">
        <v>4</v>
      </c>
      <c r="J45" s="19" t="str">
        <f t="shared" si="42"/>
        <v>8</v>
      </c>
      <c r="K45" s="19" t="str">
        <f t="shared" si="43"/>
        <v>A</v>
      </c>
      <c r="L45" s="19">
        <f t="shared" si="44"/>
        <v>32</v>
      </c>
      <c r="M45" s="19"/>
      <c r="N45" s="43">
        <v>42</v>
      </c>
      <c r="O45" s="43">
        <v>28</v>
      </c>
      <c r="P45" s="30"/>
      <c r="Q45" s="19">
        <f t="shared" si="45"/>
        <v>70</v>
      </c>
      <c r="R45" s="19">
        <v>4</v>
      </c>
      <c r="S45" s="19" t="str">
        <f t="shared" si="46"/>
        <v>8</v>
      </c>
      <c r="T45" s="19" t="str">
        <f t="shared" si="47"/>
        <v>A</v>
      </c>
      <c r="U45" s="19">
        <f t="shared" si="48"/>
        <v>32</v>
      </c>
      <c r="V45" s="19"/>
      <c r="W45" s="43">
        <v>47</v>
      </c>
      <c r="X45" s="43">
        <v>44</v>
      </c>
      <c r="Y45" s="19"/>
      <c r="Z45" s="19">
        <f t="shared" si="49"/>
        <v>91</v>
      </c>
      <c r="AA45" s="19">
        <v>3</v>
      </c>
      <c r="AB45" s="19" t="str">
        <f t="shared" si="50"/>
        <v>10</v>
      </c>
      <c r="AC45" s="19" t="str">
        <f t="shared" si="51"/>
        <v>O</v>
      </c>
      <c r="AD45" s="19">
        <f t="shared" si="52"/>
        <v>30</v>
      </c>
      <c r="AE45" s="19"/>
      <c r="AF45" s="56">
        <v>41</v>
      </c>
      <c r="AG45" s="56">
        <v>26</v>
      </c>
      <c r="AH45" s="30"/>
      <c r="AI45" s="19">
        <f t="shared" si="53"/>
        <v>67</v>
      </c>
      <c r="AJ45" s="19">
        <v>3</v>
      </c>
      <c r="AK45" s="19" t="str">
        <f t="shared" si="54"/>
        <v>7</v>
      </c>
      <c r="AL45" s="19" t="str">
        <f t="shared" si="55"/>
        <v>B+</v>
      </c>
      <c r="AM45" s="19">
        <f t="shared" si="56"/>
        <v>21</v>
      </c>
      <c r="AN45" s="19"/>
      <c r="AO45" s="56">
        <v>46</v>
      </c>
      <c r="AP45" s="56">
        <v>30</v>
      </c>
      <c r="AQ45" s="30"/>
      <c r="AR45" s="19">
        <f t="shared" si="57"/>
        <v>76</v>
      </c>
      <c r="AS45" s="19">
        <v>3</v>
      </c>
      <c r="AT45" s="19" t="str">
        <f t="shared" si="58"/>
        <v>8</v>
      </c>
      <c r="AU45" s="19" t="str">
        <f t="shared" si="59"/>
        <v>A</v>
      </c>
      <c r="AV45" s="19">
        <f t="shared" si="60"/>
        <v>24</v>
      </c>
      <c r="AW45" s="19"/>
      <c r="AX45" s="43">
        <v>46</v>
      </c>
      <c r="AY45" s="43">
        <v>38</v>
      </c>
      <c r="AZ45" s="30"/>
      <c r="BA45" s="19">
        <f t="shared" si="61"/>
        <v>84</v>
      </c>
      <c r="BB45" s="19">
        <v>1</v>
      </c>
      <c r="BC45" s="19" t="str">
        <f t="shared" si="62"/>
        <v>9</v>
      </c>
      <c r="BD45" s="19" t="str">
        <f t="shared" si="63"/>
        <v>A+</v>
      </c>
      <c r="BE45" s="19">
        <f t="shared" si="64"/>
        <v>9</v>
      </c>
      <c r="BF45" s="53" t="s">
        <v>97</v>
      </c>
      <c r="BG45" s="43">
        <v>48</v>
      </c>
      <c r="BH45" s="43">
        <v>48</v>
      </c>
      <c r="BI45" s="30"/>
      <c r="BJ45" s="19">
        <f t="shared" si="65"/>
        <v>96</v>
      </c>
      <c r="BK45" s="19">
        <v>1</v>
      </c>
      <c r="BL45" s="19" t="str">
        <f t="shared" si="66"/>
        <v>10</v>
      </c>
      <c r="BM45" s="19" t="str">
        <f t="shared" si="67"/>
        <v>O</v>
      </c>
      <c r="BN45" s="19">
        <f t="shared" si="68"/>
        <v>10</v>
      </c>
      <c r="BO45" s="19"/>
      <c r="BP45" s="43">
        <v>46</v>
      </c>
      <c r="BQ45" s="43">
        <v>42</v>
      </c>
      <c r="BR45" s="30"/>
      <c r="BS45" s="19">
        <f t="shared" si="69"/>
        <v>88</v>
      </c>
      <c r="BT45" s="19">
        <v>1</v>
      </c>
      <c r="BU45" s="19" t="str">
        <f t="shared" si="70"/>
        <v>9</v>
      </c>
      <c r="BV45" s="19" t="str">
        <f t="shared" si="71"/>
        <v>A+</v>
      </c>
      <c r="BW45" s="19">
        <f t="shared" si="72"/>
        <v>9</v>
      </c>
      <c r="BX45" s="19"/>
      <c r="BY45" s="19"/>
      <c r="BZ45" s="19">
        <f t="shared" si="73"/>
        <v>167</v>
      </c>
      <c r="CA45" s="20">
        <f t="shared" si="74"/>
        <v>8.35</v>
      </c>
      <c r="CB45" s="35" t="str">
        <f t="shared" si="75"/>
        <v>A+</v>
      </c>
      <c r="CC45" s="31">
        <f t="shared" si="76"/>
        <v>79.325000000000003</v>
      </c>
      <c r="CD45" s="34"/>
      <c r="CE45" s="35">
        <f t="shared" si="77"/>
        <v>649</v>
      </c>
      <c r="CF45" s="35">
        <f t="shared" si="78"/>
        <v>81.125</v>
      </c>
      <c r="CG45" s="31"/>
      <c r="CH45" s="31"/>
      <c r="CI45" s="31" t="str">
        <f t="shared" si="79"/>
        <v>FCD</v>
      </c>
    </row>
    <row r="46" spans="1:87" ht="15.75" x14ac:dyDescent="0.25">
      <c r="A46" s="44">
        <f>A45+1</f>
        <v>60</v>
      </c>
      <c r="B46" s="47" t="s">
        <v>125</v>
      </c>
      <c r="C46" s="54" t="s">
        <v>187</v>
      </c>
      <c r="D46" s="58" t="s">
        <v>232</v>
      </c>
      <c r="E46" s="9">
        <v>45</v>
      </c>
      <c r="F46" s="9">
        <v>27</v>
      </c>
      <c r="G46" s="30"/>
      <c r="H46" s="19">
        <f t="shared" si="41"/>
        <v>72</v>
      </c>
      <c r="I46" s="19">
        <v>4</v>
      </c>
      <c r="J46" s="19" t="str">
        <f t="shared" si="42"/>
        <v>8</v>
      </c>
      <c r="K46" s="19" t="str">
        <f t="shared" si="43"/>
        <v>A</v>
      </c>
      <c r="L46" s="19">
        <f t="shared" si="44"/>
        <v>32</v>
      </c>
      <c r="M46" s="19"/>
      <c r="N46" s="9">
        <v>45</v>
      </c>
      <c r="O46" s="9">
        <v>28</v>
      </c>
      <c r="P46" s="30"/>
      <c r="Q46" s="19">
        <f t="shared" si="45"/>
        <v>73</v>
      </c>
      <c r="R46" s="19">
        <v>4</v>
      </c>
      <c r="S46" s="19" t="str">
        <f t="shared" si="46"/>
        <v>8</v>
      </c>
      <c r="T46" s="19" t="str">
        <f t="shared" si="47"/>
        <v>A</v>
      </c>
      <c r="U46" s="19">
        <f t="shared" si="48"/>
        <v>32</v>
      </c>
      <c r="V46" s="19"/>
      <c r="W46" s="9">
        <v>43</v>
      </c>
      <c r="X46" s="9">
        <v>42</v>
      </c>
      <c r="Y46" s="19"/>
      <c r="Z46" s="19">
        <f t="shared" si="49"/>
        <v>85</v>
      </c>
      <c r="AA46" s="19">
        <v>3</v>
      </c>
      <c r="AB46" s="19" t="str">
        <f t="shared" si="50"/>
        <v>9</v>
      </c>
      <c r="AC46" s="19" t="str">
        <f t="shared" si="51"/>
        <v>A+</v>
      </c>
      <c r="AD46" s="19">
        <f t="shared" si="52"/>
        <v>27</v>
      </c>
      <c r="AE46" s="19"/>
      <c r="AF46" s="56">
        <v>40</v>
      </c>
      <c r="AG46" s="56">
        <v>36</v>
      </c>
      <c r="AH46" s="30"/>
      <c r="AI46" s="19">
        <f t="shared" si="53"/>
        <v>76</v>
      </c>
      <c r="AJ46" s="19">
        <v>3</v>
      </c>
      <c r="AK46" s="19" t="str">
        <f t="shared" si="54"/>
        <v>8</v>
      </c>
      <c r="AL46" s="19" t="str">
        <f t="shared" si="55"/>
        <v>A</v>
      </c>
      <c r="AM46" s="19">
        <f t="shared" si="56"/>
        <v>24</v>
      </c>
      <c r="AN46" s="19"/>
      <c r="AO46" s="56">
        <v>45</v>
      </c>
      <c r="AP46" s="56">
        <v>29</v>
      </c>
      <c r="AQ46" s="30"/>
      <c r="AR46" s="19">
        <f t="shared" si="57"/>
        <v>74</v>
      </c>
      <c r="AS46" s="19">
        <v>3</v>
      </c>
      <c r="AT46" s="19" t="str">
        <f t="shared" si="58"/>
        <v>8</v>
      </c>
      <c r="AU46" s="19" t="str">
        <f t="shared" si="59"/>
        <v>A</v>
      </c>
      <c r="AV46" s="19">
        <f t="shared" si="60"/>
        <v>24</v>
      </c>
      <c r="AW46" s="19"/>
      <c r="AX46" s="9">
        <v>46</v>
      </c>
      <c r="AY46" s="9">
        <v>36</v>
      </c>
      <c r="AZ46" s="30"/>
      <c r="BA46" s="19">
        <f t="shared" si="61"/>
        <v>82</v>
      </c>
      <c r="BB46" s="19">
        <v>1</v>
      </c>
      <c r="BC46" s="19" t="str">
        <f t="shared" si="62"/>
        <v>9</v>
      </c>
      <c r="BD46" s="19" t="str">
        <f t="shared" si="63"/>
        <v>A+</v>
      </c>
      <c r="BE46" s="19">
        <f t="shared" si="64"/>
        <v>9</v>
      </c>
      <c r="BF46" s="53" t="s">
        <v>97</v>
      </c>
      <c r="BG46" s="9">
        <v>48</v>
      </c>
      <c r="BH46" s="9">
        <v>42</v>
      </c>
      <c r="BI46" s="30"/>
      <c r="BJ46" s="19">
        <f t="shared" si="65"/>
        <v>90</v>
      </c>
      <c r="BK46" s="19">
        <v>1</v>
      </c>
      <c r="BL46" s="19" t="str">
        <f t="shared" si="66"/>
        <v>10</v>
      </c>
      <c r="BM46" s="19" t="str">
        <f t="shared" si="67"/>
        <v>O</v>
      </c>
      <c r="BN46" s="19">
        <f t="shared" si="68"/>
        <v>10</v>
      </c>
      <c r="BO46" s="19"/>
      <c r="BP46" s="9">
        <v>48</v>
      </c>
      <c r="BQ46" s="9">
        <v>39</v>
      </c>
      <c r="BR46" s="30"/>
      <c r="BS46" s="19">
        <f t="shared" si="69"/>
        <v>87</v>
      </c>
      <c r="BT46" s="19">
        <v>1</v>
      </c>
      <c r="BU46" s="19" t="str">
        <f t="shared" si="70"/>
        <v>9</v>
      </c>
      <c r="BV46" s="19" t="str">
        <f t="shared" si="71"/>
        <v>A+</v>
      </c>
      <c r="BW46" s="19">
        <f t="shared" si="72"/>
        <v>9</v>
      </c>
      <c r="BX46" s="19"/>
      <c r="BY46" s="19"/>
      <c r="BZ46" s="19">
        <f t="shared" si="73"/>
        <v>167</v>
      </c>
      <c r="CA46" s="20">
        <f t="shared" si="74"/>
        <v>8.35</v>
      </c>
      <c r="CB46" s="35" t="str">
        <f t="shared" si="75"/>
        <v>A+</v>
      </c>
      <c r="CC46" s="31">
        <f t="shared" si="76"/>
        <v>79.325000000000003</v>
      </c>
      <c r="CD46" s="31"/>
      <c r="CE46" s="35">
        <f t="shared" si="77"/>
        <v>639</v>
      </c>
      <c r="CF46" s="35">
        <f t="shared" si="78"/>
        <v>79.875</v>
      </c>
      <c r="CG46" s="31"/>
      <c r="CH46" s="31"/>
      <c r="CI46" s="31" t="str">
        <f t="shared" si="79"/>
        <v>FCD</v>
      </c>
    </row>
    <row r="47" spans="1:87" ht="15.75" x14ac:dyDescent="0.25">
      <c r="A47" s="44">
        <f>A46+1</f>
        <v>61</v>
      </c>
      <c r="B47" s="47" t="s">
        <v>118</v>
      </c>
      <c r="C47" s="54" t="s">
        <v>180</v>
      </c>
      <c r="D47" s="58" t="s">
        <v>232</v>
      </c>
      <c r="E47" s="9">
        <v>46</v>
      </c>
      <c r="F47" s="9">
        <v>28</v>
      </c>
      <c r="G47" s="30"/>
      <c r="H47" s="19">
        <f t="shared" si="41"/>
        <v>74</v>
      </c>
      <c r="I47" s="19">
        <v>4</v>
      </c>
      <c r="J47" s="19" t="str">
        <f t="shared" si="42"/>
        <v>8</v>
      </c>
      <c r="K47" s="19" t="str">
        <f t="shared" si="43"/>
        <v>A</v>
      </c>
      <c r="L47" s="19">
        <f t="shared" si="44"/>
        <v>32</v>
      </c>
      <c r="M47" s="19"/>
      <c r="N47" s="9">
        <v>43</v>
      </c>
      <c r="O47" s="9">
        <v>30</v>
      </c>
      <c r="P47" s="30"/>
      <c r="Q47" s="19">
        <f t="shared" si="45"/>
        <v>73</v>
      </c>
      <c r="R47" s="19">
        <v>4</v>
      </c>
      <c r="S47" s="19" t="str">
        <f t="shared" si="46"/>
        <v>8</v>
      </c>
      <c r="T47" s="19" t="str">
        <f t="shared" si="47"/>
        <v>A</v>
      </c>
      <c r="U47" s="19">
        <f t="shared" si="48"/>
        <v>32</v>
      </c>
      <c r="V47" s="19"/>
      <c r="W47" s="9">
        <v>48</v>
      </c>
      <c r="X47" s="9">
        <v>38</v>
      </c>
      <c r="Y47" s="19"/>
      <c r="Z47" s="19">
        <f t="shared" si="49"/>
        <v>86</v>
      </c>
      <c r="AA47" s="19">
        <v>3</v>
      </c>
      <c r="AB47" s="19" t="str">
        <f t="shared" si="50"/>
        <v>9</v>
      </c>
      <c r="AC47" s="19" t="str">
        <f t="shared" si="51"/>
        <v>A+</v>
      </c>
      <c r="AD47" s="19">
        <f t="shared" si="52"/>
        <v>27</v>
      </c>
      <c r="AE47" s="19"/>
      <c r="AF47" s="56">
        <v>45</v>
      </c>
      <c r="AG47" s="56">
        <v>37</v>
      </c>
      <c r="AH47" s="30"/>
      <c r="AI47" s="19">
        <f t="shared" si="53"/>
        <v>82</v>
      </c>
      <c r="AJ47" s="19">
        <v>3</v>
      </c>
      <c r="AK47" s="19" t="str">
        <f t="shared" si="54"/>
        <v>9</v>
      </c>
      <c r="AL47" s="19" t="str">
        <f t="shared" si="55"/>
        <v>A+</v>
      </c>
      <c r="AM47" s="19">
        <f t="shared" si="56"/>
        <v>27</v>
      </c>
      <c r="AN47" s="19"/>
      <c r="AO47" s="56">
        <v>49</v>
      </c>
      <c r="AP47" s="56">
        <v>25</v>
      </c>
      <c r="AQ47" s="30"/>
      <c r="AR47" s="19">
        <f t="shared" si="57"/>
        <v>74</v>
      </c>
      <c r="AS47" s="19">
        <v>3</v>
      </c>
      <c r="AT47" s="19" t="str">
        <f t="shared" si="58"/>
        <v>8</v>
      </c>
      <c r="AU47" s="19" t="str">
        <f t="shared" si="59"/>
        <v>A</v>
      </c>
      <c r="AV47" s="19">
        <f t="shared" si="60"/>
        <v>24</v>
      </c>
      <c r="AW47" s="19"/>
      <c r="AX47" s="9">
        <v>46</v>
      </c>
      <c r="AY47" s="9">
        <v>23</v>
      </c>
      <c r="AZ47" s="30"/>
      <c r="BA47" s="19">
        <f t="shared" si="61"/>
        <v>69</v>
      </c>
      <c r="BB47" s="19">
        <v>1</v>
      </c>
      <c r="BC47" s="19" t="str">
        <f t="shared" si="62"/>
        <v>7</v>
      </c>
      <c r="BD47" s="19" t="str">
        <f t="shared" si="63"/>
        <v>B+</v>
      </c>
      <c r="BE47" s="19">
        <f t="shared" si="64"/>
        <v>7</v>
      </c>
      <c r="BF47" s="53" t="s">
        <v>92</v>
      </c>
      <c r="BG47" s="9">
        <v>49</v>
      </c>
      <c r="BH47" s="9">
        <v>40</v>
      </c>
      <c r="BI47" s="30"/>
      <c r="BJ47" s="19">
        <f t="shared" si="65"/>
        <v>89</v>
      </c>
      <c r="BK47" s="19">
        <v>1</v>
      </c>
      <c r="BL47" s="19" t="str">
        <f t="shared" si="66"/>
        <v>9</v>
      </c>
      <c r="BM47" s="19" t="str">
        <f t="shared" si="67"/>
        <v>A+</v>
      </c>
      <c r="BN47" s="19">
        <f t="shared" si="68"/>
        <v>9</v>
      </c>
      <c r="BO47" s="19"/>
      <c r="BP47" s="9">
        <v>49</v>
      </c>
      <c r="BQ47" s="9">
        <v>37</v>
      </c>
      <c r="BR47" s="30"/>
      <c r="BS47" s="19">
        <f t="shared" si="69"/>
        <v>86</v>
      </c>
      <c r="BT47" s="19">
        <v>1</v>
      </c>
      <c r="BU47" s="19" t="str">
        <f t="shared" si="70"/>
        <v>9</v>
      </c>
      <c r="BV47" s="19" t="str">
        <f t="shared" si="71"/>
        <v>A+</v>
      </c>
      <c r="BW47" s="19">
        <f t="shared" si="72"/>
        <v>9</v>
      </c>
      <c r="BX47" s="19"/>
      <c r="BY47" s="19"/>
      <c r="BZ47" s="19">
        <f t="shared" si="73"/>
        <v>167</v>
      </c>
      <c r="CA47" s="20">
        <f t="shared" si="74"/>
        <v>8.35</v>
      </c>
      <c r="CB47" s="35" t="str">
        <f t="shared" si="75"/>
        <v>A+</v>
      </c>
      <c r="CC47" s="31">
        <f t="shared" si="76"/>
        <v>79.325000000000003</v>
      </c>
      <c r="CD47" s="31"/>
      <c r="CE47" s="35">
        <f t="shared" si="77"/>
        <v>633</v>
      </c>
      <c r="CF47" s="35">
        <f t="shared" si="78"/>
        <v>79.125</v>
      </c>
      <c r="CG47" s="31"/>
      <c r="CH47" s="31"/>
      <c r="CI47" s="31" t="str">
        <f t="shared" si="79"/>
        <v>FCD</v>
      </c>
    </row>
    <row r="48" spans="1:87" ht="15.75" x14ac:dyDescent="0.25">
      <c r="A48" s="44">
        <v>56</v>
      </c>
      <c r="B48" s="46" t="s">
        <v>153</v>
      </c>
      <c r="C48" s="54" t="s">
        <v>215</v>
      </c>
      <c r="D48" s="58" t="s">
        <v>232</v>
      </c>
      <c r="E48" s="43">
        <v>48</v>
      </c>
      <c r="F48" s="43">
        <v>30</v>
      </c>
      <c r="G48" s="30"/>
      <c r="H48" s="19">
        <f t="shared" si="41"/>
        <v>78</v>
      </c>
      <c r="I48" s="19">
        <v>4</v>
      </c>
      <c r="J48" s="19" t="str">
        <f t="shared" si="42"/>
        <v>8</v>
      </c>
      <c r="K48" s="19" t="str">
        <f t="shared" si="43"/>
        <v>A</v>
      </c>
      <c r="L48" s="19">
        <f t="shared" si="44"/>
        <v>32</v>
      </c>
      <c r="M48" s="19"/>
      <c r="N48" s="43">
        <v>45</v>
      </c>
      <c r="O48" s="43">
        <v>32</v>
      </c>
      <c r="P48" s="30"/>
      <c r="Q48" s="19">
        <f t="shared" si="45"/>
        <v>77</v>
      </c>
      <c r="R48" s="19">
        <v>4</v>
      </c>
      <c r="S48" s="19" t="str">
        <f t="shared" si="46"/>
        <v>8</v>
      </c>
      <c r="T48" s="19" t="str">
        <f t="shared" si="47"/>
        <v>A</v>
      </c>
      <c r="U48" s="19">
        <f t="shared" si="48"/>
        <v>32</v>
      </c>
      <c r="V48" s="19"/>
      <c r="W48" s="43">
        <v>43</v>
      </c>
      <c r="X48" s="43">
        <v>35</v>
      </c>
      <c r="Y48" s="19"/>
      <c r="Z48" s="19">
        <f t="shared" si="49"/>
        <v>78</v>
      </c>
      <c r="AA48" s="19">
        <v>3</v>
      </c>
      <c r="AB48" s="19" t="str">
        <f t="shared" si="50"/>
        <v>8</v>
      </c>
      <c r="AC48" s="19" t="str">
        <f t="shared" si="51"/>
        <v>A</v>
      </c>
      <c r="AD48" s="19">
        <f t="shared" si="52"/>
        <v>24</v>
      </c>
      <c r="AE48" s="19"/>
      <c r="AF48" s="56">
        <v>46</v>
      </c>
      <c r="AG48" s="56">
        <v>38</v>
      </c>
      <c r="AH48" s="30"/>
      <c r="AI48" s="19">
        <f t="shared" si="53"/>
        <v>84</v>
      </c>
      <c r="AJ48" s="19">
        <v>3</v>
      </c>
      <c r="AK48" s="19" t="str">
        <f t="shared" si="54"/>
        <v>9</v>
      </c>
      <c r="AL48" s="19" t="str">
        <f t="shared" si="55"/>
        <v>A+</v>
      </c>
      <c r="AM48" s="19">
        <f t="shared" si="56"/>
        <v>27</v>
      </c>
      <c r="AN48" s="19"/>
      <c r="AO48" s="56">
        <v>49</v>
      </c>
      <c r="AP48" s="56">
        <v>30</v>
      </c>
      <c r="AQ48" s="30"/>
      <c r="AR48" s="19">
        <f t="shared" si="57"/>
        <v>79</v>
      </c>
      <c r="AS48" s="19">
        <v>3</v>
      </c>
      <c r="AT48" s="19" t="str">
        <f t="shared" si="58"/>
        <v>8</v>
      </c>
      <c r="AU48" s="19" t="str">
        <f t="shared" si="59"/>
        <v>A</v>
      </c>
      <c r="AV48" s="19">
        <f t="shared" si="60"/>
        <v>24</v>
      </c>
      <c r="AW48" s="19"/>
      <c r="AX48" s="43">
        <v>46</v>
      </c>
      <c r="AY48" s="43">
        <v>33</v>
      </c>
      <c r="AZ48" s="30"/>
      <c r="BA48" s="19">
        <f t="shared" si="61"/>
        <v>79</v>
      </c>
      <c r="BB48" s="19">
        <v>1</v>
      </c>
      <c r="BC48" s="19" t="str">
        <f t="shared" si="62"/>
        <v>8</v>
      </c>
      <c r="BD48" s="19" t="str">
        <f t="shared" si="63"/>
        <v>A</v>
      </c>
      <c r="BE48" s="19">
        <f t="shared" si="64"/>
        <v>8</v>
      </c>
      <c r="BF48" s="53" t="s">
        <v>97</v>
      </c>
      <c r="BG48" s="43">
        <v>49</v>
      </c>
      <c r="BH48" s="43">
        <v>44</v>
      </c>
      <c r="BI48" s="30"/>
      <c r="BJ48" s="19">
        <f t="shared" si="65"/>
        <v>93</v>
      </c>
      <c r="BK48" s="19">
        <v>1</v>
      </c>
      <c r="BL48" s="19" t="str">
        <f t="shared" si="66"/>
        <v>10</v>
      </c>
      <c r="BM48" s="19" t="str">
        <f t="shared" si="67"/>
        <v>O</v>
      </c>
      <c r="BN48" s="19">
        <f t="shared" si="68"/>
        <v>10</v>
      </c>
      <c r="BO48" s="19"/>
      <c r="BP48" s="43">
        <v>42</v>
      </c>
      <c r="BQ48" s="43">
        <v>41</v>
      </c>
      <c r="BR48" s="30"/>
      <c r="BS48" s="19">
        <f t="shared" si="69"/>
        <v>83</v>
      </c>
      <c r="BT48" s="19">
        <v>1</v>
      </c>
      <c r="BU48" s="19" t="str">
        <f t="shared" si="70"/>
        <v>9</v>
      </c>
      <c r="BV48" s="19" t="str">
        <f t="shared" si="71"/>
        <v>A+</v>
      </c>
      <c r="BW48" s="19">
        <f t="shared" si="72"/>
        <v>9</v>
      </c>
      <c r="BX48" s="19"/>
      <c r="BY48" s="19"/>
      <c r="BZ48" s="19">
        <f t="shared" si="73"/>
        <v>166</v>
      </c>
      <c r="CA48" s="20">
        <f t="shared" si="74"/>
        <v>8.3000000000000007</v>
      </c>
      <c r="CB48" s="35" t="str">
        <f t="shared" si="75"/>
        <v>A+</v>
      </c>
      <c r="CC48" s="31">
        <f t="shared" si="76"/>
        <v>78.850000000000009</v>
      </c>
      <c r="CD48" s="34"/>
      <c r="CE48" s="35">
        <f t="shared" si="77"/>
        <v>651</v>
      </c>
      <c r="CF48" s="35">
        <f t="shared" si="78"/>
        <v>81.375</v>
      </c>
      <c r="CG48" s="31"/>
      <c r="CH48" s="31"/>
      <c r="CI48" s="31" t="str">
        <f t="shared" si="79"/>
        <v>FCD</v>
      </c>
    </row>
    <row r="49" spans="1:87" ht="15.75" x14ac:dyDescent="0.25">
      <c r="A49" s="44">
        <f>A48+1</f>
        <v>57</v>
      </c>
      <c r="B49" s="47" t="s">
        <v>106</v>
      </c>
      <c r="C49" s="54" t="s">
        <v>168</v>
      </c>
      <c r="D49" s="58" t="s">
        <v>232</v>
      </c>
      <c r="E49" s="9">
        <v>46</v>
      </c>
      <c r="F49" s="9">
        <v>20</v>
      </c>
      <c r="G49" s="30"/>
      <c r="H49" s="19">
        <f t="shared" si="41"/>
        <v>66</v>
      </c>
      <c r="I49" s="19">
        <v>4</v>
      </c>
      <c r="J49" s="19" t="str">
        <f t="shared" si="42"/>
        <v>7</v>
      </c>
      <c r="K49" s="19" t="str">
        <f t="shared" si="43"/>
        <v>B+</v>
      </c>
      <c r="L49" s="19">
        <f t="shared" si="44"/>
        <v>28</v>
      </c>
      <c r="M49" s="19"/>
      <c r="N49" s="9">
        <v>44</v>
      </c>
      <c r="O49" s="9">
        <v>36</v>
      </c>
      <c r="P49" s="30"/>
      <c r="Q49" s="19">
        <f t="shared" si="45"/>
        <v>80</v>
      </c>
      <c r="R49" s="19">
        <v>4</v>
      </c>
      <c r="S49" s="19" t="str">
        <f t="shared" si="46"/>
        <v>9</v>
      </c>
      <c r="T49" s="19" t="str">
        <f t="shared" si="47"/>
        <v>A+</v>
      </c>
      <c r="U49" s="19">
        <f t="shared" si="48"/>
        <v>36</v>
      </c>
      <c r="V49" s="19"/>
      <c r="W49" s="9">
        <v>47</v>
      </c>
      <c r="X49" s="9">
        <v>42</v>
      </c>
      <c r="Y49" s="19"/>
      <c r="Z49" s="19">
        <f t="shared" si="49"/>
        <v>89</v>
      </c>
      <c r="AA49" s="19">
        <v>3</v>
      </c>
      <c r="AB49" s="19" t="str">
        <f t="shared" si="50"/>
        <v>9</v>
      </c>
      <c r="AC49" s="19" t="str">
        <f t="shared" si="51"/>
        <v>A+</v>
      </c>
      <c r="AD49" s="19">
        <f t="shared" si="52"/>
        <v>27</v>
      </c>
      <c r="AE49" s="19"/>
      <c r="AF49" s="56">
        <v>45</v>
      </c>
      <c r="AG49" s="56">
        <v>36</v>
      </c>
      <c r="AH49" s="30"/>
      <c r="AI49" s="19">
        <f t="shared" si="53"/>
        <v>81</v>
      </c>
      <c r="AJ49" s="19">
        <v>3</v>
      </c>
      <c r="AK49" s="19" t="str">
        <f t="shared" si="54"/>
        <v>9</v>
      </c>
      <c r="AL49" s="19" t="str">
        <f t="shared" si="55"/>
        <v>A+</v>
      </c>
      <c r="AM49" s="19">
        <f t="shared" si="56"/>
        <v>27</v>
      </c>
      <c r="AN49" s="19"/>
      <c r="AO49" s="56">
        <v>45</v>
      </c>
      <c r="AP49" s="56">
        <v>26</v>
      </c>
      <c r="AQ49" s="30"/>
      <c r="AR49" s="19">
        <f t="shared" si="57"/>
        <v>71</v>
      </c>
      <c r="AS49" s="19">
        <v>3</v>
      </c>
      <c r="AT49" s="19" t="str">
        <f t="shared" si="58"/>
        <v>8</v>
      </c>
      <c r="AU49" s="19" t="str">
        <f t="shared" si="59"/>
        <v>A</v>
      </c>
      <c r="AV49" s="19">
        <f t="shared" si="60"/>
        <v>24</v>
      </c>
      <c r="AW49" s="19"/>
      <c r="AX49" s="9">
        <v>45</v>
      </c>
      <c r="AY49" s="9">
        <v>30</v>
      </c>
      <c r="AZ49" s="30"/>
      <c r="BA49" s="19">
        <f t="shared" si="61"/>
        <v>75</v>
      </c>
      <c r="BB49" s="19">
        <v>1</v>
      </c>
      <c r="BC49" s="19" t="str">
        <f t="shared" si="62"/>
        <v>8</v>
      </c>
      <c r="BD49" s="19" t="str">
        <f t="shared" si="63"/>
        <v>A</v>
      </c>
      <c r="BE49" s="19">
        <f t="shared" si="64"/>
        <v>8</v>
      </c>
      <c r="BF49" s="53" t="s">
        <v>92</v>
      </c>
      <c r="BG49" s="9">
        <v>44</v>
      </c>
      <c r="BH49" s="9">
        <v>23</v>
      </c>
      <c r="BI49" s="30"/>
      <c r="BJ49" s="19">
        <f t="shared" si="65"/>
        <v>67</v>
      </c>
      <c r="BK49" s="19">
        <v>1</v>
      </c>
      <c r="BL49" s="19" t="str">
        <f t="shared" si="66"/>
        <v>7</v>
      </c>
      <c r="BM49" s="19" t="str">
        <f t="shared" si="67"/>
        <v>B+</v>
      </c>
      <c r="BN49" s="19">
        <f t="shared" si="68"/>
        <v>7</v>
      </c>
      <c r="BO49" s="19"/>
      <c r="BP49" s="9">
        <v>45</v>
      </c>
      <c r="BQ49" s="9">
        <v>41</v>
      </c>
      <c r="BR49" s="30"/>
      <c r="BS49" s="19">
        <f t="shared" si="69"/>
        <v>86</v>
      </c>
      <c r="BT49" s="19">
        <v>1</v>
      </c>
      <c r="BU49" s="19" t="str">
        <f t="shared" si="70"/>
        <v>9</v>
      </c>
      <c r="BV49" s="19" t="str">
        <f t="shared" si="71"/>
        <v>A+</v>
      </c>
      <c r="BW49" s="19">
        <f t="shared" si="72"/>
        <v>9</v>
      </c>
      <c r="BX49" s="19"/>
      <c r="BY49" s="19"/>
      <c r="BZ49" s="19">
        <f t="shared" si="73"/>
        <v>166</v>
      </c>
      <c r="CA49" s="20">
        <f t="shared" si="74"/>
        <v>8.3000000000000007</v>
      </c>
      <c r="CB49" s="35" t="str">
        <f t="shared" si="75"/>
        <v>A+</v>
      </c>
      <c r="CC49" s="31">
        <f t="shared" si="76"/>
        <v>78.850000000000009</v>
      </c>
      <c r="CD49" s="31"/>
      <c r="CE49" s="35">
        <f t="shared" si="77"/>
        <v>615</v>
      </c>
      <c r="CF49" s="35">
        <f t="shared" si="78"/>
        <v>76.875</v>
      </c>
      <c r="CG49" s="31"/>
      <c r="CH49" s="31"/>
      <c r="CI49" s="31" t="str">
        <f t="shared" si="79"/>
        <v>FCD</v>
      </c>
    </row>
    <row r="50" spans="1:87" ht="15.75" x14ac:dyDescent="0.25">
      <c r="A50" s="44">
        <v>1</v>
      </c>
      <c r="B50" s="46" t="s">
        <v>98</v>
      </c>
      <c r="C50" s="54" t="s">
        <v>160</v>
      </c>
      <c r="D50" s="58" t="s">
        <v>232</v>
      </c>
      <c r="E50" s="43">
        <v>43</v>
      </c>
      <c r="F50" s="43">
        <v>26</v>
      </c>
      <c r="G50" s="30"/>
      <c r="H50" s="19">
        <f t="shared" si="41"/>
        <v>69</v>
      </c>
      <c r="I50" s="19">
        <v>4</v>
      </c>
      <c r="J50" s="19" t="str">
        <f t="shared" si="42"/>
        <v>7</v>
      </c>
      <c r="K50" s="19" t="str">
        <f t="shared" si="43"/>
        <v>B+</v>
      </c>
      <c r="L50" s="19">
        <f t="shared" si="44"/>
        <v>28</v>
      </c>
      <c r="M50" s="19"/>
      <c r="N50" s="43">
        <v>47</v>
      </c>
      <c r="O50" s="43">
        <v>27</v>
      </c>
      <c r="P50" s="30"/>
      <c r="Q50" s="19">
        <f t="shared" si="45"/>
        <v>74</v>
      </c>
      <c r="R50" s="19">
        <v>4</v>
      </c>
      <c r="S50" s="19" t="str">
        <f t="shared" si="46"/>
        <v>8</v>
      </c>
      <c r="T50" s="19" t="str">
        <f t="shared" si="47"/>
        <v>A</v>
      </c>
      <c r="U50" s="19">
        <f t="shared" si="48"/>
        <v>32</v>
      </c>
      <c r="V50" s="19"/>
      <c r="W50" s="43">
        <v>45</v>
      </c>
      <c r="X50" s="43">
        <v>45</v>
      </c>
      <c r="Y50" s="19"/>
      <c r="Z50" s="19">
        <f t="shared" si="49"/>
        <v>90</v>
      </c>
      <c r="AA50" s="19">
        <v>3</v>
      </c>
      <c r="AB50" s="19" t="str">
        <f t="shared" si="50"/>
        <v>10</v>
      </c>
      <c r="AC50" s="19" t="str">
        <f t="shared" si="51"/>
        <v>O</v>
      </c>
      <c r="AD50" s="19">
        <f t="shared" si="52"/>
        <v>30</v>
      </c>
      <c r="AE50" s="19"/>
      <c r="AF50" s="56">
        <v>40</v>
      </c>
      <c r="AG50" s="56">
        <v>32</v>
      </c>
      <c r="AH50" s="30"/>
      <c r="AI50" s="19">
        <f t="shared" si="53"/>
        <v>72</v>
      </c>
      <c r="AJ50" s="19">
        <v>3</v>
      </c>
      <c r="AK50" s="19" t="str">
        <f t="shared" si="54"/>
        <v>8</v>
      </c>
      <c r="AL50" s="19" t="str">
        <f t="shared" si="55"/>
        <v>A</v>
      </c>
      <c r="AM50" s="19">
        <f t="shared" si="56"/>
        <v>24</v>
      </c>
      <c r="AN50" s="19"/>
      <c r="AO50" s="56">
        <v>43</v>
      </c>
      <c r="AP50" s="56">
        <v>31</v>
      </c>
      <c r="AQ50" s="30"/>
      <c r="AR50" s="19">
        <f t="shared" si="57"/>
        <v>74</v>
      </c>
      <c r="AS50" s="19">
        <v>3</v>
      </c>
      <c r="AT50" s="19" t="str">
        <f t="shared" si="58"/>
        <v>8</v>
      </c>
      <c r="AU50" s="19" t="str">
        <f t="shared" si="59"/>
        <v>A</v>
      </c>
      <c r="AV50" s="19">
        <f t="shared" si="60"/>
        <v>24</v>
      </c>
      <c r="AW50" s="19"/>
      <c r="AX50" s="43">
        <v>46</v>
      </c>
      <c r="AY50" s="43">
        <v>30</v>
      </c>
      <c r="AZ50" s="30"/>
      <c r="BA50" s="19">
        <f t="shared" si="61"/>
        <v>76</v>
      </c>
      <c r="BB50" s="19">
        <v>1</v>
      </c>
      <c r="BC50" s="19" t="str">
        <f t="shared" si="62"/>
        <v>8</v>
      </c>
      <c r="BD50" s="19" t="str">
        <f t="shared" si="63"/>
        <v>A</v>
      </c>
      <c r="BE50" s="19">
        <f t="shared" si="64"/>
        <v>8</v>
      </c>
      <c r="BF50" s="53" t="s">
        <v>97</v>
      </c>
      <c r="BG50" s="43">
        <v>49</v>
      </c>
      <c r="BH50" s="43">
        <v>49</v>
      </c>
      <c r="BI50" s="30"/>
      <c r="BJ50" s="19">
        <f t="shared" si="65"/>
        <v>98</v>
      </c>
      <c r="BK50" s="19">
        <v>1</v>
      </c>
      <c r="BL50" s="19" t="str">
        <f t="shared" si="66"/>
        <v>10</v>
      </c>
      <c r="BM50" s="19" t="str">
        <f t="shared" si="67"/>
        <v>O</v>
      </c>
      <c r="BN50" s="19">
        <f t="shared" si="68"/>
        <v>10</v>
      </c>
      <c r="BO50" s="19"/>
      <c r="BP50" s="43">
        <v>46</v>
      </c>
      <c r="BQ50" s="43">
        <v>40</v>
      </c>
      <c r="BR50" s="30"/>
      <c r="BS50" s="19">
        <f t="shared" si="69"/>
        <v>86</v>
      </c>
      <c r="BT50" s="19">
        <v>1</v>
      </c>
      <c r="BU50" s="19" t="str">
        <f t="shared" si="70"/>
        <v>9</v>
      </c>
      <c r="BV50" s="19" t="str">
        <f t="shared" si="71"/>
        <v>A+</v>
      </c>
      <c r="BW50" s="19">
        <f t="shared" si="72"/>
        <v>9</v>
      </c>
      <c r="BX50" s="19"/>
      <c r="BY50" s="19"/>
      <c r="BZ50" s="19">
        <f t="shared" si="73"/>
        <v>165</v>
      </c>
      <c r="CA50" s="20">
        <f t="shared" si="74"/>
        <v>8.25</v>
      </c>
      <c r="CB50" s="35" t="str">
        <f t="shared" si="75"/>
        <v>A+</v>
      </c>
      <c r="CC50" s="31">
        <f t="shared" si="76"/>
        <v>78.375</v>
      </c>
      <c r="CD50" s="31"/>
      <c r="CE50" s="35">
        <f t="shared" si="77"/>
        <v>639</v>
      </c>
      <c r="CF50" s="35">
        <f t="shared" si="78"/>
        <v>79.875</v>
      </c>
      <c r="CG50" s="31"/>
      <c r="CH50" s="31"/>
      <c r="CI50" s="31" t="str">
        <f t="shared" si="79"/>
        <v>FCD</v>
      </c>
    </row>
    <row r="51" spans="1:87" ht="15.75" x14ac:dyDescent="0.25">
      <c r="A51" s="44">
        <f>A50+1</f>
        <v>2</v>
      </c>
      <c r="B51" s="47" t="s">
        <v>127</v>
      </c>
      <c r="C51" s="54" t="s">
        <v>189</v>
      </c>
      <c r="D51" s="58" t="s">
        <v>232</v>
      </c>
      <c r="E51" s="9">
        <v>43</v>
      </c>
      <c r="F51" s="9">
        <v>34</v>
      </c>
      <c r="G51" s="30"/>
      <c r="H51" s="19">
        <f t="shared" si="41"/>
        <v>77</v>
      </c>
      <c r="I51" s="19">
        <v>4</v>
      </c>
      <c r="J51" s="19" t="str">
        <f t="shared" si="42"/>
        <v>8</v>
      </c>
      <c r="K51" s="19" t="str">
        <f t="shared" si="43"/>
        <v>A</v>
      </c>
      <c r="L51" s="19">
        <f t="shared" si="44"/>
        <v>32</v>
      </c>
      <c r="M51" s="19"/>
      <c r="N51" s="9">
        <v>43</v>
      </c>
      <c r="O51" s="9">
        <v>35</v>
      </c>
      <c r="P51" s="30"/>
      <c r="Q51" s="19">
        <f t="shared" si="45"/>
        <v>78</v>
      </c>
      <c r="R51" s="19">
        <v>4</v>
      </c>
      <c r="S51" s="19" t="str">
        <f t="shared" si="46"/>
        <v>8</v>
      </c>
      <c r="T51" s="19" t="str">
        <f t="shared" si="47"/>
        <v>A</v>
      </c>
      <c r="U51" s="19">
        <f t="shared" si="48"/>
        <v>32</v>
      </c>
      <c r="V51" s="19"/>
      <c r="W51" s="9">
        <v>48</v>
      </c>
      <c r="X51" s="9">
        <v>40</v>
      </c>
      <c r="Y51" s="19"/>
      <c r="Z51" s="19">
        <f t="shared" si="49"/>
        <v>88</v>
      </c>
      <c r="AA51" s="19">
        <v>3</v>
      </c>
      <c r="AB51" s="19" t="str">
        <f t="shared" si="50"/>
        <v>9</v>
      </c>
      <c r="AC51" s="19" t="str">
        <f t="shared" si="51"/>
        <v>A+</v>
      </c>
      <c r="AD51" s="19">
        <f t="shared" si="52"/>
        <v>27</v>
      </c>
      <c r="AE51" s="19"/>
      <c r="AF51" s="56">
        <v>41</v>
      </c>
      <c r="AG51" s="56">
        <v>36</v>
      </c>
      <c r="AH51" s="30"/>
      <c r="AI51" s="19">
        <f t="shared" si="53"/>
        <v>77</v>
      </c>
      <c r="AJ51" s="19">
        <v>3</v>
      </c>
      <c r="AK51" s="19" t="str">
        <f t="shared" si="54"/>
        <v>8</v>
      </c>
      <c r="AL51" s="19" t="str">
        <f t="shared" si="55"/>
        <v>A</v>
      </c>
      <c r="AM51" s="19">
        <f t="shared" si="56"/>
        <v>24</v>
      </c>
      <c r="AN51" s="19"/>
      <c r="AO51" s="56">
        <v>45</v>
      </c>
      <c r="AP51" s="56">
        <v>26</v>
      </c>
      <c r="AQ51" s="30"/>
      <c r="AR51" s="19">
        <f t="shared" si="57"/>
        <v>71</v>
      </c>
      <c r="AS51" s="19">
        <v>3</v>
      </c>
      <c r="AT51" s="19" t="str">
        <f t="shared" si="58"/>
        <v>8</v>
      </c>
      <c r="AU51" s="19" t="str">
        <f t="shared" si="59"/>
        <v>A</v>
      </c>
      <c r="AV51" s="19">
        <f t="shared" si="60"/>
        <v>24</v>
      </c>
      <c r="AW51" s="19"/>
      <c r="AX51" s="9">
        <v>46</v>
      </c>
      <c r="AY51" s="9">
        <v>25</v>
      </c>
      <c r="AZ51" s="30"/>
      <c r="BA51" s="19">
        <f t="shared" si="61"/>
        <v>71</v>
      </c>
      <c r="BB51" s="19">
        <v>1</v>
      </c>
      <c r="BC51" s="19" t="str">
        <f t="shared" si="62"/>
        <v>8</v>
      </c>
      <c r="BD51" s="19" t="str">
        <f t="shared" si="63"/>
        <v>A</v>
      </c>
      <c r="BE51" s="19">
        <f t="shared" si="64"/>
        <v>8</v>
      </c>
      <c r="BF51" s="53" t="s">
        <v>92</v>
      </c>
      <c r="BG51" s="9">
        <v>46</v>
      </c>
      <c r="BH51" s="9">
        <v>42</v>
      </c>
      <c r="BI51" s="30"/>
      <c r="BJ51" s="19">
        <f t="shared" si="65"/>
        <v>88</v>
      </c>
      <c r="BK51" s="19">
        <v>1</v>
      </c>
      <c r="BL51" s="19" t="str">
        <f t="shared" si="66"/>
        <v>9</v>
      </c>
      <c r="BM51" s="19" t="str">
        <f t="shared" si="67"/>
        <v>A+</v>
      </c>
      <c r="BN51" s="19">
        <f t="shared" si="68"/>
        <v>9</v>
      </c>
      <c r="BO51" s="19"/>
      <c r="BP51" s="9">
        <v>46</v>
      </c>
      <c r="BQ51" s="9">
        <v>38</v>
      </c>
      <c r="BR51" s="30"/>
      <c r="BS51" s="19">
        <f t="shared" si="69"/>
        <v>84</v>
      </c>
      <c r="BT51" s="19">
        <v>1</v>
      </c>
      <c r="BU51" s="19" t="str">
        <f t="shared" si="70"/>
        <v>9</v>
      </c>
      <c r="BV51" s="19" t="str">
        <f t="shared" si="71"/>
        <v>A+</v>
      </c>
      <c r="BW51" s="19">
        <f t="shared" si="72"/>
        <v>9</v>
      </c>
      <c r="BX51" s="19"/>
      <c r="BY51" s="19"/>
      <c r="BZ51" s="19">
        <f t="shared" si="73"/>
        <v>165</v>
      </c>
      <c r="CA51" s="20">
        <f t="shared" si="74"/>
        <v>8.25</v>
      </c>
      <c r="CB51" s="35" t="str">
        <f t="shared" si="75"/>
        <v>A+</v>
      </c>
      <c r="CC51" s="31">
        <f t="shared" si="76"/>
        <v>78.375</v>
      </c>
      <c r="CD51" s="31"/>
      <c r="CE51" s="35">
        <f t="shared" si="77"/>
        <v>634</v>
      </c>
      <c r="CF51" s="35">
        <f t="shared" si="78"/>
        <v>79.25</v>
      </c>
      <c r="CG51" s="31"/>
      <c r="CH51" s="31"/>
      <c r="CI51" s="31" t="str">
        <f t="shared" si="79"/>
        <v>FCD</v>
      </c>
    </row>
    <row r="52" spans="1:87" ht="15.75" x14ac:dyDescent="0.25">
      <c r="A52" s="44">
        <f>A51+1</f>
        <v>3</v>
      </c>
      <c r="B52" s="47" t="s">
        <v>114</v>
      </c>
      <c r="C52" s="54" t="s">
        <v>176</v>
      </c>
      <c r="D52" s="58" t="s">
        <v>232</v>
      </c>
      <c r="E52" s="9">
        <v>46</v>
      </c>
      <c r="F52" s="9">
        <v>31</v>
      </c>
      <c r="G52" s="30"/>
      <c r="H52" s="19">
        <f t="shared" si="41"/>
        <v>77</v>
      </c>
      <c r="I52" s="19">
        <v>4</v>
      </c>
      <c r="J52" s="19" t="str">
        <f t="shared" si="42"/>
        <v>8</v>
      </c>
      <c r="K52" s="19" t="str">
        <f t="shared" si="43"/>
        <v>A</v>
      </c>
      <c r="L52" s="19">
        <f t="shared" si="44"/>
        <v>32</v>
      </c>
      <c r="M52" s="19"/>
      <c r="N52" s="9">
        <v>42</v>
      </c>
      <c r="O52" s="9">
        <v>22</v>
      </c>
      <c r="P52" s="30"/>
      <c r="Q52" s="19">
        <f t="shared" si="45"/>
        <v>64</v>
      </c>
      <c r="R52" s="19">
        <v>4</v>
      </c>
      <c r="S52" s="19" t="str">
        <f t="shared" si="46"/>
        <v>7</v>
      </c>
      <c r="T52" s="19" t="str">
        <f t="shared" si="47"/>
        <v>B+</v>
      </c>
      <c r="U52" s="19">
        <f t="shared" si="48"/>
        <v>28</v>
      </c>
      <c r="V52" s="19"/>
      <c r="W52" s="9">
        <v>50</v>
      </c>
      <c r="X52" s="9">
        <v>48</v>
      </c>
      <c r="Y52" s="19"/>
      <c r="Z52" s="19">
        <f t="shared" si="49"/>
        <v>98</v>
      </c>
      <c r="AA52" s="19">
        <v>3</v>
      </c>
      <c r="AB52" s="19" t="str">
        <f t="shared" si="50"/>
        <v>10</v>
      </c>
      <c r="AC52" s="19" t="str">
        <f t="shared" si="51"/>
        <v>O</v>
      </c>
      <c r="AD52" s="19">
        <f t="shared" si="52"/>
        <v>30</v>
      </c>
      <c r="AE52" s="19"/>
      <c r="AF52" s="56">
        <v>43</v>
      </c>
      <c r="AG52" s="56">
        <v>36</v>
      </c>
      <c r="AH52" s="30"/>
      <c r="AI52" s="19">
        <f t="shared" si="53"/>
        <v>79</v>
      </c>
      <c r="AJ52" s="19">
        <v>3</v>
      </c>
      <c r="AK52" s="19" t="str">
        <f t="shared" si="54"/>
        <v>8</v>
      </c>
      <c r="AL52" s="19" t="str">
        <f t="shared" si="55"/>
        <v>A</v>
      </c>
      <c r="AM52" s="19">
        <f t="shared" si="56"/>
        <v>24</v>
      </c>
      <c r="AN52" s="19"/>
      <c r="AO52" s="56">
        <v>49</v>
      </c>
      <c r="AP52" s="56">
        <v>22</v>
      </c>
      <c r="AQ52" s="30"/>
      <c r="AR52" s="19">
        <f t="shared" si="57"/>
        <v>71</v>
      </c>
      <c r="AS52" s="19">
        <v>3</v>
      </c>
      <c r="AT52" s="19" t="str">
        <f t="shared" si="58"/>
        <v>8</v>
      </c>
      <c r="AU52" s="19" t="str">
        <f t="shared" si="59"/>
        <v>A</v>
      </c>
      <c r="AV52" s="19">
        <f t="shared" si="60"/>
        <v>24</v>
      </c>
      <c r="AW52" s="19"/>
      <c r="AX52" s="9">
        <v>46</v>
      </c>
      <c r="AY52" s="9">
        <v>36</v>
      </c>
      <c r="AZ52" s="30"/>
      <c r="BA52" s="19">
        <f t="shared" si="61"/>
        <v>82</v>
      </c>
      <c r="BB52" s="19">
        <v>1</v>
      </c>
      <c r="BC52" s="19" t="str">
        <f t="shared" si="62"/>
        <v>9</v>
      </c>
      <c r="BD52" s="19" t="str">
        <f t="shared" si="63"/>
        <v>A+</v>
      </c>
      <c r="BE52" s="19">
        <f t="shared" si="64"/>
        <v>9</v>
      </c>
      <c r="BF52" s="53" t="s">
        <v>92</v>
      </c>
      <c r="BG52" s="9">
        <v>46</v>
      </c>
      <c r="BH52" s="9">
        <v>35</v>
      </c>
      <c r="BI52" s="30"/>
      <c r="BJ52" s="19">
        <f t="shared" si="65"/>
        <v>81</v>
      </c>
      <c r="BK52" s="19">
        <v>1</v>
      </c>
      <c r="BL52" s="19" t="str">
        <f t="shared" si="66"/>
        <v>9</v>
      </c>
      <c r="BM52" s="19" t="str">
        <f t="shared" si="67"/>
        <v>A+</v>
      </c>
      <c r="BN52" s="19">
        <f t="shared" si="68"/>
        <v>9</v>
      </c>
      <c r="BO52" s="19"/>
      <c r="BP52" s="9">
        <v>44</v>
      </c>
      <c r="BQ52" s="9">
        <v>36</v>
      </c>
      <c r="BR52" s="30"/>
      <c r="BS52" s="19">
        <f t="shared" si="69"/>
        <v>80</v>
      </c>
      <c r="BT52" s="19">
        <v>1</v>
      </c>
      <c r="BU52" s="19" t="str">
        <f t="shared" si="70"/>
        <v>9</v>
      </c>
      <c r="BV52" s="19" t="str">
        <f t="shared" si="71"/>
        <v>A+</v>
      </c>
      <c r="BW52" s="19">
        <f t="shared" si="72"/>
        <v>9</v>
      </c>
      <c r="BX52" s="19"/>
      <c r="BY52" s="19"/>
      <c r="BZ52" s="19">
        <f t="shared" si="73"/>
        <v>165</v>
      </c>
      <c r="CA52" s="20">
        <f t="shared" si="74"/>
        <v>8.25</v>
      </c>
      <c r="CB52" s="35" t="str">
        <f t="shared" si="75"/>
        <v>A+</v>
      </c>
      <c r="CC52" s="31">
        <f t="shared" si="76"/>
        <v>78.375</v>
      </c>
      <c r="CD52" s="31"/>
      <c r="CE52" s="35">
        <f t="shared" si="77"/>
        <v>632</v>
      </c>
      <c r="CF52" s="35">
        <f t="shared" si="78"/>
        <v>79</v>
      </c>
      <c r="CG52" s="31"/>
      <c r="CH52" s="31"/>
      <c r="CI52" s="31" t="str">
        <f t="shared" si="79"/>
        <v>FCD</v>
      </c>
    </row>
    <row r="53" spans="1:87" ht="15.75" x14ac:dyDescent="0.25">
      <c r="A53" s="44">
        <f>A52+1</f>
        <v>4</v>
      </c>
      <c r="B53" s="47" t="s">
        <v>123</v>
      </c>
      <c r="C53" s="54" t="s">
        <v>185</v>
      </c>
      <c r="D53" s="58" t="s">
        <v>232</v>
      </c>
      <c r="E53" s="9">
        <v>44</v>
      </c>
      <c r="F53" s="9">
        <v>37</v>
      </c>
      <c r="G53" s="30"/>
      <c r="H53" s="19">
        <f t="shared" si="41"/>
        <v>81</v>
      </c>
      <c r="I53" s="19">
        <v>4</v>
      </c>
      <c r="J53" s="19" t="str">
        <f t="shared" si="42"/>
        <v>9</v>
      </c>
      <c r="K53" s="19" t="str">
        <f t="shared" si="43"/>
        <v>A+</v>
      </c>
      <c r="L53" s="19">
        <f t="shared" si="44"/>
        <v>36</v>
      </c>
      <c r="M53" s="19"/>
      <c r="N53" s="9">
        <v>44</v>
      </c>
      <c r="O53" s="9">
        <v>34</v>
      </c>
      <c r="P53" s="30"/>
      <c r="Q53" s="19">
        <f t="shared" si="45"/>
        <v>78</v>
      </c>
      <c r="R53" s="19">
        <v>4</v>
      </c>
      <c r="S53" s="19" t="str">
        <f t="shared" si="46"/>
        <v>8</v>
      </c>
      <c r="T53" s="19" t="str">
        <f t="shared" si="47"/>
        <v>A</v>
      </c>
      <c r="U53" s="19">
        <f t="shared" si="48"/>
        <v>32</v>
      </c>
      <c r="V53" s="19"/>
      <c r="W53" s="9">
        <v>45</v>
      </c>
      <c r="X53" s="9">
        <v>44</v>
      </c>
      <c r="Y53" s="19"/>
      <c r="Z53" s="19">
        <f t="shared" si="49"/>
        <v>89</v>
      </c>
      <c r="AA53" s="19">
        <v>3</v>
      </c>
      <c r="AB53" s="19" t="str">
        <f t="shared" si="50"/>
        <v>9</v>
      </c>
      <c r="AC53" s="19" t="str">
        <f t="shared" si="51"/>
        <v>A+</v>
      </c>
      <c r="AD53" s="19">
        <f t="shared" si="52"/>
        <v>27</v>
      </c>
      <c r="AE53" s="19"/>
      <c r="AF53" s="56">
        <v>40</v>
      </c>
      <c r="AG53" s="56">
        <v>33</v>
      </c>
      <c r="AH53" s="30"/>
      <c r="AI53" s="19">
        <f t="shared" si="53"/>
        <v>73</v>
      </c>
      <c r="AJ53" s="19">
        <v>3</v>
      </c>
      <c r="AK53" s="19" t="str">
        <f t="shared" si="54"/>
        <v>8</v>
      </c>
      <c r="AL53" s="19" t="str">
        <f t="shared" si="55"/>
        <v>A</v>
      </c>
      <c r="AM53" s="19">
        <f t="shared" si="56"/>
        <v>24</v>
      </c>
      <c r="AN53" s="19"/>
      <c r="AO53" s="56">
        <v>40</v>
      </c>
      <c r="AP53" s="56">
        <v>28</v>
      </c>
      <c r="AQ53" s="30"/>
      <c r="AR53" s="19">
        <f t="shared" si="57"/>
        <v>68</v>
      </c>
      <c r="AS53" s="19">
        <v>3</v>
      </c>
      <c r="AT53" s="19" t="str">
        <f t="shared" si="58"/>
        <v>7</v>
      </c>
      <c r="AU53" s="19" t="str">
        <f t="shared" si="59"/>
        <v>B+</v>
      </c>
      <c r="AV53" s="19">
        <f t="shared" si="60"/>
        <v>21</v>
      </c>
      <c r="AW53" s="19"/>
      <c r="AX53" s="9">
        <v>45</v>
      </c>
      <c r="AY53" s="9">
        <v>33</v>
      </c>
      <c r="AZ53" s="30"/>
      <c r="BA53" s="19">
        <f t="shared" si="61"/>
        <v>78</v>
      </c>
      <c r="BB53" s="19">
        <v>1</v>
      </c>
      <c r="BC53" s="19" t="str">
        <f t="shared" si="62"/>
        <v>8</v>
      </c>
      <c r="BD53" s="19" t="str">
        <f t="shared" si="63"/>
        <v>A</v>
      </c>
      <c r="BE53" s="19">
        <f t="shared" si="64"/>
        <v>8</v>
      </c>
      <c r="BF53" s="53" t="s">
        <v>92</v>
      </c>
      <c r="BG53" s="9">
        <v>43</v>
      </c>
      <c r="BH53" s="9">
        <v>29</v>
      </c>
      <c r="BI53" s="30"/>
      <c r="BJ53" s="19">
        <f t="shared" si="65"/>
        <v>72</v>
      </c>
      <c r="BK53" s="19">
        <v>1</v>
      </c>
      <c r="BL53" s="19" t="str">
        <f t="shared" si="66"/>
        <v>8</v>
      </c>
      <c r="BM53" s="19" t="str">
        <f t="shared" si="67"/>
        <v>A</v>
      </c>
      <c r="BN53" s="19">
        <f t="shared" si="68"/>
        <v>8</v>
      </c>
      <c r="BO53" s="19"/>
      <c r="BP53" s="9">
        <v>48</v>
      </c>
      <c r="BQ53" s="9">
        <v>41</v>
      </c>
      <c r="BR53" s="30"/>
      <c r="BS53" s="19">
        <f t="shared" si="69"/>
        <v>89</v>
      </c>
      <c r="BT53" s="19">
        <v>1</v>
      </c>
      <c r="BU53" s="19" t="str">
        <f t="shared" si="70"/>
        <v>9</v>
      </c>
      <c r="BV53" s="19" t="str">
        <f t="shared" si="71"/>
        <v>A+</v>
      </c>
      <c r="BW53" s="19">
        <f t="shared" si="72"/>
        <v>9</v>
      </c>
      <c r="BX53" s="19"/>
      <c r="BY53" s="19"/>
      <c r="BZ53" s="19">
        <f t="shared" si="73"/>
        <v>165</v>
      </c>
      <c r="CA53" s="20">
        <f t="shared" si="74"/>
        <v>8.25</v>
      </c>
      <c r="CB53" s="35" t="str">
        <f t="shared" si="75"/>
        <v>A+</v>
      </c>
      <c r="CC53" s="31">
        <f t="shared" si="76"/>
        <v>78.375</v>
      </c>
      <c r="CD53" s="31"/>
      <c r="CE53" s="35">
        <f t="shared" si="77"/>
        <v>628</v>
      </c>
      <c r="CF53" s="35">
        <f t="shared" si="78"/>
        <v>78.5</v>
      </c>
      <c r="CG53" s="31"/>
      <c r="CH53" s="31"/>
      <c r="CI53" s="31" t="str">
        <f t="shared" si="79"/>
        <v>FCD</v>
      </c>
    </row>
    <row r="54" spans="1:87" ht="15.75" x14ac:dyDescent="0.25">
      <c r="A54" s="44">
        <f>A53+1</f>
        <v>5</v>
      </c>
      <c r="B54" s="47" t="s">
        <v>134</v>
      </c>
      <c r="C54" s="55" t="s">
        <v>196</v>
      </c>
      <c r="D54" s="58" t="s">
        <v>232</v>
      </c>
      <c r="E54" s="9">
        <v>49</v>
      </c>
      <c r="F54" s="9">
        <v>31</v>
      </c>
      <c r="G54" s="30"/>
      <c r="H54" s="19">
        <f t="shared" si="41"/>
        <v>80</v>
      </c>
      <c r="I54" s="19">
        <v>4</v>
      </c>
      <c r="J54" s="19" t="str">
        <f t="shared" si="42"/>
        <v>9</v>
      </c>
      <c r="K54" s="19" t="str">
        <f t="shared" si="43"/>
        <v>A+</v>
      </c>
      <c r="L54" s="19">
        <f t="shared" si="44"/>
        <v>36</v>
      </c>
      <c r="M54" s="19"/>
      <c r="N54" s="9">
        <v>45</v>
      </c>
      <c r="O54" s="9">
        <v>22</v>
      </c>
      <c r="P54" s="30"/>
      <c r="Q54" s="19">
        <f t="shared" si="45"/>
        <v>67</v>
      </c>
      <c r="R54" s="19">
        <v>4</v>
      </c>
      <c r="S54" s="19" t="str">
        <f t="shared" si="46"/>
        <v>7</v>
      </c>
      <c r="T54" s="19" t="str">
        <f t="shared" si="47"/>
        <v>B+</v>
      </c>
      <c r="U54" s="19">
        <f t="shared" si="48"/>
        <v>28</v>
      </c>
      <c r="V54" s="19"/>
      <c r="W54" s="9">
        <v>45</v>
      </c>
      <c r="X54" s="9">
        <v>42</v>
      </c>
      <c r="Y54" s="19"/>
      <c r="Z54" s="19">
        <f t="shared" si="49"/>
        <v>87</v>
      </c>
      <c r="AA54" s="19">
        <v>3</v>
      </c>
      <c r="AB54" s="19" t="str">
        <f t="shared" si="50"/>
        <v>9</v>
      </c>
      <c r="AC54" s="19" t="str">
        <f t="shared" si="51"/>
        <v>A+</v>
      </c>
      <c r="AD54" s="19">
        <f t="shared" si="52"/>
        <v>27</v>
      </c>
      <c r="AE54" s="19"/>
      <c r="AF54" s="56">
        <v>41</v>
      </c>
      <c r="AG54" s="56">
        <v>32</v>
      </c>
      <c r="AH54" s="30"/>
      <c r="AI54" s="19">
        <f t="shared" si="53"/>
        <v>73</v>
      </c>
      <c r="AJ54" s="19">
        <v>3</v>
      </c>
      <c r="AK54" s="19" t="str">
        <f t="shared" si="54"/>
        <v>8</v>
      </c>
      <c r="AL54" s="19" t="str">
        <f t="shared" si="55"/>
        <v>A</v>
      </c>
      <c r="AM54" s="19">
        <f t="shared" si="56"/>
        <v>24</v>
      </c>
      <c r="AN54" s="19"/>
      <c r="AO54" s="56">
        <v>41</v>
      </c>
      <c r="AP54" s="56">
        <v>33</v>
      </c>
      <c r="AQ54" s="30"/>
      <c r="AR54" s="19">
        <f t="shared" si="57"/>
        <v>74</v>
      </c>
      <c r="AS54" s="19">
        <v>3</v>
      </c>
      <c r="AT54" s="19" t="str">
        <f t="shared" si="58"/>
        <v>8</v>
      </c>
      <c r="AU54" s="19" t="str">
        <f t="shared" si="59"/>
        <v>A</v>
      </c>
      <c r="AV54" s="19">
        <f t="shared" si="60"/>
        <v>24</v>
      </c>
      <c r="AW54" s="19"/>
      <c r="AX54" s="9">
        <v>45</v>
      </c>
      <c r="AY54" s="9">
        <v>37</v>
      </c>
      <c r="AZ54" s="30"/>
      <c r="BA54" s="19">
        <f t="shared" si="61"/>
        <v>82</v>
      </c>
      <c r="BB54" s="19">
        <v>1</v>
      </c>
      <c r="BC54" s="19" t="str">
        <f t="shared" si="62"/>
        <v>9</v>
      </c>
      <c r="BD54" s="19" t="str">
        <f t="shared" si="63"/>
        <v>A+</v>
      </c>
      <c r="BE54" s="19">
        <f t="shared" si="64"/>
        <v>9</v>
      </c>
      <c r="BF54" s="53" t="s">
        <v>92</v>
      </c>
      <c r="BG54" s="9">
        <v>45</v>
      </c>
      <c r="BH54" s="9">
        <v>34</v>
      </c>
      <c r="BI54" s="30"/>
      <c r="BJ54" s="19">
        <f t="shared" si="65"/>
        <v>79</v>
      </c>
      <c r="BK54" s="19">
        <v>1</v>
      </c>
      <c r="BL54" s="19" t="str">
        <f t="shared" si="66"/>
        <v>8</v>
      </c>
      <c r="BM54" s="19" t="str">
        <f t="shared" si="67"/>
        <v>A</v>
      </c>
      <c r="BN54" s="19">
        <f t="shared" si="68"/>
        <v>8</v>
      </c>
      <c r="BO54" s="19"/>
      <c r="BP54" s="9">
        <v>41</v>
      </c>
      <c r="BQ54" s="9">
        <v>39</v>
      </c>
      <c r="BR54" s="30"/>
      <c r="BS54" s="19">
        <f t="shared" si="69"/>
        <v>80</v>
      </c>
      <c r="BT54" s="19">
        <v>1</v>
      </c>
      <c r="BU54" s="19" t="str">
        <f t="shared" si="70"/>
        <v>9</v>
      </c>
      <c r="BV54" s="19" t="str">
        <f t="shared" si="71"/>
        <v>A+</v>
      </c>
      <c r="BW54" s="19">
        <f t="shared" si="72"/>
        <v>9</v>
      </c>
      <c r="BX54" s="19"/>
      <c r="BY54" s="19"/>
      <c r="BZ54" s="19">
        <f t="shared" si="73"/>
        <v>165</v>
      </c>
      <c r="CA54" s="20">
        <f t="shared" si="74"/>
        <v>8.25</v>
      </c>
      <c r="CB54" s="35" t="str">
        <f t="shared" si="75"/>
        <v>A+</v>
      </c>
      <c r="CC54" s="31">
        <f t="shared" si="76"/>
        <v>78.375</v>
      </c>
      <c r="CD54" s="31"/>
      <c r="CE54" s="35">
        <f t="shared" si="77"/>
        <v>622</v>
      </c>
      <c r="CF54" s="35">
        <f t="shared" si="78"/>
        <v>77.75</v>
      </c>
      <c r="CG54" s="31"/>
      <c r="CH54" s="31"/>
      <c r="CI54" s="31" t="str">
        <f t="shared" si="79"/>
        <v>FCD</v>
      </c>
    </row>
    <row r="55" spans="1:87" ht="15.75" x14ac:dyDescent="0.25">
      <c r="A55" s="44">
        <v>61</v>
      </c>
      <c r="B55" s="46" t="s">
        <v>158</v>
      </c>
      <c r="C55" s="54" t="s">
        <v>220</v>
      </c>
      <c r="D55" s="58" t="s">
        <v>232</v>
      </c>
      <c r="E55" s="43">
        <v>45</v>
      </c>
      <c r="F55" s="43">
        <v>19</v>
      </c>
      <c r="G55" s="33"/>
      <c r="H55" s="27">
        <f t="shared" si="41"/>
        <v>64</v>
      </c>
      <c r="I55" s="19">
        <v>4</v>
      </c>
      <c r="J55" s="19" t="str">
        <f t="shared" si="42"/>
        <v>7</v>
      </c>
      <c r="K55" s="19" t="str">
        <f t="shared" si="43"/>
        <v>B+</v>
      </c>
      <c r="L55" s="27">
        <f t="shared" si="44"/>
        <v>28</v>
      </c>
      <c r="M55" s="27"/>
      <c r="N55" s="94">
        <v>44</v>
      </c>
      <c r="O55" s="94">
        <v>30</v>
      </c>
      <c r="P55" s="33"/>
      <c r="Q55" s="27">
        <f t="shared" si="45"/>
        <v>74</v>
      </c>
      <c r="R55" s="19">
        <v>4</v>
      </c>
      <c r="S55" s="19" t="str">
        <f t="shared" si="46"/>
        <v>8</v>
      </c>
      <c r="T55" s="19" t="str">
        <f t="shared" si="47"/>
        <v>A</v>
      </c>
      <c r="U55" s="27">
        <f t="shared" si="48"/>
        <v>32</v>
      </c>
      <c r="V55" s="27"/>
      <c r="W55" s="94">
        <v>38</v>
      </c>
      <c r="X55" s="94">
        <v>46</v>
      </c>
      <c r="Y55" s="27"/>
      <c r="Z55" s="27">
        <f t="shared" si="49"/>
        <v>84</v>
      </c>
      <c r="AA55" s="27">
        <v>3</v>
      </c>
      <c r="AB55" s="19" t="str">
        <f t="shared" si="50"/>
        <v>9</v>
      </c>
      <c r="AC55" s="19" t="str">
        <f t="shared" si="51"/>
        <v>A+</v>
      </c>
      <c r="AD55" s="27">
        <f t="shared" si="52"/>
        <v>27</v>
      </c>
      <c r="AE55" s="27"/>
      <c r="AF55" s="56">
        <v>42</v>
      </c>
      <c r="AG55" s="56">
        <v>29</v>
      </c>
      <c r="AH55" s="33"/>
      <c r="AI55" s="27">
        <f t="shared" si="53"/>
        <v>71</v>
      </c>
      <c r="AJ55" s="27">
        <v>3</v>
      </c>
      <c r="AK55" s="19" t="str">
        <f t="shared" si="54"/>
        <v>8</v>
      </c>
      <c r="AL55" s="19" t="str">
        <f t="shared" si="55"/>
        <v>A</v>
      </c>
      <c r="AM55" s="27">
        <f t="shared" si="56"/>
        <v>24</v>
      </c>
      <c r="AN55" s="27"/>
      <c r="AO55" s="56">
        <v>48</v>
      </c>
      <c r="AP55" s="56">
        <v>36</v>
      </c>
      <c r="AQ55" s="33"/>
      <c r="AR55" s="27">
        <f t="shared" si="57"/>
        <v>84</v>
      </c>
      <c r="AS55" s="27">
        <v>3</v>
      </c>
      <c r="AT55" s="19" t="str">
        <f t="shared" si="58"/>
        <v>9</v>
      </c>
      <c r="AU55" s="19" t="str">
        <f t="shared" si="59"/>
        <v>A+</v>
      </c>
      <c r="AV55" s="27">
        <f t="shared" si="60"/>
        <v>27</v>
      </c>
      <c r="AW55" s="27"/>
      <c r="AX55" s="94">
        <v>44</v>
      </c>
      <c r="AY55" s="94">
        <v>32</v>
      </c>
      <c r="AZ55" s="33"/>
      <c r="BA55" s="27">
        <f t="shared" si="61"/>
        <v>76</v>
      </c>
      <c r="BB55" s="19">
        <v>1</v>
      </c>
      <c r="BC55" s="19" t="str">
        <f t="shared" si="62"/>
        <v>8</v>
      </c>
      <c r="BD55" s="19" t="str">
        <f t="shared" si="63"/>
        <v>A</v>
      </c>
      <c r="BE55" s="27">
        <f t="shared" si="64"/>
        <v>8</v>
      </c>
      <c r="BF55" s="53" t="s">
        <v>92</v>
      </c>
      <c r="BG55" s="43">
        <v>41</v>
      </c>
      <c r="BH55" s="43">
        <v>35</v>
      </c>
      <c r="BI55" s="33"/>
      <c r="BJ55" s="27">
        <f t="shared" si="65"/>
        <v>76</v>
      </c>
      <c r="BK55" s="19">
        <v>1</v>
      </c>
      <c r="BL55" s="19" t="str">
        <f t="shared" si="66"/>
        <v>8</v>
      </c>
      <c r="BM55" s="19" t="str">
        <f t="shared" si="67"/>
        <v>A</v>
      </c>
      <c r="BN55" s="27">
        <f t="shared" si="68"/>
        <v>8</v>
      </c>
      <c r="BO55" s="27"/>
      <c r="BP55" s="94">
        <v>44</v>
      </c>
      <c r="BQ55" s="94">
        <v>42</v>
      </c>
      <c r="BR55" s="33"/>
      <c r="BS55" s="27">
        <f t="shared" si="69"/>
        <v>86</v>
      </c>
      <c r="BT55" s="19">
        <v>1</v>
      </c>
      <c r="BU55" s="19" t="str">
        <f t="shared" si="70"/>
        <v>9</v>
      </c>
      <c r="BV55" s="19" t="str">
        <f t="shared" si="71"/>
        <v>A+</v>
      </c>
      <c r="BW55" s="27">
        <f t="shared" si="72"/>
        <v>9</v>
      </c>
      <c r="BX55" s="27"/>
      <c r="BY55" s="27"/>
      <c r="BZ55" s="19">
        <f t="shared" si="73"/>
        <v>163</v>
      </c>
      <c r="CA55" s="20">
        <f t="shared" si="74"/>
        <v>8.15</v>
      </c>
      <c r="CB55" s="35" t="str">
        <f t="shared" si="75"/>
        <v>A+</v>
      </c>
      <c r="CC55" s="31">
        <f t="shared" si="76"/>
        <v>77.424999999999997</v>
      </c>
      <c r="CD55" s="34"/>
      <c r="CE55" s="35">
        <f t="shared" si="77"/>
        <v>615</v>
      </c>
      <c r="CF55" s="35">
        <f t="shared" si="78"/>
        <v>76.875</v>
      </c>
      <c r="CG55" s="31"/>
      <c r="CH55" s="31"/>
      <c r="CI55" s="31" t="str">
        <f t="shared" si="79"/>
        <v>FCD</v>
      </c>
    </row>
    <row r="56" spans="1:87" ht="15.75" x14ac:dyDescent="0.25">
      <c r="A56" s="44">
        <f t="shared" ref="A56:A70" si="80">A55+1</f>
        <v>62</v>
      </c>
      <c r="B56" s="46" t="s">
        <v>148</v>
      </c>
      <c r="C56" s="72" t="s">
        <v>210</v>
      </c>
      <c r="D56" s="58" t="s">
        <v>232</v>
      </c>
      <c r="E56" s="43">
        <v>46</v>
      </c>
      <c r="F56" s="43">
        <v>29</v>
      </c>
      <c r="G56" s="30"/>
      <c r="H56" s="19">
        <f t="shared" si="41"/>
        <v>75</v>
      </c>
      <c r="I56" s="19">
        <v>4</v>
      </c>
      <c r="J56" s="19" t="str">
        <f t="shared" si="42"/>
        <v>8</v>
      </c>
      <c r="K56" s="19" t="str">
        <f t="shared" si="43"/>
        <v>A</v>
      </c>
      <c r="L56" s="19">
        <f t="shared" si="44"/>
        <v>32</v>
      </c>
      <c r="M56" s="19"/>
      <c r="N56" s="43">
        <v>43</v>
      </c>
      <c r="O56" s="43">
        <v>29</v>
      </c>
      <c r="P56" s="30"/>
      <c r="Q56" s="19">
        <f t="shared" si="45"/>
        <v>72</v>
      </c>
      <c r="R56" s="19">
        <v>4</v>
      </c>
      <c r="S56" s="19" t="str">
        <f t="shared" si="46"/>
        <v>8</v>
      </c>
      <c r="T56" s="19" t="str">
        <f t="shared" si="47"/>
        <v>A</v>
      </c>
      <c r="U56" s="19">
        <f t="shared" si="48"/>
        <v>32</v>
      </c>
      <c r="V56" s="19"/>
      <c r="W56" s="43">
        <v>47</v>
      </c>
      <c r="X56" s="43">
        <v>40</v>
      </c>
      <c r="Y56" s="19"/>
      <c r="Z56" s="19">
        <f t="shared" si="49"/>
        <v>87</v>
      </c>
      <c r="AA56" s="19">
        <v>3</v>
      </c>
      <c r="AB56" s="19" t="str">
        <f t="shared" si="50"/>
        <v>9</v>
      </c>
      <c r="AC56" s="19" t="str">
        <f t="shared" si="51"/>
        <v>A+</v>
      </c>
      <c r="AD56" s="19">
        <f t="shared" si="52"/>
        <v>27</v>
      </c>
      <c r="AE56" s="19"/>
      <c r="AF56" s="73">
        <v>45</v>
      </c>
      <c r="AG56" s="73">
        <v>38</v>
      </c>
      <c r="AH56" s="30"/>
      <c r="AI56" s="19">
        <f t="shared" si="53"/>
        <v>83</v>
      </c>
      <c r="AJ56" s="19">
        <v>3</v>
      </c>
      <c r="AK56" s="19" t="str">
        <f t="shared" si="54"/>
        <v>9</v>
      </c>
      <c r="AL56" s="19" t="str">
        <f t="shared" si="55"/>
        <v>A+</v>
      </c>
      <c r="AM56" s="19">
        <f t="shared" si="56"/>
        <v>27</v>
      </c>
      <c r="AN56" s="19"/>
      <c r="AO56" s="73">
        <v>47</v>
      </c>
      <c r="AP56" s="73">
        <v>18</v>
      </c>
      <c r="AQ56" s="30"/>
      <c r="AR56" s="19">
        <f t="shared" si="57"/>
        <v>65</v>
      </c>
      <c r="AS56" s="19">
        <v>3</v>
      </c>
      <c r="AT56" s="19" t="str">
        <f t="shared" si="58"/>
        <v>7</v>
      </c>
      <c r="AU56" s="19" t="str">
        <f t="shared" si="59"/>
        <v>B+</v>
      </c>
      <c r="AV56" s="19">
        <f t="shared" si="60"/>
        <v>21</v>
      </c>
      <c r="AW56" s="19"/>
      <c r="AX56" s="43">
        <v>45</v>
      </c>
      <c r="AY56" s="43">
        <v>23</v>
      </c>
      <c r="AZ56" s="30"/>
      <c r="BA56" s="19">
        <f t="shared" si="61"/>
        <v>68</v>
      </c>
      <c r="BB56" s="19">
        <v>1</v>
      </c>
      <c r="BC56" s="19" t="str">
        <f t="shared" si="62"/>
        <v>7</v>
      </c>
      <c r="BD56" s="19" t="str">
        <f t="shared" si="63"/>
        <v>B+</v>
      </c>
      <c r="BE56" s="19">
        <f t="shared" si="64"/>
        <v>7</v>
      </c>
      <c r="BF56" s="53" t="s">
        <v>92</v>
      </c>
      <c r="BG56" s="43">
        <v>43</v>
      </c>
      <c r="BH56" s="43">
        <v>33</v>
      </c>
      <c r="BI56" s="30"/>
      <c r="BJ56" s="19">
        <f t="shared" si="65"/>
        <v>76</v>
      </c>
      <c r="BK56" s="19">
        <v>1</v>
      </c>
      <c r="BL56" s="19" t="str">
        <f t="shared" si="66"/>
        <v>8</v>
      </c>
      <c r="BM56" s="19" t="str">
        <f t="shared" si="67"/>
        <v>A</v>
      </c>
      <c r="BN56" s="19">
        <f t="shared" si="68"/>
        <v>8</v>
      </c>
      <c r="BO56" s="19"/>
      <c r="BP56" s="43">
        <v>44</v>
      </c>
      <c r="BQ56" s="43">
        <v>41</v>
      </c>
      <c r="BR56" s="30"/>
      <c r="BS56" s="19">
        <f t="shared" si="69"/>
        <v>85</v>
      </c>
      <c r="BT56" s="19">
        <v>1</v>
      </c>
      <c r="BU56" s="19" t="str">
        <f t="shared" si="70"/>
        <v>9</v>
      </c>
      <c r="BV56" s="19" t="str">
        <f t="shared" si="71"/>
        <v>A+</v>
      </c>
      <c r="BW56" s="19">
        <f t="shared" si="72"/>
        <v>9</v>
      </c>
      <c r="BX56" s="19"/>
      <c r="BY56" s="19"/>
      <c r="BZ56" s="19">
        <f t="shared" si="73"/>
        <v>163</v>
      </c>
      <c r="CA56" s="20">
        <f t="shared" si="74"/>
        <v>8.15</v>
      </c>
      <c r="CB56" s="35" t="str">
        <f t="shared" si="75"/>
        <v>A+</v>
      </c>
      <c r="CC56" s="31">
        <f t="shared" si="76"/>
        <v>77.424999999999997</v>
      </c>
      <c r="CD56" s="34"/>
      <c r="CE56" s="35">
        <f t="shared" si="77"/>
        <v>611</v>
      </c>
      <c r="CF56" s="35">
        <f t="shared" si="78"/>
        <v>76.375</v>
      </c>
      <c r="CG56" s="31"/>
      <c r="CH56" s="31"/>
      <c r="CI56" s="31" t="str">
        <f t="shared" si="79"/>
        <v>FCD</v>
      </c>
    </row>
    <row r="57" spans="1:87" ht="15.75" x14ac:dyDescent="0.25">
      <c r="A57" s="44">
        <f t="shared" si="80"/>
        <v>63</v>
      </c>
      <c r="B57" s="47" t="s">
        <v>109</v>
      </c>
      <c r="C57" s="54" t="s">
        <v>171</v>
      </c>
      <c r="D57" s="58" t="s">
        <v>232</v>
      </c>
      <c r="E57" s="9">
        <v>45</v>
      </c>
      <c r="F57" s="9">
        <v>28</v>
      </c>
      <c r="G57" s="30"/>
      <c r="H57" s="19">
        <f t="shared" si="41"/>
        <v>73</v>
      </c>
      <c r="I57" s="19">
        <v>4</v>
      </c>
      <c r="J57" s="19" t="str">
        <f t="shared" si="42"/>
        <v>8</v>
      </c>
      <c r="K57" s="19" t="str">
        <f t="shared" si="43"/>
        <v>A</v>
      </c>
      <c r="L57" s="19">
        <f t="shared" si="44"/>
        <v>32</v>
      </c>
      <c r="M57" s="19"/>
      <c r="N57" s="9">
        <v>43</v>
      </c>
      <c r="O57" s="9">
        <v>30</v>
      </c>
      <c r="P57" s="30"/>
      <c r="Q57" s="19">
        <f t="shared" si="45"/>
        <v>73</v>
      </c>
      <c r="R57" s="19">
        <v>4</v>
      </c>
      <c r="S57" s="19" t="str">
        <f t="shared" si="46"/>
        <v>8</v>
      </c>
      <c r="T57" s="19" t="str">
        <f t="shared" si="47"/>
        <v>A</v>
      </c>
      <c r="U57" s="19">
        <f t="shared" si="48"/>
        <v>32</v>
      </c>
      <c r="V57" s="19"/>
      <c r="W57" s="9">
        <v>47</v>
      </c>
      <c r="X57" s="9">
        <v>42</v>
      </c>
      <c r="Y57" s="19"/>
      <c r="Z57" s="19">
        <f t="shared" si="49"/>
        <v>89</v>
      </c>
      <c r="AA57" s="19">
        <v>3</v>
      </c>
      <c r="AB57" s="19" t="str">
        <f t="shared" si="50"/>
        <v>9</v>
      </c>
      <c r="AC57" s="19" t="str">
        <f t="shared" si="51"/>
        <v>A+</v>
      </c>
      <c r="AD57" s="19">
        <f t="shared" si="52"/>
        <v>27</v>
      </c>
      <c r="AE57" s="19"/>
      <c r="AF57" s="56">
        <v>38</v>
      </c>
      <c r="AG57" s="56">
        <v>33</v>
      </c>
      <c r="AH57" s="30"/>
      <c r="AI57" s="19">
        <f t="shared" si="53"/>
        <v>71</v>
      </c>
      <c r="AJ57" s="19">
        <v>3</v>
      </c>
      <c r="AK57" s="19" t="str">
        <f t="shared" si="54"/>
        <v>8</v>
      </c>
      <c r="AL57" s="19" t="str">
        <f t="shared" si="55"/>
        <v>A</v>
      </c>
      <c r="AM57" s="19">
        <f t="shared" si="56"/>
        <v>24</v>
      </c>
      <c r="AN57" s="19"/>
      <c r="AO57" s="56">
        <v>46</v>
      </c>
      <c r="AP57" s="56">
        <v>28</v>
      </c>
      <c r="AQ57" s="30"/>
      <c r="AR57" s="19">
        <f t="shared" si="57"/>
        <v>74</v>
      </c>
      <c r="AS57" s="19">
        <v>3</v>
      </c>
      <c r="AT57" s="19" t="str">
        <f t="shared" si="58"/>
        <v>8</v>
      </c>
      <c r="AU57" s="19" t="str">
        <f t="shared" si="59"/>
        <v>A</v>
      </c>
      <c r="AV57" s="19">
        <f t="shared" si="60"/>
        <v>24</v>
      </c>
      <c r="AW57" s="19"/>
      <c r="AX57" s="9">
        <v>46</v>
      </c>
      <c r="AY57" s="9">
        <v>29</v>
      </c>
      <c r="AZ57" s="30"/>
      <c r="BA57" s="19">
        <f t="shared" si="61"/>
        <v>75</v>
      </c>
      <c r="BB57" s="19">
        <v>1</v>
      </c>
      <c r="BC57" s="19" t="str">
        <f t="shared" si="62"/>
        <v>8</v>
      </c>
      <c r="BD57" s="19" t="str">
        <f t="shared" si="63"/>
        <v>A</v>
      </c>
      <c r="BE57" s="19">
        <f t="shared" si="64"/>
        <v>8</v>
      </c>
      <c r="BF57" s="53" t="s">
        <v>92</v>
      </c>
      <c r="BG57" s="9">
        <v>47</v>
      </c>
      <c r="BH57" s="9">
        <v>19</v>
      </c>
      <c r="BI57" s="30"/>
      <c r="BJ57" s="19">
        <f t="shared" si="65"/>
        <v>66</v>
      </c>
      <c r="BK57" s="19">
        <v>1</v>
      </c>
      <c r="BL57" s="19" t="str">
        <f t="shared" si="66"/>
        <v>7</v>
      </c>
      <c r="BM57" s="19" t="str">
        <f t="shared" si="67"/>
        <v>B+</v>
      </c>
      <c r="BN57" s="19">
        <f t="shared" si="68"/>
        <v>7</v>
      </c>
      <c r="BO57" s="19"/>
      <c r="BP57" s="9">
        <v>44</v>
      </c>
      <c r="BQ57" s="9">
        <v>39</v>
      </c>
      <c r="BR57" s="30"/>
      <c r="BS57" s="19">
        <f t="shared" si="69"/>
        <v>83</v>
      </c>
      <c r="BT57" s="19">
        <v>1</v>
      </c>
      <c r="BU57" s="19" t="str">
        <f t="shared" si="70"/>
        <v>9</v>
      </c>
      <c r="BV57" s="19" t="str">
        <f t="shared" si="71"/>
        <v>A+</v>
      </c>
      <c r="BW57" s="19">
        <f t="shared" si="72"/>
        <v>9</v>
      </c>
      <c r="BX57" s="19"/>
      <c r="BY57" s="19"/>
      <c r="BZ57" s="19">
        <f t="shared" si="73"/>
        <v>163</v>
      </c>
      <c r="CA57" s="20">
        <f t="shared" si="74"/>
        <v>8.15</v>
      </c>
      <c r="CB57" s="35" t="str">
        <f t="shared" si="75"/>
        <v>A+</v>
      </c>
      <c r="CC57" s="31">
        <f t="shared" si="76"/>
        <v>77.424999999999997</v>
      </c>
      <c r="CD57" s="31"/>
      <c r="CE57" s="35">
        <f t="shared" si="77"/>
        <v>604</v>
      </c>
      <c r="CF57" s="35">
        <f t="shared" si="78"/>
        <v>75.5</v>
      </c>
      <c r="CG57" s="31"/>
      <c r="CH57" s="31"/>
      <c r="CI57" s="31" t="str">
        <f t="shared" si="79"/>
        <v>FCD</v>
      </c>
    </row>
    <row r="58" spans="1:87" ht="15.75" x14ac:dyDescent="0.25">
      <c r="A58" s="44">
        <f t="shared" si="80"/>
        <v>64</v>
      </c>
      <c r="B58" s="47" t="s">
        <v>137</v>
      </c>
      <c r="C58" s="54" t="s">
        <v>199</v>
      </c>
      <c r="D58" s="58" t="s">
        <v>232</v>
      </c>
      <c r="E58" s="9">
        <v>48</v>
      </c>
      <c r="F58" s="9">
        <v>22</v>
      </c>
      <c r="G58" s="30"/>
      <c r="H58" s="19">
        <f t="shared" si="41"/>
        <v>70</v>
      </c>
      <c r="I58" s="19">
        <v>4</v>
      </c>
      <c r="J58" s="19" t="str">
        <f t="shared" si="42"/>
        <v>8</v>
      </c>
      <c r="K58" s="19" t="str">
        <f t="shared" si="43"/>
        <v>A</v>
      </c>
      <c r="L58" s="19">
        <f t="shared" si="44"/>
        <v>32</v>
      </c>
      <c r="M58" s="19"/>
      <c r="N58" s="9">
        <v>44</v>
      </c>
      <c r="O58" s="9">
        <v>32</v>
      </c>
      <c r="P58" s="30"/>
      <c r="Q58" s="19">
        <f t="shared" si="45"/>
        <v>76</v>
      </c>
      <c r="R58" s="19">
        <v>4</v>
      </c>
      <c r="S58" s="19" t="str">
        <f t="shared" si="46"/>
        <v>8</v>
      </c>
      <c r="T58" s="19" t="str">
        <f t="shared" si="47"/>
        <v>A</v>
      </c>
      <c r="U58" s="19">
        <f t="shared" si="48"/>
        <v>32</v>
      </c>
      <c r="V58" s="19"/>
      <c r="W58" s="9">
        <v>40</v>
      </c>
      <c r="X58" s="9">
        <v>45</v>
      </c>
      <c r="Y58" s="19"/>
      <c r="Z58" s="19">
        <f t="shared" si="49"/>
        <v>85</v>
      </c>
      <c r="AA58" s="19">
        <v>3</v>
      </c>
      <c r="AB58" s="19" t="str">
        <f t="shared" si="50"/>
        <v>9</v>
      </c>
      <c r="AC58" s="19" t="str">
        <f t="shared" si="51"/>
        <v>A+</v>
      </c>
      <c r="AD58" s="19">
        <f t="shared" si="52"/>
        <v>27</v>
      </c>
      <c r="AE58" s="19"/>
      <c r="AF58" s="56">
        <v>40</v>
      </c>
      <c r="AG58" s="56">
        <v>35</v>
      </c>
      <c r="AH58" s="30"/>
      <c r="AI58" s="19">
        <f t="shared" si="53"/>
        <v>75</v>
      </c>
      <c r="AJ58" s="19">
        <v>3</v>
      </c>
      <c r="AK58" s="19" t="str">
        <f t="shared" si="54"/>
        <v>8</v>
      </c>
      <c r="AL58" s="19" t="str">
        <f t="shared" si="55"/>
        <v>A</v>
      </c>
      <c r="AM58" s="19">
        <f t="shared" si="56"/>
        <v>24</v>
      </c>
      <c r="AN58" s="19"/>
      <c r="AO58" s="56">
        <v>42</v>
      </c>
      <c r="AP58" s="56">
        <v>25</v>
      </c>
      <c r="AQ58" s="30"/>
      <c r="AR58" s="19">
        <f t="shared" si="57"/>
        <v>67</v>
      </c>
      <c r="AS58" s="19">
        <v>3</v>
      </c>
      <c r="AT58" s="19" t="str">
        <f t="shared" si="58"/>
        <v>7</v>
      </c>
      <c r="AU58" s="19" t="str">
        <f t="shared" si="59"/>
        <v>B+</v>
      </c>
      <c r="AV58" s="19">
        <f t="shared" si="60"/>
        <v>21</v>
      </c>
      <c r="AW58" s="19"/>
      <c r="AX58" s="9">
        <v>45</v>
      </c>
      <c r="AY58" s="9">
        <v>22</v>
      </c>
      <c r="AZ58" s="30"/>
      <c r="BA58" s="19">
        <f t="shared" si="61"/>
        <v>67</v>
      </c>
      <c r="BB58" s="19">
        <v>1</v>
      </c>
      <c r="BC58" s="19" t="str">
        <f t="shared" si="62"/>
        <v>7</v>
      </c>
      <c r="BD58" s="19" t="str">
        <f t="shared" si="63"/>
        <v>B+</v>
      </c>
      <c r="BE58" s="19">
        <f t="shared" si="64"/>
        <v>7</v>
      </c>
      <c r="BF58" s="53" t="s">
        <v>97</v>
      </c>
      <c r="BG58" s="9">
        <v>46</v>
      </c>
      <c r="BH58" s="9">
        <v>43</v>
      </c>
      <c r="BI58" s="30"/>
      <c r="BJ58" s="19">
        <f t="shared" si="65"/>
        <v>89</v>
      </c>
      <c r="BK58" s="19">
        <v>1</v>
      </c>
      <c r="BL58" s="19" t="str">
        <f t="shared" si="66"/>
        <v>9</v>
      </c>
      <c r="BM58" s="19" t="str">
        <f t="shared" si="67"/>
        <v>A+</v>
      </c>
      <c r="BN58" s="19">
        <f t="shared" si="68"/>
        <v>9</v>
      </c>
      <c r="BO58" s="19"/>
      <c r="BP58" s="9">
        <v>41</v>
      </c>
      <c r="BQ58" s="9">
        <v>37</v>
      </c>
      <c r="BR58" s="30"/>
      <c r="BS58" s="19">
        <f t="shared" si="69"/>
        <v>78</v>
      </c>
      <c r="BT58" s="19">
        <v>1</v>
      </c>
      <c r="BU58" s="19" t="str">
        <f t="shared" si="70"/>
        <v>8</v>
      </c>
      <c r="BV58" s="19" t="str">
        <f t="shared" si="71"/>
        <v>A</v>
      </c>
      <c r="BW58" s="19">
        <f t="shared" si="72"/>
        <v>8</v>
      </c>
      <c r="BX58" s="19"/>
      <c r="BY58" s="19"/>
      <c r="BZ58" s="19">
        <f t="shared" si="73"/>
        <v>160</v>
      </c>
      <c r="CA58" s="20">
        <f t="shared" si="74"/>
        <v>8</v>
      </c>
      <c r="CB58" s="35" t="str">
        <f t="shared" si="75"/>
        <v>A+</v>
      </c>
      <c r="CC58" s="31">
        <f t="shared" si="76"/>
        <v>76</v>
      </c>
      <c r="CD58" s="31"/>
      <c r="CE58" s="35">
        <f t="shared" si="77"/>
        <v>607</v>
      </c>
      <c r="CF58" s="35">
        <f t="shared" si="78"/>
        <v>75.875</v>
      </c>
      <c r="CG58" s="31"/>
      <c r="CH58" s="31"/>
      <c r="CI58" s="31" t="str">
        <f t="shared" si="79"/>
        <v>FCD</v>
      </c>
    </row>
    <row r="59" spans="1:87" ht="15.75" x14ac:dyDescent="0.25">
      <c r="A59" s="44">
        <f t="shared" si="80"/>
        <v>65</v>
      </c>
      <c r="B59" s="46" t="s">
        <v>110</v>
      </c>
      <c r="C59" s="54" t="s">
        <v>172</v>
      </c>
      <c r="D59" s="58" t="s">
        <v>232</v>
      </c>
      <c r="E59" s="43">
        <v>49</v>
      </c>
      <c r="F59" s="43">
        <v>21</v>
      </c>
      <c r="G59" s="30"/>
      <c r="H59" s="19">
        <f t="shared" si="41"/>
        <v>70</v>
      </c>
      <c r="I59" s="19">
        <v>4</v>
      </c>
      <c r="J59" s="19" t="str">
        <f t="shared" si="42"/>
        <v>8</v>
      </c>
      <c r="K59" s="19" t="str">
        <f t="shared" si="43"/>
        <v>A</v>
      </c>
      <c r="L59" s="19">
        <f t="shared" si="44"/>
        <v>32</v>
      </c>
      <c r="M59" s="19"/>
      <c r="N59" s="43">
        <v>43</v>
      </c>
      <c r="O59" s="43">
        <v>23</v>
      </c>
      <c r="P59" s="30"/>
      <c r="Q59" s="19">
        <f t="shared" si="45"/>
        <v>66</v>
      </c>
      <c r="R59" s="19">
        <v>4</v>
      </c>
      <c r="S59" s="19" t="str">
        <f t="shared" si="46"/>
        <v>7</v>
      </c>
      <c r="T59" s="19" t="str">
        <f t="shared" si="47"/>
        <v>B+</v>
      </c>
      <c r="U59" s="19">
        <f t="shared" si="48"/>
        <v>28</v>
      </c>
      <c r="V59" s="19"/>
      <c r="W59" s="43">
        <v>47</v>
      </c>
      <c r="X59" s="43">
        <v>45</v>
      </c>
      <c r="Y59" s="19"/>
      <c r="Z59" s="19">
        <f t="shared" si="49"/>
        <v>92</v>
      </c>
      <c r="AA59" s="19">
        <v>3</v>
      </c>
      <c r="AB59" s="19" t="str">
        <f t="shared" si="50"/>
        <v>10</v>
      </c>
      <c r="AC59" s="19" t="str">
        <f t="shared" si="51"/>
        <v>O</v>
      </c>
      <c r="AD59" s="19">
        <f t="shared" si="52"/>
        <v>30</v>
      </c>
      <c r="AE59" s="19"/>
      <c r="AF59" s="56">
        <v>40</v>
      </c>
      <c r="AG59" s="56">
        <v>24</v>
      </c>
      <c r="AH59" s="30"/>
      <c r="AI59" s="19">
        <f t="shared" si="53"/>
        <v>64</v>
      </c>
      <c r="AJ59" s="19">
        <v>3</v>
      </c>
      <c r="AK59" s="19" t="str">
        <f t="shared" si="54"/>
        <v>7</v>
      </c>
      <c r="AL59" s="19" t="str">
        <f t="shared" si="55"/>
        <v>B+</v>
      </c>
      <c r="AM59" s="19">
        <f t="shared" si="56"/>
        <v>21</v>
      </c>
      <c r="AN59" s="19"/>
      <c r="AO59" s="56">
        <v>46</v>
      </c>
      <c r="AP59" s="56">
        <v>24</v>
      </c>
      <c r="AQ59" s="30"/>
      <c r="AR59" s="19">
        <f t="shared" si="57"/>
        <v>70</v>
      </c>
      <c r="AS59" s="19">
        <v>3</v>
      </c>
      <c r="AT59" s="19" t="str">
        <f t="shared" si="58"/>
        <v>8</v>
      </c>
      <c r="AU59" s="19" t="str">
        <f t="shared" si="59"/>
        <v>A</v>
      </c>
      <c r="AV59" s="19">
        <f t="shared" si="60"/>
        <v>24</v>
      </c>
      <c r="AW59" s="19"/>
      <c r="AX59" s="43">
        <v>44</v>
      </c>
      <c r="AY59" s="43">
        <v>29</v>
      </c>
      <c r="AZ59" s="30"/>
      <c r="BA59" s="19">
        <f t="shared" si="61"/>
        <v>73</v>
      </c>
      <c r="BB59" s="19">
        <v>1</v>
      </c>
      <c r="BC59" s="19" t="str">
        <f t="shared" si="62"/>
        <v>8</v>
      </c>
      <c r="BD59" s="19" t="str">
        <f t="shared" si="63"/>
        <v>A</v>
      </c>
      <c r="BE59" s="19">
        <f t="shared" si="64"/>
        <v>8</v>
      </c>
      <c r="BF59" s="53" t="s">
        <v>97</v>
      </c>
      <c r="BG59" s="43">
        <v>44</v>
      </c>
      <c r="BH59" s="43">
        <v>43</v>
      </c>
      <c r="BI59" s="30"/>
      <c r="BJ59" s="19">
        <f t="shared" si="65"/>
        <v>87</v>
      </c>
      <c r="BK59" s="19">
        <v>1</v>
      </c>
      <c r="BL59" s="19" t="str">
        <f t="shared" si="66"/>
        <v>9</v>
      </c>
      <c r="BM59" s="19" t="str">
        <f t="shared" si="67"/>
        <v>A+</v>
      </c>
      <c r="BN59" s="19">
        <f t="shared" si="68"/>
        <v>9</v>
      </c>
      <c r="BO59" s="19"/>
      <c r="BP59" s="43">
        <v>40</v>
      </c>
      <c r="BQ59" s="43">
        <v>38</v>
      </c>
      <c r="BR59" s="30"/>
      <c r="BS59" s="19">
        <f t="shared" si="69"/>
        <v>78</v>
      </c>
      <c r="BT59" s="19">
        <v>1</v>
      </c>
      <c r="BU59" s="19" t="str">
        <f t="shared" si="70"/>
        <v>8</v>
      </c>
      <c r="BV59" s="19" t="str">
        <f t="shared" si="71"/>
        <v>A</v>
      </c>
      <c r="BW59" s="19">
        <f t="shared" si="72"/>
        <v>8</v>
      </c>
      <c r="BX59" s="19"/>
      <c r="BY59" s="19"/>
      <c r="BZ59" s="19">
        <f t="shared" si="73"/>
        <v>160</v>
      </c>
      <c r="CA59" s="20">
        <f t="shared" si="74"/>
        <v>8</v>
      </c>
      <c r="CB59" s="35" t="str">
        <f t="shared" si="75"/>
        <v>A+</v>
      </c>
      <c r="CC59" s="31">
        <f t="shared" si="76"/>
        <v>76</v>
      </c>
      <c r="CD59" s="31"/>
      <c r="CE59" s="35">
        <f t="shared" si="77"/>
        <v>600</v>
      </c>
      <c r="CF59" s="35">
        <f t="shared" si="78"/>
        <v>75</v>
      </c>
      <c r="CG59" s="31"/>
      <c r="CH59" s="31"/>
      <c r="CI59" s="31" t="str">
        <f t="shared" si="79"/>
        <v>FCD</v>
      </c>
    </row>
    <row r="60" spans="1:87" ht="15.75" x14ac:dyDescent="0.25">
      <c r="A60" s="44">
        <f t="shared" si="80"/>
        <v>66</v>
      </c>
      <c r="B60" s="47" t="s">
        <v>141</v>
      </c>
      <c r="C60" s="54" t="s">
        <v>203</v>
      </c>
      <c r="D60" s="58" t="s">
        <v>232</v>
      </c>
      <c r="E60" s="9">
        <v>44</v>
      </c>
      <c r="F60" s="9">
        <v>26</v>
      </c>
      <c r="G60" s="30"/>
      <c r="H60" s="19">
        <f t="shared" si="41"/>
        <v>70</v>
      </c>
      <c r="I60" s="19">
        <v>4</v>
      </c>
      <c r="J60" s="19" t="str">
        <f t="shared" si="42"/>
        <v>8</v>
      </c>
      <c r="K60" s="19" t="str">
        <f t="shared" si="43"/>
        <v>A</v>
      </c>
      <c r="L60" s="19">
        <f t="shared" si="44"/>
        <v>32</v>
      </c>
      <c r="M60" s="19"/>
      <c r="N60" s="9">
        <v>46</v>
      </c>
      <c r="O60" s="9">
        <v>22</v>
      </c>
      <c r="P60" s="30"/>
      <c r="Q60" s="19">
        <f t="shared" si="45"/>
        <v>68</v>
      </c>
      <c r="R60" s="19">
        <v>4</v>
      </c>
      <c r="S60" s="19" t="str">
        <f t="shared" si="46"/>
        <v>7</v>
      </c>
      <c r="T60" s="19" t="str">
        <f t="shared" si="47"/>
        <v>B+</v>
      </c>
      <c r="U60" s="19">
        <f t="shared" si="48"/>
        <v>28</v>
      </c>
      <c r="V60" s="19"/>
      <c r="W60" s="9">
        <v>40</v>
      </c>
      <c r="X60" s="9">
        <v>49</v>
      </c>
      <c r="Y60" s="19"/>
      <c r="Z60" s="19">
        <f t="shared" si="49"/>
        <v>89</v>
      </c>
      <c r="AA60" s="19">
        <v>3</v>
      </c>
      <c r="AB60" s="19" t="str">
        <f t="shared" si="50"/>
        <v>9</v>
      </c>
      <c r="AC60" s="19" t="str">
        <f t="shared" si="51"/>
        <v>A+</v>
      </c>
      <c r="AD60" s="19">
        <f t="shared" si="52"/>
        <v>27</v>
      </c>
      <c r="AE60" s="19"/>
      <c r="AF60" s="56">
        <v>35</v>
      </c>
      <c r="AG60" s="56">
        <v>27</v>
      </c>
      <c r="AH60" s="30"/>
      <c r="AI60" s="19">
        <f t="shared" si="53"/>
        <v>62</v>
      </c>
      <c r="AJ60" s="19">
        <v>3</v>
      </c>
      <c r="AK60" s="19" t="str">
        <f t="shared" si="54"/>
        <v>7</v>
      </c>
      <c r="AL60" s="19" t="str">
        <f t="shared" si="55"/>
        <v>B+</v>
      </c>
      <c r="AM60" s="19">
        <f t="shared" si="56"/>
        <v>21</v>
      </c>
      <c r="AN60" s="19"/>
      <c r="AO60" s="56">
        <v>43</v>
      </c>
      <c r="AP60" s="56">
        <v>26</v>
      </c>
      <c r="AQ60" s="30"/>
      <c r="AR60" s="19">
        <f t="shared" si="57"/>
        <v>69</v>
      </c>
      <c r="AS60" s="19">
        <v>3</v>
      </c>
      <c r="AT60" s="19" t="str">
        <f t="shared" si="58"/>
        <v>7</v>
      </c>
      <c r="AU60" s="19" t="str">
        <f t="shared" si="59"/>
        <v>B+</v>
      </c>
      <c r="AV60" s="19">
        <f t="shared" si="60"/>
        <v>21</v>
      </c>
      <c r="AW60" s="19"/>
      <c r="AX60" s="9">
        <v>47</v>
      </c>
      <c r="AY60" s="9">
        <v>37</v>
      </c>
      <c r="AZ60" s="30"/>
      <c r="BA60" s="19">
        <f t="shared" si="61"/>
        <v>84</v>
      </c>
      <c r="BB60" s="19">
        <v>1</v>
      </c>
      <c r="BC60" s="19" t="str">
        <f t="shared" si="62"/>
        <v>9</v>
      </c>
      <c r="BD60" s="19" t="str">
        <f t="shared" si="63"/>
        <v>A+</v>
      </c>
      <c r="BE60" s="19">
        <f t="shared" si="64"/>
        <v>9</v>
      </c>
      <c r="BF60" s="53" t="s">
        <v>97</v>
      </c>
      <c r="BG60" s="9">
        <v>49</v>
      </c>
      <c r="BH60" s="9">
        <v>44</v>
      </c>
      <c r="BI60" s="30"/>
      <c r="BJ60" s="19">
        <f t="shared" si="65"/>
        <v>93</v>
      </c>
      <c r="BK60" s="19">
        <v>1</v>
      </c>
      <c r="BL60" s="19" t="str">
        <f t="shared" si="66"/>
        <v>10</v>
      </c>
      <c r="BM60" s="19" t="str">
        <f t="shared" si="67"/>
        <v>O</v>
      </c>
      <c r="BN60" s="19">
        <f t="shared" si="68"/>
        <v>10</v>
      </c>
      <c r="BO60" s="19"/>
      <c r="BP60" s="9">
        <v>43</v>
      </c>
      <c r="BQ60" s="9">
        <v>37</v>
      </c>
      <c r="BR60" s="30"/>
      <c r="BS60" s="19">
        <f t="shared" si="69"/>
        <v>80</v>
      </c>
      <c r="BT60" s="19">
        <v>1</v>
      </c>
      <c r="BU60" s="19" t="str">
        <f t="shared" si="70"/>
        <v>9</v>
      </c>
      <c r="BV60" s="19" t="str">
        <f t="shared" si="71"/>
        <v>A+</v>
      </c>
      <c r="BW60" s="19">
        <f t="shared" si="72"/>
        <v>9</v>
      </c>
      <c r="BX60" s="19"/>
      <c r="BY60" s="19"/>
      <c r="BZ60" s="19">
        <f t="shared" si="73"/>
        <v>157</v>
      </c>
      <c r="CA60" s="20">
        <f t="shared" si="74"/>
        <v>7.85</v>
      </c>
      <c r="CB60" s="35" t="str">
        <f t="shared" si="75"/>
        <v>A</v>
      </c>
      <c r="CC60" s="31">
        <f t="shared" si="76"/>
        <v>74.575000000000003</v>
      </c>
      <c r="CD60" s="31"/>
      <c r="CE60" s="35">
        <f t="shared" si="77"/>
        <v>615</v>
      </c>
      <c r="CF60" s="35">
        <f t="shared" si="78"/>
        <v>76.875</v>
      </c>
      <c r="CG60" s="31"/>
      <c r="CH60" s="31"/>
      <c r="CI60" s="31" t="str">
        <f t="shared" si="79"/>
        <v>FCD</v>
      </c>
    </row>
    <row r="61" spans="1:87" ht="15.75" x14ac:dyDescent="0.25">
      <c r="A61" s="44">
        <f t="shared" si="80"/>
        <v>67</v>
      </c>
      <c r="B61" s="47" t="s">
        <v>108</v>
      </c>
      <c r="C61" s="54" t="s">
        <v>170</v>
      </c>
      <c r="D61" s="58" t="s">
        <v>232</v>
      </c>
      <c r="E61" s="9">
        <v>44</v>
      </c>
      <c r="F61" s="9">
        <v>18</v>
      </c>
      <c r="G61" s="30"/>
      <c r="H61" s="19">
        <f t="shared" si="41"/>
        <v>62</v>
      </c>
      <c r="I61" s="19">
        <v>4</v>
      </c>
      <c r="J61" s="19" t="str">
        <f t="shared" si="42"/>
        <v>7</v>
      </c>
      <c r="K61" s="19" t="str">
        <f t="shared" si="43"/>
        <v>B+</v>
      </c>
      <c r="L61" s="19">
        <f t="shared" si="44"/>
        <v>28</v>
      </c>
      <c r="M61" s="19"/>
      <c r="N61" s="9">
        <v>44</v>
      </c>
      <c r="O61" s="9">
        <v>25</v>
      </c>
      <c r="P61" s="30"/>
      <c r="Q61" s="19">
        <f t="shared" si="45"/>
        <v>69</v>
      </c>
      <c r="R61" s="19">
        <v>4</v>
      </c>
      <c r="S61" s="19" t="str">
        <f t="shared" si="46"/>
        <v>7</v>
      </c>
      <c r="T61" s="19" t="str">
        <f t="shared" si="47"/>
        <v>B+</v>
      </c>
      <c r="U61" s="19">
        <f t="shared" si="48"/>
        <v>28</v>
      </c>
      <c r="V61" s="19"/>
      <c r="W61" s="9">
        <v>45</v>
      </c>
      <c r="X61" s="9">
        <v>39</v>
      </c>
      <c r="Y61" s="19"/>
      <c r="Z61" s="19">
        <f t="shared" si="49"/>
        <v>84</v>
      </c>
      <c r="AA61" s="19">
        <v>3</v>
      </c>
      <c r="AB61" s="19" t="str">
        <f t="shared" si="50"/>
        <v>9</v>
      </c>
      <c r="AC61" s="19" t="str">
        <f t="shared" si="51"/>
        <v>A+</v>
      </c>
      <c r="AD61" s="19">
        <f t="shared" si="52"/>
        <v>27</v>
      </c>
      <c r="AE61" s="19"/>
      <c r="AF61" s="56">
        <v>35</v>
      </c>
      <c r="AG61" s="56">
        <v>26</v>
      </c>
      <c r="AH61" s="30"/>
      <c r="AI61" s="19">
        <f t="shared" si="53"/>
        <v>61</v>
      </c>
      <c r="AJ61" s="19">
        <v>3</v>
      </c>
      <c r="AK61" s="19" t="str">
        <f t="shared" si="54"/>
        <v>7</v>
      </c>
      <c r="AL61" s="19" t="str">
        <f t="shared" si="55"/>
        <v>B+</v>
      </c>
      <c r="AM61" s="19">
        <f t="shared" si="56"/>
        <v>21</v>
      </c>
      <c r="AN61" s="19"/>
      <c r="AO61" s="56">
        <v>49</v>
      </c>
      <c r="AP61" s="56">
        <v>30</v>
      </c>
      <c r="AQ61" s="30"/>
      <c r="AR61" s="19">
        <f t="shared" si="57"/>
        <v>79</v>
      </c>
      <c r="AS61" s="19">
        <v>3</v>
      </c>
      <c r="AT61" s="19" t="str">
        <f t="shared" si="58"/>
        <v>8</v>
      </c>
      <c r="AU61" s="19" t="str">
        <f t="shared" si="59"/>
        <v>A</v>
      </c>
      <c r="AV61" s="19">
        <f t="shared" si="60"/>
        <v>24</v>
      </c>
      <c r="AW61" s="19"/>
      <c r="AX61" s="9">
        <v>47</v>
      </c>
      <c r="AY61" s="9">
        <v>40</v>
      </c>
      <c r="AZ61" s="30"/>
      <c r="BA61" s="19">
        <f t="shared" si="61"/>
        <v>87</v>
      </c>
      <c r="BB61" s="19">
        <v>1</v>
      </c>
      <c r="BC61" s="19" t="str">
        <f t="shared" si="62"/>
        <v>9</v>
      </c>
      <c r="BD61" s="19" t="str">
        <f t="shared" si="63"/>
        <v>A+</v>
      </c>
      <c r="BE61" s="19">
        <f t="shared" si="64"/>
        <v>9</v>
      </c>
      <c r="BF61" s="53" t="s">
        <v>97</v>
      </c>
      <c r="BG61" s="9">
        <v>48</v>
      </c>
      <c r="BH61" s="9">
        <v>49</v>
      </c>
      <c r="BI61" s="30"/>
      <c r="BJ61" s="19">
        <f t="shared" si="65"/>
        <v>97</v>
      </c>
      <c r="BK61" s="19">
        <v>1</v>
      </c>
      <c r="BL61" s="19" t="str">
        <f t="shared" si="66"/>
        <v>10</v>
      </c>
      <c r="BM61" s="19" t="str">
        <f t="shared" si="67"/>
        <v>O</v>
      </c>
      <c r="BN61" s="19">
        <f t="shared" si="68"/>
        <v>10</v>
      </c>
      <c r="BO61" s="19"/>
      <c r="BP61" s="9">
        <v>48</v>
      </c>
      <c r="BQ61" s="9">
        <v>38</v>
      </c>
      <c r="BR61" s="30"/>
      <c r="BS61" s="19">
        <f t="shared" si="69"/>
        <v>86</v>
      </c>
      <c r="BT61" s="19">
        <v>1</v>
      </c>
      <c r="BU61" s="19" t="str">
        <f t="shared" si="70"/>
        <v>9</v>
      </c>
      <c r="BV61" s="19" t="str">
        <f t="shared" si="71"/>
        <v>A+</v>
      </c>
      <c r="BW61" s="19">
        <f t="shared" si="72"/>
        <v>9</v>
      </c>
      <c r="BX61" s="19"/>
      <c r="BY61" s="19"/>
      <c r="BZ61" s="19">
        <f t="shared" si="73"/>
        <v>156</v>
      </c>
      <c r="CA61" s="20">
        <f t="shared" si="74"/>
        <v>7.8</v>
      </c>
      <c r="CB61" s="35" t="str">
        <f t="shared" si="75"/>
        <v>A</v>
      </c>
      <c r="CC61" s="31">
        <f t="shared" si="76"/>
        <v>74.099999999999994</v>
      </c>
      <c r="CD61" s="31"/>
      <c r="CE61" s="35">
        <f t="shared" si="77"/>
        <v>625</v>
      </c>
      <c r="CF61" s="35">
        <f t="shared" si="78"/>
        <v>78.125</v>
      </c>
      <c r="CG61" s="31"/>
      <c r="CH61" s="31"/>
      <c r="CI61" s="31" t="str">
        <f t="shared" si="79"/>
        <v>FCD</v>
      </c>
    </row>
    <row r="62" spans="1:87" ht="15.75" x14ac:dyDescent="0.25">
      <c r="A62" s="44">
        <f t="shared" si="80"/>
        <v>68</v>
      </c>
      <c r="B62" s="47" t="s">
        <v>133</v>
      </c>
      <c r="C62" s="54" t="s">
        <v>195</v>
      </c>
      <c r="D62" s="58" t="s">
        <v>232</v>
      </c>
      <c r="E62" s="9">
        <v>45</v>
      </c>
      <c r="F62" s="9">
        <v>18</v>
      </c>
      <c r="G62" s="30"/>
      <c r="H62" s="19">
        <f t="shared" si="41"/>
        <v>63</v>
      </c>
      <c r="I62" s="19">
        <v>4</v>
      </c>
      <c r="J62" s="19" t="str">
        <f t="shared" si="42"/>
        <v>7</v>
      </c>
      <c r="K62" s="19" t="str">
        <f t="shared" si="43"/>
        <v>B+</v>
      </c>
      <c r="L62" s="19">
        <f t="shared" si="44"/>
        <v>28</v>
      </c>
      <c r="M62" s="19"/>
      <c r="N62" s="9">
        <v>43</v>
      </c>
      <c r="O62" s="9">
        <v>33</v>
      </c>
      <c r="P62" s="30"/>
      <c r="Q62" s="19">
        <f t="shared" si="45"/>
        <v>76</v>
      </c>
      <c r="R62" s="19">
        <v>4</v>
      </c>
      <c r="S62" s="19" t="str">
        <f t="shared" si="46"/>
        <v>8</v>
      </c>
      <c r="T62" s="19" t="str">
        <f t="shared" si="47"/>
        <v>A</v>
      </c>
      <c r="U62" s="19">
        <f t="shared" si="48"/>
        <v>32</v>
      </c>
      <c r="V62" s="19"/>
      <c r="W62" s="9">
        <v>42</v>
      </c>
      <c r="X62" s="9">
        <v>32</v>
      </c>
      <c r="Y62" s="19"/>
      <c r="Z62" s="19">
        <f t="shared" si="49"/>
        <v>74</v>
      </c>
      <c r="AA62" s="19">
        <v>3</v>
      </c>
      <c r="AB62" s="19" t="str">
        <f t="shared" si="50"/>
        <v>8</v>
      </c>
      <c r="AC62" s="19" t="str">
        <f t="shared" si="51"/>
        <v>A</v>
      </c>
      <c r="AD62" s="19">
        <f t="shared" si="52"/>
        <v>24</v>
      </c>
      <c r="AE62" s="19"/>
      <c r="AF62" s="56">
        <v>44</v>
      </c>
      <c r="AG62" s="56">
        <v>26</v>
      </c>
      <c r="AH62" s="30"/>
      <c r="AI62" s="19">
        <f t="shared" si="53"/>
        <v>70</v>
      </c>
      <c r="AJ62" s="19">
        <v>3</v>
      </c>
      <c r="AK62" s="19" t="str">
        <f t="shared" si="54"/>
        <v>8</v>
      </c>
      <c r="AL62" s="19" t="str">
        <f t="shared" si="55"/>
        <v>A</v>
      </c>
      <c r="AM62" s="19">
        <f t="shared" si="56"/>
        <v>24</v>
      </c>
      <c r="AN62" s="19"/>
      <c r="AO62" s="56">
        <v>42</v>
      </c>
      <c r="AP62" s="56">
        <v>21</v>
      </c>
      <c r="AQ62" s="30"/>
      <c r="AR62" s="19">
        <f t="shared" si="57"/>
        <v>63</v>
      </c>
      <c r="AS62" s="19">
        <v>3</v>
      </c>
      <c r="AT62" s="19" t="str">
        <f t="shared" si="58"/>
        <v>7</v>
      </c>
      <c r="AU62" s="19" t="str">
        <f t="shared" si="59"/>
        <v>B+</v>
      </c>
      <c r="AV62" s="19">
        <f t="shared" si="60"/>
        <v>21</v>
      </c>
      <c r="AW62" s="19"/>
      <c r="AX62" s="9">
        <v>45</v>
      </c>
      <c r="AY62" s="9">
        <v>32</v>
      </c>
      <c r="AZ62" s="30"/>
      <c r="BA62" s="19">
        <f t="shared" si="61"/>
        <v>77</v>
      </c>
      <c r="BB62" s="19">
        <v>1</v>
      </c>
      <c r="BC62" s="19" t="str">
        <f t="shared" si="62"/>
        <v>8</v>
      </c>
      <c r="BD62" s="19" t="str">
        <f t="shared" si="63"/>
        <v>A</v>
      </c>
      <c r="BE62" s="19">
        <f t="shared" si="64"/>
        <v>8</v>
      </c>
      <c r="BF62" s="53" t="s">
        <v>97</v>
      </c>
      <c r="BG62" s="9">
        <v>45</v>
      </c>
      <c r="BH62" s="9">
        <v>47</v>
      </c>
      <c r="BI62" s="30"/>
      <c r="BJ62" s="19">
        <f t="shared" si="65"/>
        <v>92</v>
      </c>
      <c r="BK62" s="19">
        <v>1</v>
      </c>
      <c r="BL62" s="19" t="str">
        <f t="shared" si="66"/>
        <v>10</v>
      </c>
      <c r="BM62" s="19" t="str">
        <f t="shared" si="67"/>
        <v>O</v>
      </c>
      <c r="BN62" s="19">
        <f t="shared" si="68"/>
        <v>10</v>
      </c>
      <c r="BO62" s="19"/>
      <c r="BP62" s="9">
        <v>40</v>
      </c>
      <c r="BQ62" s="9">
        <v>40</v>
      </c>
      <c r="BR62" s="30"/>
      <c r="BS62" s="19">
        <f t="shared" si="69"/>
        <v>80</v>
      </c>
      <c r="BT62" s="19">
        <v>1</v>
      </c>
      <c r="BU62" s="19" t="str">
        <f t="shared" si="70"/>
        <v>9</v>
      </c>
      <c r="BV62" s="19" t="str">
        <f t="shared" si="71"/>
        <v>A+</v>
      </c>
      <c r="BW62" s="19">
        <f t="shared" si="72"/>
        <v>9</v>
      </c>
      <c r="BX62" s="19"/>
      <c r="BY62" s="19"/>
      <c r="BZ62" s="19">
        <f t="shared" si="73"/>
        <v>156</v>
      </c>
      <c r="CA62" s="20">
        <f t="shared" si="74"/>
        <v>7.8</v>
      </c>
      <c r="CB62" s="35" t="str">
        <f t="shared" si="75"/>
        <v>A</v>
      </c>
      <c r="CC62" s="31">
        <f t="shared" si="76"/>
        <v>74.099999999999994</v>
      </c>
      <c r="CD62" s="31"/>
      <c r="CE62" s="35">
        <f t="shared" si="77"/>
        <v>595</v>
      </c>
      <c r="CF62" s="35">
        <f t="shared" si="78"/>
        <v>74.375</v>
      </c>
      <c r="CG62" s="31"/>
      <c r="CH62" s="31"/>
      <c r="CI62" s="31" t="str">
        <f t="shared" si="79"/>
        <v>FCD</v>
      </c>
    </row>
    <row r="63" spans="1:87" ht="15.75" x14ac:dyDescent="0.25">
      <c r="A63" s="44">
        <f t="shared" si="80"/>
        <v>69</v>
      </c>
      <c r="B63" s="47" t="s">
        <v>119</v>
      </c>
      <c r="C63" s="54" t="s">
        <v>181</v>
      </c>
      <c r="D63" s="58" t="s">
        <v>232</v>
      </c>
      <c r="E63" s="9">
        <v>45</v>
      </c>
      <c r="F63" s="9">
        <v>18</v>
      </c>
      <c r="G63" s="30"/>
      <c r="H63" s="19">
        <f t="shared" si="41"/>
        <v>63</v>
      </c>
      <c r="I63" s="19">
        <v>4</v>
      </c>
      <c r="J63" s="19" t="str">
        <f t="shared" si="42"/>
        <v>7</v>
      </c>
      <c r="K63" s="19" t="str">
        <f t="shared" si="43"/>
        <v>B+</v>
      </c>
      <c r="L63" s="19">
        <f t="shared" si="44"/>
        <v>28</v>
      </c>
      <c r="M63" s="19"/>
      <c r="N63" s="9">
        <v>44</v>
      </c>
      <c r="O63" s="9">
        <v>32</v>
      </c>
      <c r="P63" s="30"/>
      <c r="Q63" s="19">
        <f t="shared" si="45"/>
        <v>76</v>
      </c>
      <c r="R63" s="19">
        <v>4</v>
      </c>
      <c r="S63" s="19" t="str">
        <f t="shared" si="46"/>
        <v>8</v>
      </c>
      <c r="T63" s="19" t="str">
        <f t="shared" si="47"/>
        <v>A</v>
      </c>
      <c r="U63" s="19">
        <f t="shared" si="48"/>
        <v>32</v>
      </c>
      <c r="V63" s="19"/>
      <c r="W63" s="9">
        <v>47</v>
      </c>
      <c r="X63" s="9">
        <v>42</v>
      </c>
      <c r="Y63" s="19"/>
      <c r="Z63" s="19">
        <f t="shared" si="49"/>
        <v>89</v>
      </c>
      <c r="AA63" s="19">
        <v>3</v>
      </c>
      <c r="AB63" s="19" t="str">
        <f t="shared" si="50"/>
        <v>9</v>
      </c>
      <c r="AC63" s="19" t="str">
        <f t="shared" si="51"/>
        <v>A+</v>
      </c>
      <c r="AD63" s="19">
        <f t="shared" si="52"/>
        <v>27</v>
      </c>
      <c r="AE63" s="19"/>
      <c r="AF63" s="56">
        <v>38</v>
      </c>
      <c r="AG63" s="56">
        <v>26</v>
      </c>
      <c r="AH63" s="30"/>
      <c r="AI63" s="19">
        <f t="shared" si="53"/>
        <v>64</v>
      </c>
      <c r="AJ63" s="19">
        <v>3</v>
      </c>
      <c r="AK63" s="19" t="str">
        <f t="shared" si="54"/>
        <v>7</v>
      </c>
      <c r="AL63" s="19" t="str">
        <f t="shared" si="55"/>
        <v>B+</v>
      </c>
      <c r="AM63" s="19">
        <f t="shared" si="56"/>
        <v>21</v>
      </c>
      <c r="AN63" s="19"/>
      <c r="AO63" s="56">
        <v>41</v>
      </c>
      <c r="AP63" s="56">
        <v>20</v>
      </c>
      <c r="AQ63" s="30"/>
      <c r="AR63" s="19">
        <f t="shared" si="57"/>
        <v>61</v>
      </c>
      <c r="AS63" s="19">
        <v>3</v>
      </c>
      <c r="AT63" s="19" t="str">
        <f t="shared" si="58"/>
        <v>7</v>
      </c>
      <c r="AU63" s="19" t="str">
        <f t="shared" si="59"/>
        <v>B+</v>
      </c>
      <c r="AV63" s="19">
        <f t="shared" si="60"/>
        <v>21</v>
      </c>
      <c r="AW63" s="19"/>
      <c r="AX63" s="9">
        <v>45</v>
      </c>
      <c r="AY63" s="9">
        <v>20</v>
      </c>
      <c r="AZ63" s="30"/>
      <c r="BA63" s="19">
        <f t="shared" si="61"/>
        <v>65</v>
      </c>
      <c r="BB63" s="19">
        <v>1</v>
      </c>
      <c r="BC63" s="19" t="str">
        <f t="shared" si="62"/>
        <v>7</v>
      </c>
      <c r="BD63" s="19" t="str">
        <f t="shared" si="63"/>
        <v>B+</v>
      </c>
      <c r="BE63" s="19">
        <f t="shared" si="64"/>
        <v>7</v>
      </c>
      <c r="BF63" s="53" t="s">
        <v>92</v>
      </c>
      <c r="BG63" s="9">
        <v>46</v>
      </c>
      <c r="BH63" s="9">
        <v>37</v>
      </c>
      <c r="BI63" s="30"/>
      <c r="BJ63" s="19">
        <f t="shared" si="65"/>
        <v>83</v>
      </c>
      <c r="BK63" s="19">
        <v>1</v>
      </c>
      <c r="BL63" s="19" t="str">
        <f t="shared" si="66"/>
        <v>9</v>
      </c>
      <c r="BM63" s="19" t="str">
        <f t="shared" si="67"/>
        <v>A+</v>
      </c>
      <c r="BN63" s="19">
        <f t="shared" si="68"/>
        <v>9</v>
      </c>
      <c r="BO63" s="19"/>
      <c r="BP63" s="9">
        <v>43</v>
      </c>
      <c r="BQ63" s="9">
        <v>38</v>
      </c>
      <c r="BR63" s="30"/>
      <c r="BS63" s="19">
        <f t="shared" si="69"/>
        <v>81</v>
      </c>
      <c r="BT63" s="19">
        <v>1</v>
      </c>
      <c r="BU63" s="19" t="str">
        <f t="shared" si="70"/>
        <v>9</v>
      </c>
      <c r="BV63" s="19" t="str">
        <f t="shared" si="71"/>
        <v>A+</v>
      </c>
      <c r="BW63" s="19">
        <f t="shared" si="72"/>
        <v>9</v>
      </c>
      <c r="BX63" s="19"/>
      <c r="BY63" s="19"/>
      <c r="BZ63" s="19">
        <f t="shared" si="73"/>
        <v>154</v>
      </c>
      <c r="CA63" s="20">
        <f t="shared" si="74"/>
        <v>7.7</v>
      </c>
      <c r="CB63" s="35" t="str">
        <f t="shared" si="75"/>
        <v>A</v>
      </c>
      <c r="CC63" s="31">
        <f t="shared" si="76"/>
        <v>73.150000000000006</v>
      </c>
      <c r="CD63" s="31"/>
      <c r="CE63" s="35">
        <f t="shared" si="77"/>
        <v>582</v>
      </c>
      <c r="CF63" s="35">
        <f t="shared" si="78"/>
        <v>72.75</v>
      </c>
      <c r="CG63" s="31"/>
      <c r="CH63" s="31"/>
      <c r="CI63" s="31" t="str">
        <f t="shared" si="79"/>
        <v>FCD</v>
      </c>
    </row>
    <row r="64" spans="1:87" ht="15.75" x14ac:dyDescent="0.25">
      <c r="A64" s="44">
        <f t="shared" si="80"/>
        <v>70</v>
      </c>
      <c r="B64" s="47" t="s">
        <v>143</v>
      </c>
      <c r="C64" s="54" t="s">
        <v>205</v>
      </c>
      <c r="D64" s="58" t="s">
        <v>232</v>
      </c>
      <c r="E64" s="9">
        <v>46</v>
      </c>
      <c r="F64" s="9">
        <v>28</v>
      </c>
      <c r="G64" s="30"/>
      <c r="H64" s="19">
        <f t="shared" si="41"/>
        <v>74</v>
      </c>
      <c r="I64" s="19">
        <v>4</v>
      </c>
      <c r="J64" s="19" t="str">
        <f t="shared" si="42"/>
        <v>8</v>
      </c>
      <c r="K64" s="19" t="str">
        <f t="shared" si="43"/>
        <v>A</v>
      </c>
      <c r="L64" s="19">
        <f t="shared" si="44"/>
        <v>32</v>
      </c>
      <c r="M64" s="19"/>
      <c r="N64" s="9">
        <v>42</v>
      </c>
      <c r="O64" s="9">
        <v>21</v>
      </c>
      <c r="P64" s="30"/>
      <c r="Q64" s="19">
        <f t="shared" si="45"/>
        <v>63</v>
      </c>
      <c r="R64" s="19">
        <v>4</v>
      </c>
      <c r="S64" s="19" t="str">
        <f t="shared" si="46"/>
        <v>7</v>
      </c>
      <c r="T64" s="19" t="str">
        <f t="shared" si="47"/>
        <v>B+</v>
      </c>
      <c r="U64" s="19">
        <f t="shared" si="48"/>
        <v>28</v>
      </c>
      <c r="V64" s="19"/>
      <c r="W64" s="9">
        <v>32</v>
      </c>
      <c r="X64" s="9">
        <v>36</v>
      </c>
      <c r="Y64" s="19"/>
      <c r="Z64" s="19">
        <f t="shared" si="49"/>
        <v>68</v>
      </c>
      <c r="AA64" s="19">
        <v>3</v>
      </c>
      <c r="AB64" s="19" t="str">
        <f t="shared" si="50"/>
        <v>7</v>
      </c>
      <c r="AC64" s="19" t="str">
        <f t="shared" si="51"/>
        <v>B+</v>
      </c>
      <c r="AD64" s="19">
        <f t="shared" si="52"/>
        <v>21</v>
      </c>
      <c r="AE64" s="19"/>
      <c r="AF64" s="56">
        <v>30</v>
      </c>
      <c r="AG64" s="56">
        <v>28</v>
      </c>
      <c r="AH64" s="30"/>
      <c r="AI64" s="19">
        <f t="shared" si="53"/>
        <v>58</v>
      </c>
      <c r="AJ64" s="19">
        <v>3</v>
      </c>
      <c r="AK64" s="19" t="str">
        <f t="shared" si="54"/>
        <v>6</v>
      </c>
      <c r="AL64" s="19" t="str">
        <f t="shared" si="55"/>
        <v>B</v>
      </c>
      <c r="AM64" s="19">
        <f t="shared" si="56"/>
        <v>18</v>
      </c>
      <c r="AN64" s="19"/>
      <c r="AO64" s="56">
        <v>41</v>
      </c>
      <c r="AP64" s="56">
        <v>42</v>
      </c>
      <c r="AQ64" s="30"/>
      <c r="AR64" s="19">
        <f t="shared" si="57"/>
        <v>83</v>
      </c>
      <c r="AS64" s="19">
        <v>3</v>
      </c>
      <c r="AT64" s="19" t="str">
        <f t="shared" si="58"/>
        <v>9</v>
      </c>
      <c r="AU64" s="19" t="str">
        <f t="shared" si="59"/>
        <v>A+</v>
      </c>
      <c r="AV64" s="19">
        <f t="shared" si="60"/>
        <v>27</v>
      </c>
      <c r="AW64" s="19"/>
      <c r="AX64" s="9">
        <v>45</v>
      </c>
      <c r="AY64" s="9">
        <v>30</v>
      </c>
      <c r="AZ64" s="30"/>
      <c r="BA64" s="19">
        <f t="shared" si="61"/>
        <v>75</v>
      </c>
      <c r="BB64" s="19">
        <v>1</v>
      </c>
      <c r="BC64" s="19" t="str">
        <f t="shared" si="62"/>
        <v>8</v>
      </c>
      <c r="BD64" s="19" t="str">
        <f t="shared" si="63"/>
        <v>A</v>
      </c>
      <c r="BE64" s="19">
        <f t="shared" si="64"/>
        <v>8</v>
      </c>
      <c r="BF64" s="53" t="s">
        <v>97</v>
      </c>
      <c r="BG64" s="9">
        <v>46</v>
      </c>
      <c r="BH64" s="9">
        <v>28</v>
      </c>
      <c r="BI64" s="30"/>
      <c r="BJ64" s="19">
        <f t="shared" si="65"/>
        <v>74</v>
      </c>
      <c r="BK64" s="19">
        <v>1</v>
      </c>
      <c r="BL64" s="19" t="str">
        <f t="shared" si="66"/>
        <v>8</v>
      </c>
      <c r="BM64" s="19" t="str">
        <f t="shared" si="67"/>
        <v>A</v>
      </c>
      <c r="BN64" s="19">
        <f t="shared" si="68"/>
        <v>8</v>
      </c>
      <c r="BO64" s="19"/>
      <c r="BP64" s="9">
        <v>43</v>
      </c>
      <c r="BQ64" s="9">
        <v>39</v>
      </c>
      <c r="BR64" s="30"/>
      <c r="BS64" s="19">
        <f t="shared" si="69"/>
        <v>82</v>
      </c>
      <c r="BT64" s="19">
        <v>1</v>
      </c>
      <c r="BU64" s="19" t="str">
        <f t="shared" si="70"/>
        <v>9</v>
      </c>
      <c r="BV64" s="19" t="str">
        <f t="shared" si="71"/>
        <v>A+</v>
      </c>
      <c r="BW64" s="19">
        <f t="shared" si="72"/>
        <v>9</v>
      </c>
      <c r="BX64" s="19"/>
      <c r="BY64" s="19"/>
      <c r="BZ64" s="19">
        <f t="shared" si="73"/>
        <v>151</v>
      </c>
      <c r="CA64" s="20">
        <f t="shared" si="74"/>
        <v>7.55</v>
      </c>
      <c r="CB64" s="35" t="str">
        <f t="shared" si="75"/>
        <v>A</v>
      </c>
      <c r="CC64" s="31">
        <f t="shared" si="76"/>
        <v>71.724999999999994</v>
      </c>
      <c r="CD64" s="31"/>
      <c r="CE64" s="35">
        <f t="shared" si="77"/>
        <v>577</v>
      </c>
      <c r="CF64" s="35">
        <f t="shared" si="78"/>
        <v>72.125</v>
      </c>
      <c r="CG64" s="31"/>
      <c r="CH64" s="31"/>
      <c r="CI64" s="31" t="str">
        <f t="shared" si="79"/>
        <v>FCD</v>
      </c>
    </row>
    <row r="65" spans="1:87" ht="15.75" x14ac:dyDescent="0.25">
      <c r="A65" s="44">
        <f t="shared" si="80"/>
        <v>71</v>
      </c>
      <c r="B65" s="47" t="s">
        <v>140</v>
      </c>
      <c r="C65" s="54" t="s">
        <v>202</v>
      </c>
      <c r="D65" s="58" t="s">
        <v>232</v>
      </c>
      <c r="E65" s="9">
        <v>43</v>
      </c>
      <c r="F65" s="9">
        <v>27</v>
      </c>
      <c r="G65" s="30"/>
      <c r="H65" s="19">
        <f t="shared" si="41"/>
        <v>70</v>
      </c>
      <c r="I65" s="19">
        <v>4</v>
      </c>
      <c r="J65" s="19" t="str">
        <f t="shared" si="42"/>
        <v>8</v>
      </c>
      <c r="K65" s="19" t="str">
        <f t="shared" si="43"/>
        <v>A</v>
      </c>
      <c r="L65" s="19">
        <f t="shared" si="44"/>
        <v>32</v>
      </c>
      <c r="M65" s="19"/>
      <c r="N65" s="9">
        <v>44</v>
      </c>
      <c r="O65" s="9">
        <v>20</v>
      </c>
      <c r="P65" s="30"/>
      <c r="Q65" s="19">
        <f t="shared" si="45"/>
        <v>64</v>
      </c>
      <c r="R65" s="19">
        <v>4</v>
      </c>
      <c r="S65" s="19" t="str">
        <f t="shared" si="46"/>
        <v>7</v>
      </c>
      <c r="T65" s="19" t="str">
        <f t="shared" si="47"/>
        <v>B+</v>
      </c>
      <c r="U65" s="19">
        <f t="shared" si="48"/>
        <v>28</v>
      </c>
      <c r="V65" s="19"/>
      <c r="W65" s="9">
        <v>40</v>
      </c>
      <c r="X65" s="9">
        <v>37</v>
      </c>
      <c r="Y65" s="19"/>
      <c r="Z65" s="19">
        <f t="shared" si="49"/>
        <v>77</v>
      </c>
      <c r="AA65" s="19">
        <v>3</v>
      </c>
      <c r="AB65" s="19" t="str">
        <f t="shared" si="50"/>
        <v>8</v>
      </c>
      <c r="AC65" s="19" t="str">
        <f t="shared" si="51"/>
        <v>A</v>
      </c>
      <c r="AD65" s="19">
        <f t="shared" si="52"/>
        <v>24</v>
      </c>
      <c r="AE65" s="19"/>
      <c r="AF65" s="56">
        <v>38</v>
      </c>
      <c r="AG65" s="56">
        <v>25</v>
      </c>
      <c r="AH65" s="30"/>
      <c r="AI65" s="19">
        <f t="shared" si="53"/>
        <v>63</v>
      </c>
      <c r="AJ65" s="19">
        <v>3</v>
      </c>
      <c r="AK65" s="19" t="str">
        <f t="shared" si="54"/>
        <v>7</v>
      </c>
      <c r="AL65" s="19" t="str">
        <f t="shared" si="55"/>
        <v>B+</v>
      </c>
      <c r="AM65" s="19">
        <f t="shared" si="56"/>
        <v>21</v>
      </c>
      <c r="AN65" s="19"/>
      <c r="AO65" s="56">
        <v>40</v>
      </c>
      <c r="AP65" s="56">
        <v>22</v>
      </c>
      <c r="AQ65" s="30"/>
      <c r="AR65" s="19">
        <f t="shared" si="57"/>
        <v>62</v>
      </c>
      <c r="AS65" s="19">
        <v>3</v>
      </c>
      <c r="AT65" s="19" t="str">
        <f t="shared" si="58"/>
        <v>7</v>
      </c>
      <c r="AU65" s="19" t="str">
        <f t="shared" si="59"/>
        <v>B+</v>
      </c>
      <c r="AV65" s="19">
        <f t="shared" si="60"/>
        <v>21</v>
      </c>
      <c r="AW65" s="19"/>
      <c r="AX65" s="9">
        <v>45</v>
      </c>
      <c r="AY65" s="9">
        <v>31</v>
      </c>
      <c r="AZ65" s="30"/>
      <c r="BA65" s="19">
        <f t="shared" si="61"/>
        <v>76</v>
      </c>
      <c r="BB65" s="19">
        <v>1</v>
      </c>
      <c r="BC65" s="19" t="str">
        <f t="shared" si="62"/>
        <v>8</v>
      </c>
      <c r="BD65" s="19" t="str">
        <f t="shared" si="63"/>
        <v>A</v>
      </c>
      <c r="BE65" s="19">
        <f t="shared" si="64"/>
        <v>8</v>
      </c>
      <c r="BF65" s="53" t="s">
        <v>92</v>
      </c>
      <c r="BG65" s="9">
        <v>45</v>
      </c>
      <c r="BH65" s="9">
        <v>28</v>
      </c>
      <c r="BI65" s="30"/>
      <c r="BJ65" s="19">
        <f t="shared" si="65"/>
        <v>73</v>
      </c>
      <c r="BK65" s="19">
        <v>1</v>
      </c>
      <c r="BL65" s="19" t="str">
        <f t="shared" si="66"/>
        <v>8</v>
      </c>
      <c r="BM65" s="19" t="str">
        <f t="shared" si="67"/>
        <v>A</v>
      </c>
      <c r="BN65" s="19">
        <f t="shared" si="68"/>
        <v>8</v>
      </c>
      <c r="BO65" s="19"/>
      <c r="BP65" s="9">
        <v>41</v>
      </c>
      <c r="BQ65" s="9">
        <v>38</v>
      </c>
      <c r="BR65" s="30"/>
      <c r="BS65" s="19">
        <f t="shared" si="69"/>
        <v>79</v>
      </c>
      <c r="BT65" s="19">
        <v>1</v>
      </c>
      <c r="BU65" s="19" t="str">
        <f t="shared" si="70"/>
        <v>8</v>
      </c>
      <c r="BV65" s="19" t="str">
        <f t="shared" si="71"/>
        <v>A</v>
      </c>
      <c r="BW65" s="19">
        <f t="shared" si="72"/>
        <v>8</v>
      </c>
      <c r="BX65" s="19"/>
      <c r="BY65" s="19"/>
      <c r="BZ65" s="19">
        <f t="shared" si="73"/>
        <v>150</v>
      </c>
      <c r="CA65" s="20">
        <f t="shared" si="74"/>
        <v>7.5</v>
      </c>
      <c r="CB65" s="35" t="str">
        <f t="shared" si="75"/>
        <v>A</v>
      </c>
      <c r="CC65" s="31">
        <f t="shared" si="76"/>
        <v>71.25</v>
      </c>
      <c r="CD65" s="31"/>
      <c r="CE65" s="35">
        <f t="shared" si="77"/>
        <v>564</v>
      </c>
      <c r="CF65" s="35">
        <f t="shared" si="78"/>
        <v>70.5</v>
      </c>
      <c r="CG65" s="31"/>
      <c r="CH65" s="31"/>
      <c r="CI65" s="31" t="str">
        <f t="shared" si="79"/>
        <v>FC</v>
      </c>
    </row>
    <row r="66" spans="1:87" ht="15.75" x14ac:dyDescent="0.25">
      <c r="A66" s="44">
        <f t="shared" si="80"/>
        <v>72</v>
      </c>
      <c r="B66" s="46" t="s">
        <v>117</v>
      </c>
      <c r="C66" s="72" t="s">
        <v>179</v>
      </c>
      <c r="D66" s="58" t="s">
        <v>232</v>
      </c>
      <c r="E66" s="43">
        <v>44</v>
      </c>
      <c r="F66" s="43">
        <v>18</v>
      </c>
      <c r="G66" s="30"/>
      <c r="H66" s="19">
        <f t="shared" si="41"/>
        <v>62</v>
      </c>
      <c r="I66" s="19">
        <v>4</v>
      </c>
      <c r="J66" s="19" t="str">
        <f t="shared" si="42"/>
        <v>7</v>
      </c>
      <c r="K66" s="19" t="str">
        <f t="shared" si="43"/>
        <v>B+</v>
      </c>
      <c r="L66" s="19">
        <f t="shared" si="44"/>
        <v>28</v>
      </c>
      <c r="M66" s="19"/>
      <c r="N66" s="43">
        <v>43</v>
      </c>
      <c r="O66" s="43">
        <v>25</v>
      </c>
      <c r="P66" s="30"/>
      <c r="Q66" s="19">
        <f t="shared" si="45"/>
        <v>68</v>
      </c>
      <c r="R66" s="19">
        <v>4</v>
      </c>
      <c r="S66" s="19" t="str">
        <f t="shared" si="46"/>
        <v>7</v>
      </c>
      <c r="T66" s="19" t="str">
        <f t="shared" si="47"/>
        <v>B+</v>
      </c>
      <c r="U66" s="19">
        <f t="shared" si="48"/>
        <v>28</v>
      </c>
      <c r="V66" s="19"/>
      <c r="W66" s="43">
        <v>46</v>
      </c>
      <c r="X66" s="43">
        <v>34</v>
      </c>
      <c r="Y66" s="19"/>
      <c r="Z66" s="19">
        <f t="shared" si="49"/>
        <v>80</v>
      </c>
      <c r="AA66" s="19">
        <v>3</v>
      </c>
      <c r="AB66" s="19" t="str">
        <f t="shared" si="50"/>
        <v>9</v>
      </c>
      <c r="AC66" s="19" t="str">
        <f t="shared" si="51"/>
        <v>A+</v>
      </c>
      <c r="AD66" s="19">
        <f t="shared" si="52"/>
        <v>27</v>
      </c>
      <c r="AE66" s="19"/>
      <c r="AF66" s="73">
        <v>38</v>
      </c>
      <c r="AG66" s="73">
        <v>24</v>
      </c>
      <c r="AH66" s="30"/>
      <c r="AI66" s="19">
        <f t="shared" si="53"/>
        <v>62</v>
      </c>
      <c r="AJ66" s="19">
        <v>3</v>
      </c>
      <c r="AK66" s="19" t="str">
        <f t="shared" si="54"/>
        <v>7</v>
      </c>
      <c r="AL66" s="19" t="str">
        <f t="shared" si="55"/>
        <v>B+</v>
      </c>
      <c r="AM66" s="19">
        <f t="shared" si="56"/>
        <v>21</v>
      </c>
      <c r="AN66" s="19"/>
      <c r="AO66" s="73">
        <v>44</v>
      </c>
      <c r="AP66" s="73">
        <v>21</v>
      </c>
      <c r="AQ66" s="30"/>
      <c r="AR66" s="19">
        <f t="shared" si="57"/>
        <v>65</v>
      </c>
      <c r="AS66" s="19">
        <v>3</v>
      </c>
      <c r="AT66" s="19" t="str">
        <f t="shared" si="58"/>
        <v>7</v>
      </c>
      <c r="AU66" s="19" t="str">
        <f t="shared" si="59"/>
        <v>B+</v>
      </c>
      <c r="AV66" s="19">
        <f t="shared" si="60"/>
        <v>21</v>
      </c>
      <c r="AW66" s="19"/>
      <c r="AX66" s="43">
        <v>44</v>
      </c>
      <c r="AY66" s="43">
        <v>27</v>
      </c>
      <c r="AZ66" s="30"/>
      <c r="BA66" s="19">
        <f t="shared" si="61"/>
        <v>71</v>
      </c>
      <c r="BB66" s="19">
        <v>1</v>
      </c>
      <c r="BC66" s="19" t="str">
        <f t="shared" si="62"/>
        <v>8</v>
      </c>
      <c r="BD66" s="19" t="str">
        <f t="shared" si="63"/>
        <v>A</v>
      </c>
      <c r="BE66" s="19">
        <f t="shared" si="64"/>
        <v>8</v>
      </c>
      <c r="BF66" s="86" t="s">
        <v>92</v>
      </c>
      <c r="BG66" s="43">
        <v>45</v>
      </c>
      <c r="BH66" s="43">
        <v>24</v>
      </c>
      <c r="BI66" s="30"/>
      <c r="BJ66" s="19">
        <f t="shared" si="65"/>
        <v>69</v>
      </c>
      <c r="BK66" s="19">
        <v>1</v>
      </c>
      <c r="BL66" s="19" t="str">
        <f t="shared" si="66"/>
        <v>7</v>
      </c>
      <c r="BM66" s="19" t="str">
        <f t="shared" si="67"/>
        <v>B+</v>
      </c>
      <c r="BN66" s="19">
        <f t="shared" si="68"/>
        <v>7</v>
      </c>
      <c r="BO66" s="19"/>
      <c r="BP66" s="43">
        <v>46</v>
      </c>
      <c r="BQ66" s="43">
        <v>39</v>
      </c>
      <c r="BR66" s="30"/>
      <c r="BS66" s="19">
        <f t="shared" si="69"/>
        <v>85</v>
      </c>
      <c r="BT66" s="19">
        <v>1</v>
      </c>
      <c r="BU66" s="19" t="str">
        <f t="shared" si="70"/>
        <v>9</v>
      </c>
      <c r="BV66" s="19" t="str">
        <f t="shared" si="71"/>
        <v>A+</v>
      </c>
      <c r="BW66" s="19">
        <f t="shared" si="72"/>
        <v>9</v>
      </c>
      <c r="BX66" s="19"/>
      <c r="BY66" s="19"/>
      <c r="BZ66" s="19">
        <f t="shared" si="73"/>
        <v>149</v>
      </c>
      <c r="CA66" s="20">
        <f t="shared" si="74"/>
        <v>7.45</v>
      </c>
      <c r="CB66" s="35" t="str">
        <f t="shared" si="75"/>
        <v>A</v>
      </c>
      <c r="CC66" s="31">
        <f t="shared" si="76"/>
        <v>70.775000000000006</v>
      </c>
      <c r="CD66" s="31"/>
      <c r="CE66" s="35">
        <f t="shared" si="77"/>
        <v>562</v>
      </c>
      <c r="CF66" s="35">
        <f t="shared" si="78"/>
        <v>70.25</v>
      </c>
      <c r="CG66" s="31"/>
      <c r="CH66" s="31"/>
      <c r="CI66" s="31" t="str">
        <f t="shared" si="79"/>
        <v>FC</v>
      </c>
    </row>
    <row r="67" spans="1:87" ht="15.75" x14ac:dyDescent="0.25">
      <c r="A67" s="44">
        <f t="shared" si="80"/>
        <v>73</v>
      </c>
      <c r="B67" s="47" t="s">
        <v>147</v>
      </c>
      <c r="C67" s="54" t="s">
        <v>209</v>
      </c>
      <c r="D67" s="58" t="s">
        <v>232</v>
      </c>
      <c r="E67" s="9">
        <v>41</v>
      </c>
      <c r="F67" s="9">
        <v>21</v>
      </c>
      <c r="G67" s="30"/>
      <c r="H67" s="19">
        <f t="shared" si="41"/>
        <v>62</v>
      </c>
      <c r="I67" s="19">
        <v>4</v>
      </c>
      <c r="J67" s="19" t="str">
        <f t="shared" si="42"/>
        <v>7</v>
      </c>
      <c r="K67" s="19" t="str">
        <f t="shared" si="43"/>
        <v>B+</v>
      </c>
      <c r="L67" s="19">
        <f t="shared" si="44"/>
        <v>28</v>
      </c>
      <c r="M67" s="19"/>
      <c r="N67" s="9">
        <v>40</v>
      </c>
      <c r="O67" s="9">
        <v>26</v>
      </c>
      <c r="P67" s="30"/>
      <c r="Q67" s="19">
        <f t="shared" si="45"/>
        <v>66</v>
      </c>
      <c r="R67" s="19">
        <v>4</v>
      </c>
      <c r="S67" s="19" t="str">
        <f t="shared" si="46"/>
        <v>7</v>
      </c>
      <c r="T67" s="19" t="str">
        <f t="shared" si="47"/>
        <v>B+</v>
      </c>
      <c r="U67" s="19">
        <f t="shared" si="48"/>
        <v>28</v>
      </c>
      <c r="V67" s="19"/>
      <c r="W67" s="9">
        <v>38</v>
      </c>
      <c r="X67" s="9">
        <v>20</v>
      </c>
      <c r="Y67" s="19"/>
      <c r="Z67" s="19">
        <f t="shared" si="49"/>
        <v>58</v>
      </c>
      <c r="AA67" s="19">
        <v>3</v>
      </c>
      <c r="AB67" s="19" t="str">
        <f t="shared" si="50"/>
        <v>6</v>
      </c>
      <c r="AC67" s="19" t="str">
        <f t="shared" si="51"/>
        <v>B</v>
      </c>
      <c r="AD67" s="19">
        <f t="shared" si="52"/>
        <v>18</v>
      </c>
      <c r="AE67" s="19"/>
      <c r="AF67" s="56">
        <v>40</v>
      </c>
      <c r="AG67" s="56">
        <v>31</v>
      </c>
      <c r="AH67" s="30"/>
      <c r="AI67" s="19">
        <f t="shared" si="53"/>
        <v>71</v>
      </c>
      <c r="AJ67" s="19">
        <v>3</v>
      </c>
      <c r="AK67" s="19" t="str">
        <f t="shared" si="54"/>
        <v>8</v>
      </c>
      <c r="AL67" s="19" t="str">
        <f t="shared" si="55"/>
        <v>A</v>
      </c>
      <c r="AM67" s="19">
        <f t="shared" si="56"/>
        <v>24</v>
      </c>
      <c r="AN67" s="19"/>
      <c r="AO67" s="56">
        <v>42</v>
      </c>
      <c r="AP67" s="56">
        <v>29</v>
      </c>
      <c r="AQ67" s="30"/>
      <c r="AR67" s="19">
        <f t="shared" si="57"/>
        <v>71</v>
      </c>
      <c r="AS67" s="19">
        <v>3</v>
      </c>
      <c r="AT67" s="19" t="str">
        <f t="shared" si="58"/>
        <v>8</v>
      </c>
      <c r="AU67" s="19" t="str">
        <f t="shared" si="59"/>
        <v>A</v>
      </c>
      <c r="AV67" s="19">
        <f t="shared" si="60"/>
        <v>24</v>
      </c>
      <c r="AW67" s="19"/>
      <c r="AX67" s="9">
        <v>45</v>
      </c>
      <c r="AY67" s="9">
        <v>26</v>
      </c>
      <c r="AZ67" s="30"/>
      <c r="BA67" s="19">
        <f t="shared" si="61"/>
        <v>71</v>
      </c>
      <c r="BB67" s="19">
        <v>1</v>
      </c>
      <c r="BC67" s="19" t="str">
        <f t="shared" si="62"/>
        <v>8</v>
      </c>
      <c r="BD67" s="19" t="str">
        <f t="shared" si="63"/>
        <v>A</v>
      </c>
      <c r="BE67" s="19">
        <f t="shared" si="64"/>
        <v>8</v>
      </c>
      <c r="BF67" s="53" t="s">
        <v>92</v>
      </c>
      <c r="BG67" s="9">
        <v>44</v>
      </c>
      <c r="BH67" s="9">
        <v>33</v>
      </c>
      <c r="BI67" s="30"/>
      <c r="BJ67" s="19">
        <f t="shared" si="65"/>
        <v>77</v>
      </c>
      <c r="BK67" s="19">
        <v>1</v>
      </c>
      <c r="BL67" s="19" t="str">
        <f t="shared" si="66"/>
        <v>8</v>
      </c>
      <c r="BM67" s="19" t="str">
        <f t="shared" si="67"/>
        <v>A</v>
      </c>
      <c r="BN67" s="19">
        <f t="shared" si="68"/>
        <v>8</v>
      </c>
      <c r="BO67" s="19"/>
      <c r="BP67" s="9">
        <v>45</v>
      </c>
      <c r="BQ67" s="9">
        <v>39</v>
      </c>
      <c r="BR67" s="30"/>
      <c r="BS67" s="19">
        <f t="shared" si="69"/>
        <v>84</v>
      </c>
      <c r="BT67" s="19">
        <v>1</v>
      </c>
      <c r="BU67" s="19" t="str">
        <f t="shared" si="70"/>
        <v>9</v>
      </c>
      <c r="BV67" s="19" t="str">
        <f t="shared" si="71"/>
        <v>A+</v>
      </c>
      <c r="BW67" s="19">
        <f t="shared" si="72"/>
        <v>9</v>
      </c>
      <c r="BX67" s="19"/>
      <c r="BY67" s="19"/>
      <c r="BZ67" s="19">
        <f t="shared" si="73"/>
        <v>147</v>
      </c>
      <c r="CA67" s="20">
        <f t="shared" si="74"/>
        <v>7.35</v>
      </c>
      <c r="CB67" s="35" t="str">
        <f t="shared" si="75"/>
        <v>A</v>
      </c>
      <c r="CC67" s="31">
        <f t="shared" si="76"/>
        <v>69.825000000000003</v>
      </c>
      <c r="CD67" s="34"/>
      <c r="CE67" s="35">
        <f t="shared" si="77"/>
        <v>560</v>
      </c>
      <c r="CF67" s="35">
        <f t="shared" si="78"/>
        <v>70</v>
      </c>
      <c r="CG67" s="31"/>
      <c r="CH67" s="31"/>
      <c r="CI67" s="31" t="str">
        <f t="shared" si="79"/>
        <v>FC</v>
      </c>
    </row>
    <row r="68" spans="1:87" ht="15.75" x14ac:dyDescent="0.25">
      <c r="A68" s="44">
        <f t="shared" si="80"/>
        <v>74</v>
      </c>
      <c r="B68" s="47" t="s">
        <v>136</v>
      </c>
      <c r="C68" s="54" t="s">
        <v>198</v>
      </c>
      <c r="D68" s="58" t="s">
        <v>232</v>
      </c>
      <c r="E68" s="9">
        <v>46</v>
      </c>
      <c r="F68" s="9">
        <v>18</v>
      </c>
      <c r="G68" s="30"/>
      <c r="H68" s="19">
        <f t="shared" si="41"/>
        <v>64</v>
      </c>
      <c r="I68" s="19">
        <v>4</v>
      </c>
      <c r="J68" s="19" t="str">
        <f t="shared" si="42"/>
        <v>7</v>
      </c>
      <c r="K68" s="19" t="str">
        <f t="shared" si="43"/>
        <v>B+</v>
      </c>
      <c r="L68" s="19">
        <f t="shared" si="44"/>
        <v>28</v>
      </c>
      <c r="M68" s="19"/>
      <c r="N68" s="9">
        <v>44</v>
      </c>
      <c r="O68" s="9">
        <v>24</v>
      </c>
      <c r="P68" s="30"/>
      <c r="Q68" s="19">
        <f t="shared" si="45"/>
        <v>68</v>
      </c>
      <c r="R68" s="19">
        <v>4</v>
      </c>
      <c r="S68" s="19" t="str">
        <f t="shared" si="46"/>
        <v>7</v>
      </c>
      <c r="T68" s="19" t="str">
        <f t="shared" si="47"/>
        <v>B+</v>
      </c>
      <c r="U68" s="19">
        <f t="shared" si="48"/>
        <v>28</v>
      </c>
      <c r="V68" s="19"/>
      <c r="W68" s="9">
        <v>40</v>
      </c>
      <c r="X68" s="9">
        <v>36</v>
      </c>
      <c r="Y68" s="19"/>
      <c r="Z68" s="19">
        <f t="shared" si="49"/>
        <v>76</v>
      </c>
      <c r="AA68" s="19">
        <v>3</v>
      </c>
      <c r="AB68" s="19" t="str">
        <f t="shared" si="50"/>
        <v>8</v>
      </c>
      <c r="AC68" s="19" t="str">
        <f t="shared" si="51"/>
        <v>A</v>
      </c>
      <c r="AD68" s="19">
        <f t="shared" si="52"/>
        <v>24</v>
      </c>
      <c r="AE68" s="19"/>
      <c r="AF68" s="57">
        <v>40</v>
      </c>
      <c r="AG68" s="57">
        <v>22</v>
      </c>
      <c r="AH68" s="30"/>
      <c r="AI68" s="19">
        <f t="shared" si="53"/>
        <v>62</v>
      </c>
      <c r="AJ68" s="19">
        <v>3</v>
      </c>
      <c r="AK68" s="19" t="str">
        <f t="shared" si="54"/>
        <v>7</v>
      </c>
      <c r="AL68" s="19" t="str">
        <f t="shared" si="55"/>
        <v>B+</v>
      </c>
      <c r="AM68" s="19">
        <f t="shared" si="56"/>
        <v>21</v>
      </c>
      <c r="AN68" s="19"/>
      <c r="AO68" s="57">
        <v>40</v>
      </c>
      <c r="AP68" s="57">
        <v>19</v>
      </c>
      <c r="AQ68" s="30"/>
      <c r="AR68" s="19">
        <f t="shared" si="57"/>
        <v>59</v>
      </c>
      <c r="AS68" s="19">
        <v>3</v>
      </c>
      <c r="AT68" s="19" t="str">
        <f t="shared" si="58"/>
        <v>6</v>
      </c>
      <c r="AU68" s="19" t="str">
        <f t="shared" si="59"/>
        <v>B</v>
      </c>
      <c r="AV68" s="19">
        <f t="shared" si="60"/>
        <v>18</v>
      </c>
      <c r="AW68" s="19"/>
      <c r="AX68" s="9">
        <v>45</v>
      </c>
      <c r="AY68" s="9">
        <v>40</v>
      </c>
      <c r="AZ68" s="30"/>
      <c r="BA68" s="19">
        <f t="shared" si="61"/>
        <v>85</v>
      </c>
      <c r="BB68" s="19">
        <v>1</v>
      </c>
      <c r="BC68" s="19" t="str">
        <f t="shared" si="62"/>
        <v>9</v>
      </c>
      <c r="BD68" s="19" t="str">
        <f t="shared" si="63"/>
        <v>A+</v>
      </c>
      <c r="BE68" s="19">
        <f t="shared" si="64"/>
        <v>9</v>
      </c>
      <c r="BF68" s="53" t="s">
        <v>92</v>
      </c>
      <c r="BG68" s="9">
        <v>46</v>
      </c>
      <c r="BH68" s="9">
        <v>37</v>
      </c>
      <c r="BI68" s="30"/>
      <c r="BJ68" s="19">
        <f t="shared" si="65"/>
        <v>83</v>
      </c>
      <c r="BK68" s="19">
        <v>1</v>
      </c>
      <c r="BL68" s="19" t="str">
        <f t="shared" si="66"/>
        <v>9</v>
      </c>
      <c r="BM68" s="19" t="str">
        <f t="shared" si="67"/>
        <v>A+</v>
      </c>
      <c r="BN68" s="19">
        <f t="shared" si="68"/>
        <v>9</v>
      </c>
      <c r="BO68" s="19"/>
      <c r="BP68" s="9">
        <v>45</v>
      </c>
      <c r="BQ68" s="9">
        <v>38</v>
      </c>
      <c r="BR68" s="30"/>
      <c r="BS68" s="19">
        <f t="shared" si="69"/>
        <v>83</v>
      </c>
      <c r="BT68" s="19">
        <v>1</v>
      </c>
      <c r="BU68" s="19" t="str">
        <f t="shared" si="70"/>
        <v>9</v>
      </c>
      <c r="BV68" s="19" t="str">
        <f t="shared" si="71"/>
        <v>A+</v>
      </c>
      <c r="BW68" s="19">
        <f t="shared" si="72"/>
        <v>9</v>
      </c>
      <c r="BX68" s="19"/>
      <c r="BY68" s="19"/>
      <c r="BZ68" s="19">
        <f t="shared" si="73"/>
        <v>146</v>
      </c>
      <c r="CA68" s="20">
        <f t="shared" si="74"/>
        <v>7.3</v>
      </c>
      <c r="CB68" s="35" t="str">
        <f t="shared" si="75"/>
        <v>A</v>
      </c>
      <c r="CC68" s="31">
        <f t="shared" si="76"/>
        <v>69.349999999999994</v>
      </c>
      <c r="CD68" s="31"/>
      <c r="CE68" s="35">
        <f t="shared" si="77"/>
        <v>580</v>
      </c>
      <c r="CF68" s="35">
        <f t="shared" si="78"/>
        <v>72.5</v>
      </c>
      <c r="CG68" s="31"/>
      <c r="CH68" s="31"/>
      <c r="CI68" s="31" t="str">
        <f t="shared" si="79"/>
        <v>FC</v>
      </c>
    </row>
    <row r="69" spans="1:87" ht="15.75" x14ac:dyDescent="0.25">
      <c r="A69" s="60">
        <f t="shared" si="80"/>
        <v>75</v>
      </c>
      <c r="B69" s="61" t="s">
        <v>101</v>
      </c>
      <c r="C69" s="62" t="s">
        <v>163</v>
      </c>
      <c r="D69" s="63" t="s">
        <v>232</v>
      </c>
      <c r="E69" s="64">
        <v>40</v>
      </c>
      <c r="F69" s="64">
        <v>10</v>
      </c>
      <c r="G69" s="65"/>
      <c r="H69" s="66">
        <f t="shared" si="41"/>
        <v>50</v>
      </c>
      <c r="I69" s="66">
        <v>4</v>
      </c>
      <c r="J69" s="66" t="str">
        <f t="shared" si="42"/>
        <v>0</v>
      </c>
      <c r="K69" s="66" t="str">
        <f t="shared" si="43"/>
        <v>F</v>
      </c>
      <c r="L69" s="66">
        <f t="shared" si="44"/>
        <v>0</v>
      </c>
      <c r="M69" s="66"/>
      <c r="N69" s="64">
        <v>42</v>
      </c>
      <c r="O69" s="64">
        <v>32</v>
      </c>
      <c r="P69" s="65"/>
      <c r="Q69" s="66">
        <f t="shared" si="45"/>
        <v>74</v>
      </c>
      <c r="R69" s="66">
        <v>4</v>
      </c>
      <c r="S69" s="66" t="str">
        <f t="shared" si="46"/>
        <v>8</v>
      </c>
      <c r="T69" s="66" t="str">
        <f t="shared" si="47"/>
        <v>A</v>
      </c>
      <c r="U69" s="66">
        <f t="shared" si="48"/>
        <v>32</v>
      </c>
      <c r="V69" s="66"/>
      <c r="W69" s="64">
        <v>45</v>
      </c>
      <c r="X69" s="64">
        <v>45</v>
      </c>
      <c r="Y69" s="66"/>
      <c r="Z69" s="66">
        <f t="shared" si="49"/>
        <v>90</v>
      </c>
      <c r="AA69" s="66">
        <v>3</v>
      </c>
      <c r="AB69" s="66" t="str">
        <f t="shared" si="50"/>
        <v>10</v>
      </c>
      <c r="AC69" s="66" t="str">
        <f t="shared" si="51"/>
        <v>O</v>
      </c>
      <c r="AD69" s="66">
        <f t="shared" si="52"/>
        <v>30</v>
      </c>
      <c r="AE69" s="66"/>
      <c r="AF69" s="67">
        <v>33</v>
      </c>
      <c r="AG69" s="67">
        <v>21</v>
      </c>
      <c r="AH69" s="65"/>
      <c r="AI69" s="66">
        <f t="shared" si="53"/>
        <v>54</v>
      </c>
      <c r="AJ69" s="66">
        <v>3</v>
      </c>
      <c r="AK69" s="66" t="str">
        <f t="shared" si="54"/>
        <v>5</v>
      </c>
      <c r="AL69" s="66" t="str">
        <f t="shared" si="55"/>
        <v>C</v>
      </c>
      <c r="AM69" s="66">
        <f t="shared" si="56"/>
        <v>15</v>
      </c>
      <c r="AN69" s="66"/>
      <c r="AO69" s="67">
        <v>45</v>
      </c>
      <c r="AP69" s="67">
        <v>24</v>
      </c>
      <c r="AQ69" s="65"/>
      <c r="AR69" s="66">
        <f t="shared" si="57"/>
        <v>69</v>
      </c>
      <c r="AS69" s="66">
        <v>3</v>
      </c>
      <c r="AT69" s="66" t="str">
        <f t="shared" si="58"/>
        <v>7</v>
      </c>
      <c r="AU69" s="66" t="str">
        <f t="shared" si="59"/>
        <v>B+</v>
      </c>
      <c r="AV69" s="66">
        <f t="shared" si="60"/>
        <v>21</v>
      </c>
      <c r="AW69" s="66"/>
      <c r="AX69" s="64">
        <v>46</v>
      </c>
      <c r="AY69" s="64">
        <v>36</v>
      </c>
      <c r="AZ69" s="65"/>
      <c r="BA69" s="66">
        <f t="shared" si="61"/>
        <v>82</v>
      </c>
      <c r="BB69" s="66">
        <v>1</v>
      </c>
      <c r="BC69" s="66" t="str">
        <f t="shared" si="62"/>
        <v>9</v>
      </c>
      <c r="BD69" s="66" t="str">
        <f t="shared" si="63"/>
        <v>A+</v>
      </c>
      <c r="BE69" s="66">
        <f t="shared" si="64"/>
        <v>9</v>
      </c>
      <c r="BF69" s="53" t="s">
        <v>92</v>
      </c>
      <c r="BG69" s="64">
        <v>41</v>
      </c>
      <c r="BH69" s="64">
        <v>37</v>
      </c>
      <c r="BI69" s="65"/>
      <c r="BJ69" s="66">
        <f t="shared" si="65"/>
        <v>78</v>
      </c>
      <c r="BK69" s="66">
        <v>1</v>
      </c>
      <c r="BL69" s="66" t="str">
        <f t="shared" si="66"/>
        <v>8</v>
      </c>
      <c r="BM69" s="66" t="str">
        <f t="shared" si="67"/>
        <v>A</v>
      </c>
      <c r="BN69" s="66">
        <f t="shared" si="68"/>
        <v>8</v>
      </c>
      <c r="BO69" s="66"/>
      <c r="BP69" s="64">
        <v>45</v>
      </c>
      <c r="BQ69" s="64">
        <v>29</v>
      </c>
      <c r="BR69" s="65"/>
      <c r="BS69" s="66">
        <f t="shared" si="69"/>
        <v>74</v>
      </c>
      <c r="BT69" s="66">
        <v>1</v>
      </c>
      <c r="BU69" s="66" t="str">
        <f t="shared" si="70"/>
        <v>8</v>
      </c>
      <c r="BV69" s="66" t="str">
        <f t="shared" si="71"/>
        <v>A</v>
      </c>
      <c r="BW69" s="66">
        <f t="shared" si="72"/>
        <v>8</v>
      </c>
      <c r="BX69" s="66"/>
      <c r="BY69" s="66"/>
      <c r="BZ69" s="66">
        <f t="shared" si="73"/>
        <v>123</v>
      </c>
      <c r="CA69" s="68">
        <f t="shared" si="74"/>
        <v>6.15</v>
      </c>
      <c r="CB69" s="69" t="str">
        <f t="shared" si="75"/>
        <v>F</v>
      </c>
      <c r="CC69" s="70">
        <f t="shared" si="76"/>
        <v>58.425000000000004</v>
      </c>
      <c r="CD69" s="70"/>
      <c r="CE69" s="69">
        <f t="shared" si="77"/>
        <v>571</v>
      </c>
      <c r="CF69" s="69">
        <f t="shared" si="78"/>
        <v>71.375</v>
      </c>
      <c r="CG69" s="70"/>
      <c r="CH69" s="70"/>
      <c r="CI69" s="70" t="s">
        <v>11</v>
      </c>
    </row>
    <row r="70" spans="1:87" ht="15.75" x14ac:dyDescent="0.25">
      <c r="A70" s="60">
        <f t="shared" si="80"/>
        <v>76</v>
      </c>
      <c r="B70" s="61" t="s">
        <v>105</v>
      </c>
      <c r="C70" s="62" t="s">
        <v>167</v>
      </c>
      <c r="D70" s="63" t="s">
        <v>232</v>
      </c>
      <c r="E70" s="64">
        <v>41</v>
      </c>
      <c r="F70" s="64">
        <v>11</v>
      </c>
      <c r="G70" s="65"/>
      <c r="H70" s="66">
        <f t="shared" si="41"/>
        <v>52</v>
      </c>
      <c r="I70" s="66">
        <v>4</v>
      </c>
      <c r="J70" s="66" t="str">
        <f t="shared" si="42"/>
        <v>0</v>
      </c>
      <c r="K70" s="66" t="str">
        <f t="shared" si="43"/>
        <v>F</v>
      </c>
      <c r="L70" s="66">
        <f t="shared" si="44"/>
        <v>0</v>
      </c>
      <c r="M70" s="66"/>
      <c r="N70" s="64">
        <v>45</v>
      </c>
      <c r="O70" s="64">
        <v>13</v>
      </c>
      <c r="P70" s="65"/>
      <c r="Q70" s="66">
        <f t="shared" si="45"/>
        <v>58</v>
      </c>
      <c r="R70" s="66">
        <v>4</v>
      </c>
      <c r="S70" s="66" t="str">
        <f t="shared" si="46"/>
        <v>0</v>
      </c>
      <c r="T70" s="66" t="str">
        <f t="shared" si="47"/>
        <v>F</v>
      </c>
      <c r="U70" s="66">
        <f t="shared" si="48"/>
        <v>0</v>
      </c>
      <c r="V70" s="66"/>
      <c r="W70" s="64">
        <v>45</v>
      </c>
      <c r="X70" s="64">
        <v>36</v>
      </c>
      <c r="Y70" s="66"/>
      <c r="Z70" s="66">
        <f t="shared" si="49"/>
        <v>81</v>
      </c>
      <c r="AA70" s="66">
        <v>3</v>
      </c>
      <c r="AB70" s="66" t="str">
        <f t="shared" si="50"/>
        <v>9</v>
      </c>
      <c r="AC70" s="66" t="str">
        <f t="shared" si="51"/>
        <v>A+</v>
      </c>
      <c r="AD70" s="66">
        <f t="shared" si="52"/>
        <v>27</v>
      </c>
      <c r="AE70" s="66"/>
      <c r="AF70" s="67">
        <v>40</v>
      </c>
      <c r="AG70" s="67">
        <v>23</v>
      </c>
      <c r="AH70" s="65"/>
      <c r="AI70" s="66">
        <f t="shared" si="53"/>
        <v>63</v>
      </c>
      <c r="AJ70" s="66">
        <v>3</v>
      </c>
      <c r="AK70" s="66" t="str">
        <f t="shared" si="54"/>
        <v>7</v>
      </c>
      <c r="AL70" s="66" t="str">
        <f t="shared" si="55"/>
        <v>B+</v>
      </c>
      <c r="AM70" s="66">
        <f t="shared" si="56"/>
        <v>21</v>
      </c>
      <c r="AN70" s="66"/>
      <c r="AO70" s="67">
        <v>42</v>
      </c>
      <c r="AP70" s="67">
        <v>11</v>
      </c>
      <c r="AQ70" s="65"/>
      <c r="AR70" s="66">
        <f t="shared" si="57"/>
        <v>53</v>
      </c>
      <c r="AS70" s="66">
        <v>3</v>
      </c>
      <c r="AT70" s="66" t="str">
        <f t="shared" si="58"/>
        <v>0</v>
      </c>
      <c r="AU70" s="66" t="str">
        <f t="shared" si="59"/>
        <v>F</v>
      </c>
      <c r="AV70" s="66">
        <f t="shared" si="60"/>
        <v>0</v>
      </c>
      <c r="AW70" s="66"/>
      <c r="AX70" s="64">
        <v>45</v>
      </c>
      <c r="AY70" s="64">
        <v>20</v>
      </c>
      <c r="AZ70" s="65"/>
      <c r="BA70" s="66">
        <f t="shared" si="61"/>
        <v>65</v>
      </c>
      <c r="BB70" s="66">
        <v>1</v>
      </c>
      <c r="BC70" s="66" t="str">
        <f t="shared" si="62"/>
        <v>7</v>
      </c>
      <c r="BD70" s="66" t="str">
        <f t="shared" si="63"/>
        <v>B+</v>
      </c>
      <c r="BE70" s="66">
        <f t="shared" si="64"/>
        <v>7</v>
      </c>
      <c r="BF70" s="53" t="s">
        <v>92</v>
      </c>
      <c r="BG70" s="64">
        <v>46</v>
      </c>
      <c r="BH70" s="64">
        <v>23</v>
      </c>
      <c r="BI70" s="65"/>
      <c r="BJ70" s="66">
        <f t="shared" si="65"/>
        <v>69</v>
      </c>
      <c r="BK70" s="66">
        <v>1</v>
      </c>
      <c r="BL70" s="66" t="str">
        <f t="shared" si="66"/>
        <v>7</v>
      </c>
      <c r="BM70" s="66" t="str">
        <f t="shared" si="67"/>
        <v>B+</v>
      </c>
      <c r="BN70" s="66">
        <f t="shared" si="68"/>
        <v>7</v>
      </c>
      <c r="BO70" s="66"/>
      <c r="BP70" s="64">
        <v>45</v>
      </c>
      <c r="BQ70" s="64">
        <v>36</v>
      </c>
      <c r="BR70" s="65"/>
      <c r="BS70" s="66">
        <f t="shared" si="69"/>
        <v>81</v>
      </c>
      <c r="BT70" s="66">
        <v>1</v>
      </c>
      <c r="BU70" s="66" t="str">
        <f t="shared" si="70"/>
        <v>9</v>
      </c>
      <c r="BV70" s="66" t="str">
        <f t="shared" si="71"/>
        <v>A+</v>
      </c>
      <c r="BW70" s="66">
        <f t="shared" si="72"/>
        <v>9</v>
      </c>
      <c r="BX70" s="66"/>
      <c r="BY70" s="66"/>
      <c r="BZ70" s="66">
        <f t="shared" si="73"/>
        <v>71</v>
      </c>
      <c r="CA70" s="68">
        <f t="shared" si="74"/>
        <v>3.55</v>
      </c>
      <c r="CB70" s="69" t="str">
        <f t="shared" si="75"/>
        <v>F</v>
      </c>
      <c r="CC70" s="70">
        <f t="shared" si="76"/>
        <v>33.725000000000001</v>
      </c>
      <c r="CD70" s="70"/>
      <c r="CE70" s="69">
        <f t="shared" si="77"/>
        <v>522</v>
      </c>
      <c r="CF70" s="69">
        <f t="shared" si="78"/>
        <v>65.25</v>
      </c>
      <c r="CG70" s="70"/>
      <c r="CH70" s="70"/>
      <c r="CI70" s="70" t="str">
        <f>IF(CA70&lt;=4,"F",IF(CA70&lt;=6,"PASS",IF(CA70&lt;=6.5,"SC",IF(CA70&lt;=7.5,"FC",IF(CA70&lt;="10","FCD")))))</f>
        <v>F</v>
      </c>
    </row>
    <row r="71" spans="1:87" x14ac:dyDescent="0.25">
      <c r="A71" s="87"/>
      <c r="B71" s="4"/>
      <c r="C71" s="4"/>
      <c r="D71" s="88"/>
      <c r="E71" s="16"/>
      <c r="F71" s="4"/>
      <c r="G71" s="4"/>
      <c r="H71" s="4"/>
      <c r="I71" s="4"/>
      <c r="J71" s="4"/>
      <c r="K71" s="4"/>
      <c r="L71" s="17"/>
      <c r="M71" s="18"/>
      <c r="N71" s="16"/>
      <c r="O71" s="4"/>
      <c r="P71" s="4"/>
      <c r="Q71" s="4"/>
      <c r="R71" s="4"/>
      <c r="S71" s="4"/>
      <c r="T71" s="4"/>
      <c r="U71" s="17"/>
      <c r="V71" s="18"/>
      <c r="W71" s="16"/>
      <c r="X71" s="4"/>
      <c r="Y71" s="4"/>
      <c r="Z71" s="4"/>
      <c r="AA71" s="4"/>
      <c r="AB71" s="4"/>
      <c r="AC71" s="4"/>
      <c r="AD71" s="17"/>
      <c r="AE71" s="18"/>
      <c r="AF71" s="89"/>
      <c r="AG71" s="90"/>
      <c r="AH71" s="4"/>
      <c r="AI71" s="4"/>
      <c r="AJ71" s="4"/>
      <c r="AK71" s="4"/>
      <c r="AL71" s="4"/>
      <c r="AM71" s="17"/>
      <c r="AN71" s="18"/>
      <c r="AO71" s="89"/>
      <c r="AP71" s="90"/>
      <c r="AQ71" s="4"/>
      <c r="AR71" s="4"/>
      <c r="AS71" s="4"/>
      <c r="AT71" s="4"/>
      <c r="AU71" s="4"/>
      <c r="AV71" s="17"/>
      <c r="AW71" s="18"/>
      <c r="AX71" s="16"/>
      <c r="AY71" s="4"/>
      <c r="AZ71" s="4"/>
      <c r="BA71" s="4"/>
      <c r="BB71" s="4"/>
      <c r="BC71" s="4"/>
      <c r="BD71" s="4"/>
      <c r="BE71" s="17"/>
      <c r="BF71" s="1"/>
      <c r="BG71" s="16"/>
      <c r="BH71" s="4"/>
      <c r="BI71" s="4"/>
      <c r="BJ71" s="4"/>
      <c r="BK71" s="4"/>
      <c r="BL71" s="4"/>
      <c r="BM71" s="4"/>
      <c r="BN71" s="17"/>
      <c r="BO71" s="18"/>
      <c r="BP71" s="16"/>
      <c r="BQ71" s="4"/>
      <c r="BR71" s="4"/>
      <c r="BS71" s="4"/>
      <c r="BT71" s="4"/>
      <c r="BU71" s="4"/>
      <c r="BV71" s="4"/>
      <c r="BW71" s="17"/>
      <c r="BX71" s="17"/>
      <c r="BY71" s="18"/>
      <c r="BZ71" s="18"/>
      <c r="CA71" s="18"/>
      <c r="CB71" s="59"/>
      <c r="CC71" s="25"/>
      <c r="CE71" s="59"/>
      <c r="CF71" s="59"/>
    </row>
    <row r="72" spans="1:87" ht="15.75" x14ac:dyDescent="0.25">
      <c r="D72" s="1"/>
      <c r="E72" s="112" t="s">
        <v>73</v>
      </c>
      <c r="F72" s="111"/>
      <c r="G72" s="111"/>
      <c r="H72" s="111"/>
      <c r="I72" s="111"/>
      <c r="J72" s="111"/>
      <c r="K72" s="111"/>
      <c r="L72" s="111"/>
      <c r="M72" s="31"/>
      <c r="N72" s="111" t="s">
        <v>75</v>
      </c>
      <c r="O72" s="111"/>
      <c r="P72" s="111"/>
      <c r="Q72" s="111"/>
      <c r="R72" s="111"/>
      <c r="S72" s="111"/>
      <c r="T72" s="111"/>
      <c r="U72" s="111"/>
      <c r="V72" s="31"/>
      <c r="W72" s="111" t="s">
        <v>76</v>
      </c>
      <c r="X72" s="111"/>
      <c r="Y72" s="111"/>
      <c r="Z72" s="111"/>
      <c r="AA72" s="111"/>
      <c r="AB72" s="111"/>
      <c r="AC72" s="111"/>
      <c r="AD72" s="111"/>
      <c r="AE72" s="31"/>
      <c r="AF72" s="111" t="s">
        <v>77</v>
      </c>
      <c r="AG72" s="111"/>
      <c r="AH72" s="111"/>
      <c r="AI72" s="111"/>
      <c r="AJ72" s="111"/>
      <c r="AK72" s="111"/>
      <c r="AL72" s="111"/>
      <c r="AM72" s="111"/>
      <c r="AN72" s="31"/>
      <c r="AO72" s="111" t="s">
        <v>78</v>
      </c>
      <c r="AP72" s="111"/>
      <c r="AQ72" s="111"/>
      <c r="AR72" s="111"/>
      <c r="AS72" s="111"/>
      <c r="AT72" s="111"/>
      <c r="AU72" s="111"/>
      <c r="AV72" s="111"/>
      <c r="AW72" s="31"/>
      <c r="AX72" s="111" t="s">
        <v>82</v>
      </c>
      <c r="AY72" s="111"/>
      <c r="AZ72" s="111"/>
      <c r="BA72" s="111"/>
      <c r="BB72" s="111"/>
      <c r="BC72" s="111"/>
      <c r="BD72" s="111"/>
      <c r="BE72" s="111"/>
      <c r="BF72" s="31"/>
      <c r="BG72" s="111" t="s">
        <v>80</v>
      </c>
      <c r="BH72" s="111"/>
      <c r="BI72" s="111"/>
      <c r="BJ72" s="111"/>
      <c r="BK72" s="111"/>
      <c r="BL72" s="111"/>
      <c r="BM72" s="111"/>
      <c r="BN72" s="111"/>
      <c r="BO72" s="31"/>
      <c r="BP72" s="111" t="s">
        <v>81</v>
      </c>
      <c r="BQ72" s="111"/>
      <c r="BR72" s="111"/>
      <c r="BS72" s="111"/>
      <c r="BT72" s="111"/>
      <c r="BU72" s="111"/>
      <c r="BV72" s="111"/>
      <c r="BW72" s="111"/>
      <c r="BX72" s="31"/>
      <c r="BY72" s="31"/>
      <c r="BZ72" s="31"/>
      <c r="CA72" s="31"/>
      <c r="CB72" s="35"/>
      <c r="CC72" s="31"/>
      <c r="CD72" s="31"/>
      <c r="CE72" s="35"/>
      <c r="CF72" s="35"/>
      <c r="CG72" s="31"/>
      <c r="CH72" s="31"/>
      <c r="CI72" s="31"/>
    </row>
    <row r="73" spans="1:87" ht="15.75" x14ac:dyDescent="0.25">
      <c r="C73" s="11" t="s">
        <v>28</v>
      </c>
      <c r="D73" s="1"/>
      <c r="E73" s="36"/>
      <c r="F73" s="35"/>
      <c r="G73" s="35"/>
      <c r="H73" s="35"/>
      <c r="I73" s="35"/>
      <c r="J73" s="31" t="s">
        <v>47</v>
      </c>
      <c r="K73" s="31">
        <f>COUNTIF(K9:K71,"O")</f>
        <v>17</v>
      </c>
      <c r="L73" s="31"/>
      <c r="M73" s="31"/>
      <c r="N73" s="35"/>
      <c r="O73" s="35"/>
      <c r="P73" s="35"/>
      <c r="Q73" s="35"/>
      <c r="R73" s="35"/>
      <c r="S73" s="31" t="s">
        <v>47</v>
      </c>
      <c r="T73" s="31">
        <f>COUNTIF(T9:T71,"O")</f>
        <v>6</v>
      </c>
      <c r="U73" s="31"/>
      <c r="V73" s="31"/>
      <c r="W73" s="31"/>
      <c r="X73" s="31"/>
      <c r="Y73" s="31"/>
      <c r="Z73" s="31"/>
      <c r="AA73" s="31"/>
      <c r="AB73" s="31" t="s">
        <v>47</v>
      </c>
      <c r="AC73" s="31">
        <f>COUNTIF(AC9:AC71,"O")</f>
        <v>31</v>
      </c>
      <c r="AD73" s="31"/>
      <c r="AE73" s="31"/>
      <c r="AF73" s="31"/>
      <c r="AG73" s="31"/>
      <c r="AH73" s="31"/>
      <c r="AI73" s="31"/>
      <c r="AJ73" s="31"/>
      <c r="AK73" s="31" t="s">
        <v>47</v>
      </c>
      <c r="AL73" s="31">
        <f>COUNTIF(AL9:AL71,"O")</f>
        <v>8</v>
      </c>
      <c r="AM73" s="31"/>
      <c r="AN73" s="31"/>
      <c r="AO73" s="31"/>
      <c r="AP73" s="31"/>
      <c r="AQ73" s="31"/>
      <c r="AR73" s="31"/>
      <c r="AS73" s="31"/>
      <c r="AT73" s="31" t="s">
        <v>47</v>
      </c>
      <c r="AU73" s="31">
        <f>COUNTIF(AU9:AU71,"O")</f>
        <v>4</v>
      </c>
      <c r="AV73" s="31"/>
      <c r="AW73" s="31"/>
      <c r="AX73" s="31"/>
      <c r="AY73" s="31"/>
      <c r="AZ73" s="31"/>
      <c r="BA73" s="31"/>
      <c r="BB73" s="31"/>
      <c r="BC73" s="31" t="s">
        <v>47</v>
      </c>
      <c r="BD73" s="31">
        <f>COUNTIF(BD9:BD71,"O")</f>
        <v>3</v>
      </c>
      <c r="BE73" s="31"/>
      <c r="BF73" s="31"/>
      <c r="BG73" s="31"/>
      <c r="BH73" s="31"/>
      <c r="BI73" s="31"/>
      <c r="BJ73" s="31"/>
      <c r="BK73" s="31"/>
      <c r="BL73" s="31" t="s">
        <v>47</v>
      </c>
      <c r="BM73" s="31">
        <f>COUNTIF(BM9:BM71,"O")</f>
        <v>21</v>
      </c>
      <c r="BN73" s="31"/>
      <c r="BO73" s="31"/>
      <c r="BP73" s="31"/>
      <c r="BQ73" s="31"/>
      <c r="BR73" s="31"/>
      <c r="BS73" s="31"/>
      <c r="BT73" s="31"/>
      <c r="BU73" s="31" t="s">
        <v>47</v>
      </c>
      <c r="BV73" s="31">
        <f>COUNTIF(BV9:BV71,"O")</f>
        <v>10</v>
      </c>
      <c r="BW73" s="31"/>
      <c r="BX73" s="31"/>
      <c r="BY73" s="31"/>
      <c r="BZ73" s="31"/>
      <c r="CA73" s="31" t="s">
        <v>47</v>
      </c>
      <c r="CB73" s="35">
        <f>COUNTIF(CB9:CB71,"O")</f>
        <v>18</v>
      </c>
      <c r="CC73" s="31"/>
      <c r="CD73" s="31"/>
      <c r="CE73" s="35"/>
      <c r="CF73" s="35"/>
      <c r="CG73" s="31"/>
      <c r="CH73" s="31" t="s">
        <v>67</v>
      </c>
      <c r="CI73" s="31">
        <f>COUNTIF(CI9:CI71,"FCD")</f>
        <v>56</v>
      </c>
    </row>
    <row r="74" spans="1:87" ht="15.75" x14ac:dyDescent="0.25">
      <c r="C74" s="11" t="s">
        <v>28</v>
      </c>
      <c r="D74" s="1"/>
      <c r="E74" s="36"/>
      <c r="F74" s="35"/>
      <c r="G74" s="35"/>
      <c r="H74" s="35"/>
      <c r="I74" s="35"/>
      <c r="J74" s="31" t="s">
        <v>48</v>
      </c>
      <c r="K74" s="31">
        <f>COUNTIF(K9:K71,"A+")</f>
        <v>14</v>
      </c>
      <c r="L74" s="31"/>
      <c r="M74" s="31"/>
      <c r="N74" s="35"/>
      <c r="O74" s="35"/>
      <c r="P74" s="35"/>
      <c r="Q74" s="35"/>
      <c r="R74" s="35"/>
      <c r="S74" s="31" t="s">
        <v>48</v>
      </c>
      <c r="T74" s="31">
        <f>COUNTIF(T9:T71,"A+")</f>
        <v>24</v>
      </c>
      <c r="U74" s="31"/>
      <c r="V74" s="31"/>
      <c r="W74" s="31"/>
      <c r="X74" s="31"/>
      <c r="Y74" s="31"/>
      <c r="Z74" s="31"/>
      <c r="AA74" s="31"/>
      <c r="AB74" s="31" t="s">
        <v>48</v>
      </c>
      <c r="AC74" s="31">
        <f>COUNTIF(AC9:AC71,"A+")</f>
        <v>23</v>
      </c>
      <c r="AD74" s="31"/>
      <c r="AE74" s="31"/>
      <c r="AF74" s="31"/>
      <c r="AG74" s="31"/>
      <c r="AH74" s="31"/>
      <c r="AI74" s="31"/>
      <c r="AJ74" s="31"/>
      <c r="AK74" s="31" t="s">
        <v>48</v>
      </c>
      <c r="AL74" s="31">
        <f>COUNTIF(AL9:AL71,"A+")</f>
        <v>22</v>
      </c>
      <c r="AM74" s="31"/>
      <c r="AN74" s="31"/>
      <c r="AO74" s="31"/>
      <c r="AP74" s="31"/>
      <c r="AQ74" s="31"/>
      <c r="AR74" s="31"/>
      <c r="AS74" s="31"/>
      <c r="AT74" s="31" t="s">
        <v>48</v>
      </c>
      <c r="AU74" s="31">
        <f>COUNTIF(AU9:AU71,"A+")</f>
        <v>17</v>
      </c>
      <c r="AV74" s="31"/>
      <c r="AW74" s="31"/>
      <c r="AX74" s="31"/>
      <c r="AY74" s="31"/>
      <c r="AZ74" s="31"/>
      <c r="BA74" s="31"/>
      <c r="BB74" s="31"/>
      <c r="BC74" s="31" t="s">
        <v>48</v>
      </c>
      <c r="BD74" s="31">
        <f>COUNTIF(BD9:BD71,"A+")</f>
        <v>21</v>
      </c>
      <c r="BE74" s="31"/>
      <c r="BF74" s="31"/>
      <c r="BG74" s="31"/>
      <c r="BH74" s="31"/>
      <c r="BI74" s="31"/>
      <c r="BJ74" s="31"/>
      <c r="BK74" s="31"/>
      <c r="BL74" s="31" t="s">
        <v>48</v>
      </c>
      <c r="BM74" s="31">
        <f>COUNTIF(BM9:BM71,"A+")</f>
        <v>20</v>
      </c>
      <c r="BN74" s="31"/>
      <c r="BO74" s="31"/>
      <c r="BP74" s="31"/>
      <c r="BQ74" s="31"/>
      <c r="BR74" s="31"/>
      <c r="BS74" s="31"/>
      <c r="BT74" s="31"/>
      <c r="BU74" s="31" t="s">
        <v>48</v>
      </c>
      <c r="BV74" s="31">
        <f>COUNTIF(BV9:BV71,"A+")</f>
        <v>47</v>
      </c>
      <c r="BW74" s="31"/>
      <c r="BX74" s="31"/>
      <c r="BY74" s="31"/>
      <c r="BZ74" s="31"/>
      <c r="CA74" s="31" t="s">
        <v>48</v>
      </c>
      <c r="CB74" s="35">
        <f>COUNTIF(CB9:CB71,"A+")</f>
        <v>33</v>
      </c>
      <c r="CC74" s="31"/>
      <c r="CD74" s="31"/>
      <c r="CE74" s="35"/>
      <c r="CF74" s="35"/>
      <c r="CG74" s="31"/>
      <c r="CH74" s="31" t="s">
        <v>68</v>
      </c>
      <c r="CI74" s="31">
        <f>COUNTIF(CI9:CI71,"FC")</f>
        <v>4</v>
      </c>
    </row>
    <row r="75" spans="1:87" ht="15.75" x14ac:dyDescent="0.25">
      <c r="C75" s="11" t="s">
        <v>28</v>
      </c>
      <c r="D75" s="1"/>
      <c r="E75" s="36"/>
      <c r="F75" s="35"/>
      <c r="G75" s="35"/>
      <c r="H75" s="35"/>
      <c r="I75" s="35"/>
      <c r="J75" s="31" t="s">
        <v>3</v>
      </c>
      <c r="K75" s="31">
        <f>COUNTIF(K9:K71,"A")</f>
        <v>19</v>
      </c>
      <c r="L75" s="31"/>
      <c r="M75" s="31"/>
      <c r="N75" s="35"/>
      <c r="O75" s="35"/>
      <c r="P75" s="35"/>
      <c r="Q75" s="35"/>
      <c r="R75" s="35"/>
      <c r="S75" s="31" t="s">
        <v>3</v>
      </c>
      <c r="T75" s="31">
        <f>COUNTIF(T9:T71,"A")</f>
        <v>21</v>
      </c>
      <c r="U75" s="31"/>
      <c r="V75" s="31"/>
      <c r="W75" s="31"/>
      <c r="X75" s="31"/>
      <c r="Y75" s="31"/>
      <c r="Z75" s="31"/>
      <c r="AA75" s="31"/>
      <c r="AB75" s="31" t="s">
        <v>3</v>
      </c>
      <c r="AC75" s="31">
        <f>COUNTIF(AC9:AC71,"A")</f>
        <v>6</v>
      </c>
      <c r="AD75" s="31"/>
      <c r="AE75" s="31"/>
      <c r="AF75" s="31"/>
      <c r="AG75" s="31"/>
      <c r="AH75" s="31"/>
      <c r="AI75" s="31"/>
      <c r="AJ75" s="31"/>
      <c r="AK75" s="31" t="s">
        <v>3</v>
      </c>
      <c r="AL75" s="31">
        <f>COUNTIF(AL9:AL71,"A")</f>
        <v>20</v>
      </c>
      <c r="AM75" s="31"/>
      <c r="AN75" s="31"/>
      <c r="AO75" s="31"/>
      <c r="AP75" s="31"/>
      <c r="AQ75" s="31"/>
      <c r="AR75" s="31"/>
      <c r="AS75" s="31"/>
      <c r="AT75" s="31" t="s">
        <v>3</v>
      </c>
      <c r="AU75" s="31">
        <f>COUNTIF(AU9:AU71,"A")</f>
        <v>27</v>
      </c>
      <c r="AV75" s="31"/>
      <c r="AW75" s="31"/>
      <c r="AX75" s="31"/>
      <c r="AY75" s="31"/>
      <c r="AZ75" s="31"/>
      <c r="BA75" s="31"/>
      <c r="BB75" s="31"/>
      <c r="BC75" s="31" t="s">
        <v>3</v>
      </c>
      <c r="BD75" s="31">
        <f>COUNTIF(BD9:BD71,"A")</f>
        <v>32</v>
      </c>
      <c r="BE75" s="31"/>
      <c r="BF75" s="31"/>
      <c r="BG75" s="31"/>
      <c r="BH75" s="31"/>
      <c r="BI75" s="31"/>
      <c r="BJ75" s="31"/>
      <c r="BK75" s="31"/>
      <c r="BL75" s="31" t="s">
        <v>3</v>
      </c>
      <c r="BM75" s="31">
        <f>COUNTIF(BM9:BM71,"A")</f>
        <v>17</v>
      </c>
      <c r="BN75" s="31"/>
      <c r="BO75" s="31"/>
      <c r="BP75" s="31"/>
      <c r="BQ75" s="31"/>
      <c r="BR75" s="31"/>
      <c r="BS75" s="31"/>
      <c r="BT75" s="31"/>
      <c r="BU75" s="31" t="s">
        <v>3</v>
      </c>
      <c r="BV75" s="31">
        <f>COUNTIF(BV9:BV71,"A")</f>
        <v>5</v>
      </c>
      <c r="BW75" s="31"/>
      <c r="BX75" s="31"/>
      <c r="BY75" s="31"/>
      <c r="BZ75" s="31"/>
      <c r="CA75" s="31" t="s">
        <v>3</v>
      </c>
      <c r="CB75" s="35">
        <f>COUNTIF(CB9:CB71,"A")</f>
        <v>9</v>
      </c>
      <c r="CC75" s="31"/>
      <c r="CD75" s="31"/>
      <c r="CE75" s="35"/>
      <c r="CF75" s="35"/>
      <c r="CG75" s="31"/>
      <c r="CH75" s="31" t="s">
        <v>69</v>
      </c>
      <c r="CI75" s="31">
        <f>COUNTIF(CI9:CI71,"SC")</f>
        <v>0</v>
      </c>
    </row>
    <row r="76" spans="1:87" ht="15.75" x14ac:dyDescent="0.25">
      <c r="C76" s="11" t="s">
        <v>28</v>
      </c>
      <c r="D76" s="1"/>
      <c r="E76" s="36"/>
      <c r="F76" s="35"/>
      <c r="G76" s="35"/>
      <c r="H76" s="35"/>
      <c r="I76" s="35"/>
      <c r="J76" s="34" t="s">
        <v>49</v>
      </c>
      <c r="K76" s="31">
        <f>COUNTIF(K9:K71,"B+")</f>
        <v>10</v>
      </c>
      <c r="L76" s="31"/>
      <c r="M76" s="31"/>
      <c r="N76" s="35"/>
      <c r="O76" s="35"/>
      <c r="P76" s="35"/>
      <c r="Q76" s="35"/>
      <c r="R76" s="35"/>
      <c r="S76" s="34" t="s">
        <v>49</v>
      </c>
      <c r="T76" s="31">
        <f>COUNTIF(T9:T71,"B+")</f>
        <v>10</v>
      </c>
      <c r="U76" s="31"/>
      <c r="V76" s="31"/>
      <c r="W76" s="31"/>
      <c r="X76" s="31"/>
      <c r="Y76" s="31"/>
      <c r="Z76" s="31"/>
      <c r="AA76" s="31"/>
      <c r="AB76" s="34" t="s">
        <v>49</v>
      </c>
      <c r="AC76" s="31">
        <f>COUNTIF(AC9:AC71,"B+")</f>
        <v>1</v>
      </c>
      <c r="AD76" s="31"/>
      <c r="AE76" s="31"/>
      <c r="AF76" s="31"/>
      <c r="AG76" s="31"/>
      <c r="AH76" s="31"/>
      <c r="AI76" s="31"/>
      <c r="AJ76" s="31"/>
      <c r="AK76" s="34" t="s">
        <v>49</v>
      </c>
      <c r="AL76" s="31">
        <f>COUNTIF(AL9:AL71,"B+")</f>
        <v>10</v>
      </c>
      <c r="AM76" s="31"/>
      <c r="AN76" s="31"/>
      <c r="AO76" s="31"/>
      <c r="AP76" s="31"/>
      <c r="AQ76" s="31"/>
      <c r="AR76" s="31"/>
      <c r="AS76" s="31"/>
      <c r="AT76" s="34" t="s">
        <v>49</v>
      </c>
      <c r="AU76" s="31">
        <f>COUNTIF(AU9:AU71,"B+")</f>
        <v>12</v>
      </c>
      <c r="AV76" s="31"/>
      <c r="AW76" s="31"/>
      <c r="AX76" s="31"/>
      <c r="AY76" s="31"/>
      <c r="AZ76" s="31"/>
      <c r="BA76" s="31"/>
      <c r="BB76" s="31"/>
      <c r="BC76" s="34" t="s">
        <v>49</v>
      </c>
      <c r="BD76" s="31">
        <f>COUNTIF(BD9:BD71,"B+")</f>
        <v>6</v>
      </c>
      <c r="BE76" s="31"/>
      <c r="BF76" s="31"/>
      <c r="BG76" s="31"/>
      <c r="BH76" s="31"/>
      <c r="BI76" s="31"/>
      <c r="BJ76" s="31"/>
      <c r="BK76" s="31"/>
      <c r="BL76" s="34" t="s">
        <v>49</v>
      </c>
      <c r="BM76" s="31">
        <f>COUNTIF(BM9:BM71,"B+")</f>
        <v>4</v>
      </c>
      <c r="BN76" s="31"/>
      <c r="BO76" s="31"/>
      <c r="BP76" s="31"/>
      <c r="BQ76" s="31"/>
      <c r="BR76" s="31"/>
      <c r="BS76" s="31"/>
      <c r="BT76" s="31"/>
      <c r="BU76" s="34" t="s">
        <v>49</v>
      </c>
      <c r="BV76" s="31">
        <f>COUNTIF(BV9:BV71,"B+")</f>
        <v>0</v>
      </c>
      <c r="BW76" s="31"/>
      <c r="BX76" s="31"/>
      <c r="BY76" s="31"/>
      <c r="BZ76" s="31"/>
      <c r="CA76" s="34" t="s">
        <v>49</v>
      </c>
      <c r="CB76" s="35">
        <f>COUNTIF(CB9:CB71,"B+")</f>
        <v>0</v>
      </c>
      <c r="CC76" s="31"/>
      <c r="CD76" s="31"/>
      <c r="CE76" s="35"/>
      <c r="CF76" s="35"/>
      <c r="CG76" s="31"/>
      <c r="CH76" s="31" t="s">
        <v>70</v>
      </c>
      <c r="CI76" s="31">
        <f>COUNTIF(CI9:CI71,"PASS")</f>
        <v>0</v>
      </c>
    </row>
    <row r="77" spans="1:87" ht="15.75" x14ac:dyDescent="0.25">
      <c r="C77" s="11" t="s">
        <v>28</v>
      </c>
      <c r="D77" s="1"/>
      <c r="E77" s="36"/>
      <c r="F77" s="35"/>
      <c r="G77" s="35"/>
      <c r="H77" s="35"/>
      <c r="I77" s="35"/>
      <c r="J77" s="34" t="s">
        <v>4</v>
      </c>
      <c r="K77" s="31">
        <f>COUNTIF(K9:K71,"B")</f>
        <v>0</v>
      </c>
      <c r="L77" s="31"/>
      <c r="M77" s="31"/>
      <c r="N77" s="35"/>
      <c r="O77" s="35"/>
      <c r="P77" s="35"/>
      <c r="Q77" s="35"/>
      <c r="R77" s="35"/>
      <c r="S77" s="34" t="s">
        <v>4</v>
      </c>
      <c r="T77" s="31">
        <f>COUNTIF(T9:T71,"B")</f>
        <v>0</v>
      </c>
      <c r="U77" s="31"/>
      <c r="V77" s="31"/>
      <c r="W77" s="31"/>
      <c r="X77" s="31"/>
      <c r="Y77" s="31"/>
      <c r="Z77" s="31"/>
      <c r="AA77" s="31"/>
      <c r="AB77" s="34" t="s">
        <v>4</v>
      </c>
      <c r="AC77" s="31">
        <f>COUNTIF(AC9:AC71,"B")</f>
        <v>1</v>
      </c>
      <c r="AD77" s="31"/>
      <c r="AE77" s="31"/>
      <c r="AF77" s="31"/>
      <c r="AG77" s="31"/>
      <c r="AH77" s="31"/>
      <c r="AI77" s="31"/>
      <c r="AJ77" s="31"/>
      <c r="AK77" s="34" t="s">
        <v>4</v>
      </c>
      <c r="AL77" s="31">
        <f>COUNTIF(AL9:AL71,"B")</f>
        <v>1</v>
      </c>
      <c r="AM77" s="31"/>
      <c r="AN77" s="31"/>
      <c r="AO77" s="31"/>
      <c r="AP77" s="31"/>
      <c r="AQ77" s="31"/>
      <c r="AR77" s="31"/>
      <c r="AS77" s="31"/>
      <c r="AT77" s="34" t="s">
        <v>4</v>
      </c>
      <c r="AU77" s="31">
        <f>COUNTIF(AU9:AU71,"B")</f>
        <v>1</v>
      </c>
      <c r="AV77" s="31"/>
      <c r="AW77" s="31"/>
      <c r="AX77" s="31"/>
      <c r="AY77" s="31"/>
      <c r="AZ77" s="31"/>
      <c r="BA77" s="31"/>
      <c r="BB77" s="31"/>
      <c r="BC77" s="34" t="s">
        <v>4</v>
      </c>
      <c r="BD77" s="31">
        <f>COUNTIF(BD9:BD71,"B")</f>
        <v>0</v>
      </c>
      <c r="BE77" s="31"/>
      <c r="BF77" s="31"/>
      <c r="BG77" s="31"/>
      <c r="BH77" s="31"/>
      <c r="BI77" s="31"/>
      <c r="BJ77" s="31"/>
      <c r="BK77" s="31"/>
      <c r="BL77" s="34" t="s">
        <v>4</v>
      </c>
      <c r="BM77" s="31">
        <f>COUNTIF(BM9:BM71,"B")</f>
        <v>0</v>
      </c>
      <c r="BN77" s="31"/>
      <c r="BO77" s="31"/>
      <c r="BP77" s="31"/>
      <c r="BQ77" s="31"/>
      <c r="BR77" s="31"/>
      <c r="BS77" s="31"/>
      <c r="BT77" s="31"/>
      <c r="BU77" s="34" t="s">
        <v>4</v>
      </c>
      <c r="BV77" s="31">
        <f>COUNTIF(BV9:BV71,"B")</f>
        <v>0</v>
      </c>
      <c r="BW77" s="31"/>
      <c r="BX77" s="31"/>
      <c r="BY77" s="31"/>
      <c r="BZ77" s="31"/>
      <c r="CA77" s="34" t="s">
        <v>4</v>
      </c>
      <c r="CB77" s="35">
        <f>COUNTIF(CB9:CB71,"B")</f>
        <v>0</v>
      </c>
      <c r="CC77" s="31"/>
      <c r="CD77" s="31"/>
      <c r="CE77" s="35"/>
      <c r="CF77" s="35"/>
      <c r="CG77" s="31"/>
      <c r="CH77" s="31" t="s">
        <v>71</v>
      </c>
      <c r="CI77" s="31">
        <f>COUNTIF(CI9:CI71,"F")</f>
        <v>2</v>
      </c>
    </row>
    <row r="78" spans="1:87" ht="15.75" x14ac:dyDescent="0.25">
      <c r="C78" s="11" t="s">
        <v>28</v>
      </c>
      <c r="D78" s="1"/>
      <c r="E78" s="36"/>
      <c r="F78" s="35"/>
      <c r="G78" s="35"/>
      <c r="H78" s="35"/>
      <c r="I78" s="35"/>
      <c r="J78" s="34" t="s">
        <v>5</v>
      </c>
      <c r="K78" s="31">
        <f>COUNTIF(K9:K71,"C")</f>
        <v>0</v>
      </c>
      <c r="L78" s="31"/>
      <c r="M78" s="31"/>
      <c r="N78" s="35"/>
      <c r="O78" s="35"/>
      <c r="P78" s="35"/>
      <c r="Q78" s="35"/>
      <c r="R78" s="35"/>
      <c r="S78" s="34" t="s">
        <v>5</v>
      </c>
      <c r="T78" s="31">
        <f>COUNTIF(T9:T71,"C")</f>
        <v>0</v>
      </c>
      <c r="U78" s="31"/>
      <c r="V78" s="31"/>
      <c r="W78" s="31"/>
      <c r="X78" s="31"/>
      <c r="Y78" s="31"/>
      <c r="Z78" s="31"/>
      <c r="AA78" s="31"/>
      <c r="AB78" s="34" t="s">
        <v>5</v>
      </c>
      <c r="AC78" s="31">
        <f>COUNTIF(AC9:AC71,"C")</f>
        <v>0</v>
      </c>
      <c r="AD78" s="31"/>
      <c r="AE78" s="31"/>
      <c r="AF78" s="31"/>
      <c r="AG78" s="31"/>
      <c r="AH78" s="31"/>
      <c r="AI78" s="31"/>
      <c r="AJ78" s="31"/>
      <c r="AK78" s="34" t="s">
        <v>5</v>
      </c>
      <c r="AL78" s="31">
        <f>COUNTIF(AL9:AL71,"C")</f>
        <v>1</v>
      </c>
      <c r="AM78" s="31"/>
      <c r="AN78" s="31"/>
      <c r="AO78" s="31"/>
      <c r="AP78" s="31"/>
      <c r="AQ78" s="31"/>
      <c r="AR78" s="31"/>
      <c r="AS78" s="31"/>
      <c r="AT78" s="34" t="s">
        <v>5</v>
      </c>
      <c r="AU78" s="31">
        <f>COUNTIF(AU9:AU71,"C")</f>
        <v>0</v>
      </c>
      <c r="AV78" s="31"/>
      <c r="AW78" s="31"/>
      <c r="AX78" s="31"/>
      <c r="AY78" s="31"/>
      <c r="AZ78" s="31"/>
      <c r="BA78" s="31"/>
      <c r="BB78" s="31"/>
      <c r="BC78" s="34" t="s">
        <v>5</v>
      </c>
      <c r="BD78" s="31">
        <f>COUNTIF(BD9:BD71,"C")</f>
        <v>0</v>
      </c>
      <c r="BE78" s="31"/>
      <c r="BF78" s="31"/>
      <c r="BG78" s="31"/>
      <c r="BH78" s="31"/>
      <c r="BI78" s="31"/>
      <c r="BJ78" s="31"/>
      <c r="BK78" s="31"/>
      <c r="BL78" s="34" t="s">
        <v>5</v>
      </c>
      <c r="BM78" s="31">
        <f>COUNTIF(BM9:BM71,"C")</f>
        <v>0</v>
      </c>
      <c r="BN78" s="31"/>
      <c r="BO78" s="31"/>
      <c r="BP78" s="31"/>
      <c r="BQ78" s="31"/>
      <c r="BR78" s="31"/>
      <c r="BS78" s="31"/>
      <c r="BT78" s="31"/>
      <c r="BU78" s="34" t="s">
        <v>5</v>
      </c>
      <c r="BV78" s="31">
        <f>COUNTIF(BV9:BV71,"C")</f>
        <v>0</v>
      </c>
      <c r="BW78" s="31"/>
      <c r="BX78" s="31"/>
      <c r="BY78" s="31"/>
      <c r="BZ78" s="31"/>
      <c r="CA78" s="34" t="s">
        <v>5</v>
      </c>
      <c r="CB78" s="35">
        <f>COUNTIF(CB9:CB71,"C")</f>
        <v>0</v>
      </c>
      <c r="CC78" s="31"/>
      <c r="CD78" s="31"/>
      <c r="CE78" s="35"/>
      <c r="CF78" s="35"/>
      <c r="CG78" s="31"/>
      <c r="CH78" s="31"/>
      <c r="CI78" s="31"/>
    </row>
    <row r="79" spans="1:87" ht="15.75" x14ac:dyDescent="0.25">
      <c r="C79" s="11" t="s">
        <v>28</v>
      </c>
      <c r="D79" s="1"/>
      <c r="E79" s="36"/>
      <c r="F79" s="35"/>
      <c r="G79" s="35"/>
      <c r="H79" s="35"/>
      <c r="I79" s="35"/>
      <c r="J79" s="34" t="s">
        <v>50</v>
      </c>
      <c r="K79" s="31">
        <f>COUNTIF(K9:K71,"P")</f>
        <v>0</v>
      </c>
      <c r="L79" s="31"/>
      <c r="M79" s="31"/>
      <c r="N79" s="35"/>
      <c r="O79" s="35"/>
      <c r="P79" s="35"/>
      <c r="Q79" s="35"/>
      <c r="R79" s="35"/>
      <c r="S79" s="34" t="s">
        <v>50</v>
      </c>
      <c r="T79" s="31">
        <f>COUNTIF(T9:T71,"P")</f>
        <v>0</v>
      </c>
      <c r="U79" s="31"/>
      <c r="V79" s="31"/>
      <c r="W79" s="31"/>
      <c r="X79" s="31"/>
      <c r="Y79" s="31"/>
      <c r="Z79" s="31"/>
      <c r="AA79" s="31"/>
      <c r="AB79" s="34" t="s">
        <v>50</v>
      </c>
      <c r="AC79" s="31">
        <f>COUNTIF(AC9:AC71,"P")</f>
        <v>0</v>
      </c>
      <c r="AD79" s="31"/>
      <c r="AE79" s="31"/>
      <c r="AF79" s="31"/>
      <c r="AG79" s="31"/>
      <c r="AH79" s="31"/>
      <c r="AI79" s="31"/>
      <c r="AJ79" s="31"/>
      <c r="AK79" s="34" t="s">
        <v>50</v>
      </c>
      <c r="AL79" s="31">
        <f>COUNTIF(AL9:AL71,"P")</f>
        <v>0</v>
      </c>
      <c r="AM79" s="31"/>
      <c r="AN79" s="31"/>
      <c r="AO79" s="31"/>
      <c r="AP79" s="31"/>
      <c r="AQ79" s="31"/>
      <c r="AR79" s="31"/>
      <c r="AS79" s="31"/>
      <c r="AT79" s="34" t="s">
        <v>50</v>
      </c>
      <c r="AU79" s="31">
        <f>COUNTIF(AU9:AU71,"P")</f>
        <v>0</v>
      </c>
      <c r="AV79" s="31"/>
      <c r="AW79" s="31"/>
      <c r="AX79" s="31"/>
      <c r="AY79" s="31"/>
      <c r="AZ79" s="31"/>
      <c r="BA79" s="31"/>
      <c r="BB79" s="31"/>
      <c r="BC79" s="34" t="s">
        <v>50</v>
      </c>
      <c r="BD79" s="31">
        <f>COUNTIF(BD9:BD71,"P")</f>
        <v>0</v>
      </c>
      <c r="BE79" s="31"/>
      <c r="BF79" s="31"/>
      <c r="BG79" s="31"/>
      <c r="BH79" s="31"/>
      <c r="BI79" s="31"/>
      <c r="BJ79" s="31"/>
      <c r="BK79" s="31"/>
      <c r="BL79" s="34" t="s">
        <v>50</v>
      </c>
      <c r="BM79" s="31">
        <f>COUNTIF(BM9:BM71,"P")</f>
        <v>0</v>
      </c>
      <c r="BN79" s="31"/>
      <c r="BO79" s="31"/>
      <c r="BP79" s="31"/>
      <c r="BQ79" s="31"/>
      <c r="BR79" s="31"/>
      <c r="BS79" s="31"/>
      <c r="BT79" s="31"/>
      <c r="BU79" s="34" t="s">
        <v>50</v>
      </c>
      <c r="BV79" s="31">
        <f>COUNTIF(BV9:BV71,"P")</f>
        <v>0</v>
      </c>
      <c r="BW79" s="31"/>
      <c r="BX79" s="31"/>
      <c r="BY79" s="31"/>
      <c r="BZ79" s="31"/>
      <c r="CA79" s="34" t="s">
        <v>50</v>
      </c>
      <c r="CB79" s="35">
        <f>COUNTIF(CB9:CB71,"P")</f>
        <v>0</v>
      </c>
      <c r="CC79" s="31"/>
      <c r="CD79" s="31"/>
      <c r="CE79" s="35"/>
      <c r="CF79" s="35"/>
      <c r="CG79" s="31"/>
      <c r="CH79" s="31"/>
      <c r="CI79" s="31"/>
    </row>
    <row r="80" spans="1:87" ht="15.75" x14ac:dyDescent="0.25">
      <c r="C80" s="11" t="s">
        <v>28</v>
      </c>
      <c r="D80" s="1"/>
      <c r="E80" s="36"/>
      <c r="F80" s="35"/>
      <c r="G80" s="35"/>
      <c r="H80" s="35"/>
      <c r="I80" s="35"/>
      <c r="J80" s="34" t="s">
        <v>11</v>
      </c>
      <c r="K80" s="31">
        <f>COUNTIF(K9:K71,"F")</f>
        <v>2</v>
      </c>
      <c r="L80" s="31"/>
      <c r="M80" s="31"/>
      <c r="N80" s="35"/>
      <c r="O80" s="35"/>
      <c r="P80" s="35"/>
      <c r="Q80" s="35"/>
      <c r="R80" s="35"/>
      <c r="S80" s="34" t="s">
        <v>11</v>
      </c>
      <c r="T80" s="31">
        <f>COUNTIF(T9:T71,"F")</f>
        <v>1</v>
      </c>
      <c r="U80" s="31"/>
      <c r="V80" s="31"/>
      <c r="W80" s="31"/>
      <c r="X80" s="31"/>
      <c r="Y80" s="31"/>
      <c r="Z80" s="31"/>
      <c r="AA80" s="31"/>
      <c r="AB80" s="34" t="s">
        <v>11</v>
      </c>
      <c r="AC80" s="31">
        <f>COUNTIF(AC9:AC71,"F")</f>
        <v>0</v>
      </c>
      <c r="AD80" s="31"/>
      <c r="AE80" s="31"/>
      <c r="AF80" s="31"/>
      <c r="AG80" s="31"/>
      <c r="AH80" s="31"/>
      <c r="AI80" s="31"/>
      <c r="AJ80" s="31"/>
      <c r="AK80" s="34" t="s">
        <v>11</v>
      </c>
      <c r="AL80" s="31">
        <f>COUNTIF(AL9:AL71,"F")</f>
        <v>0</v>
      </c>
      <c r="AM80" s="31"/>
      <c r="AN80" s="31"/>
      <c r="AO80" s="31"/>
      <c r="AP80" s="31"/>
      <c r="AQ80" s="31"/>
      <c r="AR80" s="31"/>
      <c r="AS80" s="31"/>
      <c r="AT80" s="34" t="s">
        <v>11</v>
      </c>
      <c r="AU80" s="31">
        <f>COUNTIF(AU9:AU71,"F")</f>
        <v>1</v>
      </c>
      <c r="AV80" s="31"/>
      <c r="AW80" s="31"/>
      <c r="AX80" s="31"/>
      <c r="AY80" s="31"/>
      <c r="AZ80" s="31"/>
      <c r="BA80" s="31"/>
      <c r="BB80" s="31"/>
      <c r="BC80" s="34" t="s">
        <v>11</v>
      </c>
      <c r="BD80" s="31">
        <f>COUNTIF(BD9:BD71,"F")</f>
        <v>0</v>
      </c>
      <c r="BE80" s="31"/>
      <c r="BF80" s="31"/>
      <c r="BG80" s="31"/>
      <c r="BH80" s="31"/>
      <c r="BI80" s="31"/>
      <c r="BJ80" s="31"/>
      <c r="BK80" s="31"/>
      <c r="BL80" s="34" t="s">
        <v>11</v>
      </c>
      <c r="BM80" s="31">
        <f>COUNTIF(BM9:BM71,"F")</f>
        <v>0</v>
      </c>
      <c r="BN80" s="31"/>
      <c r="BO80" s="31"/>
      <c r="BP80" s="31"/>
      <c r="BQ80" s="31"/>
      <c r="BR80" s="31"/>
      <c r="BS80" s="31"/>
      <c r="BT80" s="31"/>
      <c r="BU80" s="34" t="s">
        <v>11</v>
      </c>
      <c r="BV80" s="31">
        <f>COUNTIF(BV9:BV71,"F")</f>
        <v>0</v>
      </c>
      <c r="BW80" s="31"/>
      <c r="BX80" s="31"/>
      <c r="BY80" s="31"/>
      <c r="BZ80" s="31"/>
      <c r="CA80" s="34" t="s">
        <v>11</v>
      </c>
      <c r="CB80" s="35">
        <f>COUNTIF(CB9:CB71,"F")</f>
        <v>2</v>
      </c>
      <c r="CC80" s="31"/>
      <c r="CD80" s="31"/>
      <c r="CE80" s="35"/>
      <c r="CF80" s="35"/>
      <c r="CG80" s="31"/>
      <c r="CH80" s="31"/>
      <c r="CI80" s="31"/>
    </row>
    <row r="81" spans="3:87" ht="15.75" x14ac:dyDescent="0.25">
      <c r="C81" s="11" t="s">
        <v>28</v>
      </c>
      <c r="D81" s="1"/>
      <c r="E81" s="36"/>
      <c r="F81" s="35"/>
      <c r="G81" s="35"/>
      <c r="H81" s="35"/>
      <c r="I81" s="35"/>
      <c r="J81" s="34" t="s">
        <v>45</v>
      </c>
      <c r="K81" s="31">
        <f>COUNTIF(K9:K71,"AB")</f>
        <v>0</v>
      </c>
      <c r="L81" s="31"/>
      <c r="M81" s="31"/>
      <c r="N81" s="35"/>
      <c r="O81" s="35"/>
      <c r="P81" s="35"/>
      <c r="Q81" s="35"/>
      <c r="R81" s="35"/>
      <c r="S81" s="34" t="s">
        <v>45</v>
      </c>
      <c r="T81" s="31">
        <f>COUNTIF(T9:T71,"AB")</f>
        <v>0</v>
      </c>
      <c r="U81" s="31"/>
      <c r="V81" s="31"/>
      <c r="W81" s="31"/>
      <c r="X81" s="31"/>
      <c r="Y81" s="31"/>
      <c r="Z81" s="31"/>
      <c r="AA81" s="31"/>
      <c r="AB81" s="34" t="s">
        <v>45</v>
      </c>
      <c r="AC81" s="31">
        <f>COUNTIF(AC9:AC71,"AB")</f>
        <v>0</v>
      </c>
      <c r="AD81" s="31"/>
      <c r="AE81" s="31"/>
      <c r="AF81" s="31"/>
      <c r="AG81" s="31"/>
      <c r="AH81" s="31"/>
      <c r="AI81" s="31"/>
      <c r="AJ81" s="31"/>
      <c r="AK81" s="34" t="s">
        <v>45</v>
      </c>
      <c r="AL81" s="31">
        <f>COUNTIF(AL9:AL71,"AB")</f>
        <v>0</v>
      </c>
      <c r="AM81" s="31"/>
      <c r="AN81" s="31"/>
      <c r="AO81" s="31"/>
      <c r="AP81" s="31"/>
      <c r="AQ81" s="31"/>
      <c r="AR81" s="31"/>
      <c r="AS81" s="31"/>
      <c r="AT81" s="34" t="s">
        <v>45</v>
      </c>
      <c r="AU81" s="31">
        <f>COUNTIF(AU9:AU71,"AB")</f>
        <v>0</v>
      </c>
      <c r="AV81" s="31"/>
      <c r="AW81" s="31"/>
      <c r="AX81" s="31"/>
      <c r="AY81" s="31"/>
      <c r="AZ81" s="31"/>
      <c r="BA81" s="31"/>
      <c r="BB81" s="31"/>
      <c r="BC81" s="34" t="s">
        <v>45</v>
      </c>
      <c r="BD81" s="31">
        <f>COUNTIF(BD9:BD71,"AB")</f>
        <v>0</v>
      </c>
      <c r="BE81" s="31"/>
      <c r="BF81" s="31"/>
      <c r="BG81" s="31"/>
      <c r="BH81" s="31"/>
      <c r="BI81" s="31"/>
      <c r="BJ81" s="31"/>
      <c r="BK81" s="31"/>
      <c r="BL81" s="34" t="s">
        <v>45</v>
      </c>
      <c r="BM81" s="31">
        <f>COUNTIF(BM9:BM71,"AB")</f>
        <v>0</v>
      </c>
      <c r="BN81" s="31"/>
      <c r="BO81" s="31"/>
      <c r="BP81" s="31"/>
      <c r="BQ81" s="31"/>
      <c r="BR81" s="31"/>
      <c r="BS81" s="31"/>
      <c r="BT81" s="31"/>
      <c r="BU81" s="34" t="s">
        <v>45</v>
      </c>
      <c r="BV81" s="31">
        <f>COUNTIF(BV9:BV71,"AB")</f>
        <v>0</v>
      </c>
      <c r="BW81" s="31"/>
      <c r="BX81" s="31"/>
      <c r="BY81" s="31"/>
      <c r="BZ81" s="31"/>
      <c r="CA81" s="34" t="s">
        <v>45</v>
      </c>
      <c r="CB81" s="35">
        <f>COUNTIF(CB9:CB71,"AB")</f>
        <v>0</v>
      </c>
      <c r="CC81" s="31"/>
      <c r="CD81" s="31"/>
      <c r="CE81" s="35"/>
      <c r="CF81" s="35"/>
      <c r="CG81" s="31"/>
      <c r="CH81" s="31"/>
      <c r="CI81" s="31"/>
    </row>
    <row r="82" spans="3:87" ht="15.75" x14ac:dyDescent="0.25">
      <c r="D82" s="1"/>
      <c r="E82" s="36"/>
      <c r="F82" s="35"/>
      <c r="G82" s="35"/>
      <c r="H82" s="35"/>
      <c r="I82" s="35"/>
      <c r="J82" s="34"/>
      <c r="K82" s="31"/>
      <c r="L82" s="31"/>
      <c r="M82" s="31"/>
      <c r="N82" s="35"/>
      <c r="O82" s="35"/>
      <c r="P82" s="35"/>
      <c r="Q82" s="35"/>
      <c r="R82" s="35"/>
      <c r="S82" s="34"/>
      <c r="T82" s="31"/>
      <c r="U82" s="31"/>
      <c r="V82" s="31"/>
      <c r="W82" s="31"/>
      <c r="X82" s="31"/>
      <c r="Y82" s="31"/>
      <c r="Z82" s="31"/>
      <c r="AA82" s="31"/>
      <c r="AB82" s="34"/>
      <c r="AC82" s="31"/>
      <c r="AD82" s="31"/>
      <c r="AE82" s="31"/>
      <c r="AF82" s="31"/>
      <c r="AG82" s="31"/>
      <c r="AH82" s="31"/>
      <c r="AI82" s="31"/>
      <c r="AJ82" s="31"/>
      <c r="AK82" s="34"/>
      <c r="AL82" s="31"/>
      <c r="AM82" s="31"/>
      <c r="AN82" s="31"/>
      <c r="AO82" s="31"/>
      <c r="AP82" s="31"/>
      <c r="AQ82" s="31"/>
      <c r="AR82" s="31"/>
      <c r="AS82" s="31"/>
      <c r="AT82" s="34"/>
      <c r="AU82" s="31"/>
      <c r="AV82" s="31"/>
      <c r="AW82" s="31"/>
      <c r="AX82" s="31"/>
      <c r="AY82" s="31"/>
      <c r="AZ82" s="31"/>
      <c r="BA82" s="31"/>
      <c r="BB82" s="31"/>
      <c r="BC82" s="34"/>
      <c r="BD82" s="31"/>
      <c r="BE82" s="31"/>
      <c r="BF82" s="31"/>
      <c r="BG82" s="31"/>
      <c r="BH82" s="31"/>
      <c r="BI82" s="31"/>
      <c r="BJ82" s="31"/>
      <c r="BK82" s="31"/>
      <c r="BL82" s="34"/>
      <c r="BM82" s="31"/>
      <c r="BN82" s="31"/>
      <c r="BO82" s="31"/>
      <c r="BP82" s="31"/>
      <c r="BQ82" s="31"/>
      <c r="BR82" s="31"/>
      <c r="BS82" s="31"/>
      <c r="BT82" s="31"/>
      <c r="BU82" s="34"/>
      <c r="BV82" s="31"/>
      <c r="BW82" s="31"/>
      <c r="BX82" s="31"/>
      <c r="BY82" s="31"/>
      <c r="BZ82" s="31"/>
      <c r="CA82" s="31"/>
      <c r="CB82" s="35"/>
      <c r="CC82" s="31"/>
      <c r="CD82" s="31"/>
      <c r="CE82" s="35"/>
      <c r="CF82" s="35"/>
      <c r="CG82" s="31"/>
      <c r="CH82" s="31"/>
      <c r="CI82" s="31"/>
    </row>
    <row r="83" spans="3:87" ht="15.75" x14ac:dyDescent="0.25">
      <c r="C83" s="11" t="s">
        <v>46</v>
      </c>
      <c r="D83" s="1"/>
      <c r="E83" s="36"/>
      <c r="F83" s="35"/>
      <c r="G83" s="35"/>
      <c r="H83" s="35"/>
      <c r="I83" s="35"/>
      <c r="J83" s="35"/>
      <c r="K83" s="31">
        <v>63</v>
      </c>
      <c r="L83" s="31"/>
      <c r="M83" s="31"/>
      <c r="N83" s="35"/>
      <c r="O83" s="35"/>
      <c r="P83" s="35"/>
      <c r="Q83" s="35"/>
      <c r="R83" s="35"/>
      <c r="S83" s="35"/>
      <c r="T83" s="31">
        <v>63</v>
      </c>
      <c r="U83" s="31"/>
      <c r="V83" s="31"/>
      <c r="W83" s="31"/>
      <c r="X83" s="31"/>
      <c r="Y83" s="31"/>
      <c r="Z83" s="31"/>
      <c r="AA83" s="31"/>
      <c r="AB83" s="35"/>
      <c r="AC83" s="31">
        <v>63</v>
      </c>
      <c r="AD83" s="31"/>
      <c r="AE83" s="31"/>
      <c r="AF83" s="31"/>
      <c r="AG83" s="31"/>
      <c r="AH83" s="31"/>
      <c r="AI83" s="31"/>
      <c r="AJ83" s="31"/>
      <c r="AK83" s="35"/>
      <c r="AL83" s="31">
        <v>63</v>
      </c>
      <c r="AM83" s="31"/>
      <c r="AN83" s="31"/>
      <c r="AO83" s="31"/>
      <c r="AP83" s="31"/>
      <c r="AQ83" s="31"/>
      <c r="AR83" s="31"/>
      <c r="AS83" s="31"/>
      <c r="AT83" s="35"/>
      <c r="AU83" s="31">
        <v>63</v>
      </c>
      <c r="AV83" s="31"/>
      <c r="AW83" s="31"/>
      <c r="AX83" s="31"/>
      <c r="AY83" s="31"/>
      <c r="AZ83" s="31"/>
      <c r="BA83" s="31"/>
      <c r="BB83" s="31"/>
      <c r="BC83" s="35"/>
      <c r="BD83" s="31">
        <v>63</v>
      </c>
      <c r="BE83" s="31"/>
      <c r="BF83" s="31"/>
      <c r="BG83" s="31"/>
      <c r="BH83" s="31"/>
      <c r="BI83" s="31"/>
      <c r="BJ83" s="31"/>
      <c r="BK83" s="31"/>
      <c r="BL83" s="35"/>
      <c r="BM83" s="31">
        <v>63</v>
      </c>
      <c r="BN83" s="31"/>
      <c r="BO83" s="31"/>
      <c r="BP83" s="31"/>
      <c r="BQ83" s="31"/>
      <c r="BR83" s="31"/>
      <c r="BS83" s="31"/>
      <c r="BT83" s="31"/>
      <c r="BU83" s="35"/>
      <c r="BV83" s="31">
        <v>63</v>
      </c>
      <c r="BW83" s="31"/>
      <c r="BX83" s="31"/>
      <c r="BY83" s="31"/>
      <c r="BZ83" s="31"/>
      <c r="CA83" s="31"/>
      <c r="CB83" s="35">
        <v>63</v>
      </c>
      <c r="CC83" s="31"/>
      <c r="CD83" s="31"/>
      <c r="CE83" s="35"/>
      <c r="CF83" s="35"/>
      <c r="CG83" s="31"/>
      <c r="CH83" s="31"/>
      <c r="CI83" s="31"/>
    </row>
    <row r="84" spans="3:87" ht="15.75" x14ac:dyDescent="0.25">
      <c r="C84" s="11" t="s">
        <v>29</v>
      </c>
      <c r="D84" s="1"/>
      <c r="E84" s="36"/>
      <c r="F84" s="35"/>
      <c r="G84" s="35"/>
      <c r="H84" s="35"/>
      <c r="I84" s="35"/>
      <c r="J84" s="35"/>
      <c r="K84" s="31">
        <f>K83-K80</f>
        <v>61</v>
      </c>
      <c r="L84" s="31"/>
      <c r="M84" s="31"/>
      <c r="N84" s="31"/>
      <c r="O84" s="31"/>
      <c r="P84" s="31"/>
      <c r="Q84" s="31"/>
      <c r="R84" s="31"/>
      <c r="S84" s="31"/>
      <c r="T84" s="31">
        <f>T83-T80</f>
        <v>62</v>
      </c>
      <c r="U84" s="31"/>
      <c r="V84" s="31"/>
      <c r="W84" s="31"/>
      <c r="X84" s="31"/>
      <c r="Y84" s="31"/>
      <c r="Z84" s="31"/>
      <c r="AA84" s="31"/>
      <c r="AB84" s="31"/>
      <c r="AC84" s="31">
        <f>AC83-AC80</f>
        <v>63</v>
      </c>
      <c r="AD84" s="31"/>
      <c r="AE84" s="31"/>
      <c r="AF84" s="31"/>
      <c r="AG84" s="31"/>
      <c r="AH84" s="31"/>
      <c r="AI84" s="31"/>
      <c r="AJ84" s="31"/>
      <c r="AK84" s="31"/>
      <c r="AL84" s="31">
        <f>AL83-AL80</f>
        <v>63</v>
      </c>
      <c r="AM84" s="31"/>
      <c r="AN84" s="31"/>
      <c r="AO84" s="31"/>
      <c r="AP84" s="31"/>
      <c r="AQ84" s="31"/>
      <c r="AR84" s="31"/>
      <c r="AS84" s="31"/>
      <c r="AT84" s="31"/>
      <c r="AU84" s="31">
        <f>AU83-AU80</f>
        <v>62</v>
      </c>
      <c r="AV84" s="31"/>
      <c r="AW84" s="31"/>
      <c r="AX84" s="31"/>
      <c r="AY84" s="31"/>
      <c r="AZ84" s="31"/>
      <c r="BA84" s="31"/>
      <c r="BB84" s="31"/>
      <c r="BC84" s="31"/>
      <c r="BD84" s="31">
        <f>BD83-BD80</f>
        <v>63</v>
      </c>
      <c r="BE84" s="31"/>
      <c r="BF84" s="31"/>
      <c r="BG84" s="31"/>
      <c r="BH84" s="31"/>
      <c r="BI84" s="31"/>
      <c r="BJ84" s="31"/>
      <c r="BK84" s="31"/>
      <c r="BL84" s="31"/>
      <c r="BM84" s="31">
        <f>BM83-BM80</f>
        <v>63</v>
      </c>
      <c r="BN84" s="31"/>
      <c r="BO84" s="31"/>
      <c r="BP84" s="31"/>
      <c r="BQ84" s="31"/>
      <c r="BR84" s="31"/>
      <c r="BS84" s="31"/>
      <c r="BT84" s="31"/>
      <c r="BU84" s="31"/>
      <c r="BV84" s="31">
        <f>BV83-BV80</f>
        <v>63</v>
      </c>
      <c r="BW84" s="31"/>
      <c r="BX84" s="31"/>
      <c r="BY84" s="31"/>
      <c r="BZ84" s="31"/>
      <c r="CA84" s="31"/>
      <c r="CB84" s="35">
        <f>CB83-CB80</f>
        <v>61</v>
      </c>
      <c r="CC84" s="31"/>
      <c r="CD84" s="31"/>
      <c r="CE84" s="35"/>
      <c r="CF84" s="35"/>
      <c r="CG84" s="31"/>
      <c r="CH84" s="31"/>
      <c r="CI84" s="31"/>
    </row>
    <row r="85" spans="3:87" ht="15.75" x14ac:dyDescent="0.25">
      <c r="D85" s="1"/>
      <c r="E85" s="36"/>
      <c r="F85" s="35"/>
      <c r="G85" s="35"/>
      <c r="H85" s="35"/>
      <c r="I85" s="35"/>
      <c r="J85" s="35"/>
      <c r="K85" s="31"/>
      <c r="L85" s="31"/>
      <c r="M85" s="31"/>
      <c r="N85" s="35"/>
      <c r="O85" s="35"/>
      <c r="P85" s="35"/>
      <c r="Q85" s="35"/>
      <c r="R85" s="35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  <c r="BD85" s="31"/>
      <c r="BE85" s="31"/>
      <c r="BF85" s="31"/>
      <c r="BG85" s="31"/>
      <c r="BH85" s="31"/>
      <c r="BI85" s="31"/>
      <c r="BJ85" s="31"/>
      <c r="BK85" s="31"/>
      <c r="BL85" s="31"/>
      <c r="BM85" s="31"/>
      <c r="BN85" s="31"/>
      <c r="BO85" s="31"/>
      <c r="BP85" s="31"/>
      <c r="BQ85" s="31"/>
      <c r="BR85" s="31"/>
      <c r="BS85" s="31"/>
      <c r="BT85" s="31"/>
      <c r="BU85" s="31"/>
      <c r="BV85" s="31"/>
      <c r="BW85" s="31"/>
      <c r="BX85" s="31"/>
      <c r="BY85" s="31"/>
      <c r="BZ85" s="31"/>
      <c r="CA85" s="31"/>
      <c r="CB85" s="35"/>
      <c r="CC85" s="31"/>
      <c r="CD85" s="31"/>
      <c r="CE85" s="35"/>
      <c r="CF85" s="35"/>
      <c r="CG85" s="31"/>
      <c r="CH85" s="31"/>
      <c r="CI85" s="31"/>
    </row>
    <row r="86" spans="3:87" ht="15.75" x14ac:dyDescent="0.25">
      <c r="D86" s="1"/>
      <c r="E86" s="36"/>
      <c r="F86" s="35"/>
      <c r="G86" s="35"/>
      <c r="H86" s="35"/>
      <c r="I86" s="35"/>
      <c r="J86" s="35"/>
      <c r="K86" s="31"/>
      <c r="L86" s="31"/>
      <c r="M86" s="31"/>
      <c r="N86" s="35"/>
      <c r="O86" s="35"/>
      <c r="P86" s="35"/>
      <c r="Q86" s="35"/>
      <c r="R86" s="35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23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  <c r="BD86" s="31"/>
      <c r="BE86" s="31"/>
      <c r="BF86" s="31"/>
      <c r="BG86" s="31"/>
      <c r="BH86" s="31"/>
      <c r="BI86" s="31"/>
      <c r="BJ86" s="31"/>
      <c r="BK86" s="31"/>
      <c r="BL86" s="31"/>
      <c r="BM86" s="31"/>
      <c r="BN86" s="31"/>
      <c r="BO86" s="31"/>
      <c r="BP86" s="31"/>
      <c r="BQ86" s="31"/>
      <c r="BR86" s="31"/>
      <c r="BS86" s="31"/>
      <c r="BT86" s="31"/>
      <c r="BU86" s="31"/>
      <c r="BV86" s="31"/>
      <c r="BW86" s="31"/>
      <c r="BX86" s="31"/>
      <c r="BY86" s="31"/>
      <c r="BZ86" s="31"/>
      <c r="CA86" s="31"/>
      <c r="CB86" s="35"/>
      <c r="CC86" s="31"/>
      <c r="CD86" s="31"/>
      <c r="CE86" s="35"/>
      <c r="CF86" s="35"/>
      <c r="CG86" s="31"/>
      <c r="CH86" s="31"/>
      <c r="CI86" s="31"/>
    </row>
    <row r="87" spans="3:87" ht="15.75" x14ac:dyDescent="0.25">
      <c r="D87" s="1"/>
      <c r="E87" s="36"/>
      <c r="F87" s="35"/>
      <c r="G87" s="35"/>
      <c r="H87" s="35"/>
      <c r="I87" s="35"/>
      <c r="J87" s="35"/>
      <c r="K87" s="31"/>
      <c r="L87" s="31"/>
      <c r="M87" s="31"/>
      <c r="N87" s="35"/>
      <c r="O87" s="35"/>
      <c r="P87" s="35"/>
      <c r="Q87" s="35"/>
      <c r="R87" s="35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23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  <c r="BD87" s="31"/>
      <c r="BE87" s="31"/>
      <c r="BF87" s="31"/>
      <c r="BG87" s="31"/>
      <c r="BH87" s="31"/>
      <c r="BI87" s="31"/>
      <c r="BJ87" s="31"/>
      <c r="BK87" s="31"/>
      <c r="BL87" s="31"/>
      <c r="BM87" s="31"/>
      <c r="BN87" s="31"/>
      <c r="BO87" s="31"/>
      <c r="BP87" s="31"/>
      <c r="BQ87" s="31"/>
      <c r="BR87" s="31"/>
      <c r="BS87" s="31"/>
      <c r="BT87" s="31"/>
      <c r="BU87" s="31"/>
      <c r="BV87" s="31"/>
      <c r="BW87" s="31"/>
      <c r="BX87" s="31"/>
      <c r="BY87" s="31"/>
      <c r="BZ87" s="31"/>
      <c r="CA87" s="31"/>
      <c r="CB87" s="35"/>
      <c r="CC87" s="31"/>
      <c r="CD87" s="31"/>
      <c r="CE87" s="35"/>
      <c r="CF87" s="35"/>
      <c r="CG87" s="31"/>
      <c r="CH87" s="31"/>
      <c r="CI87" s="31"/>
    </row>
    <row r="88" spans="3:87" ht="15.75" x14ac:dyDescent="0.25">
      <c r="D88" s="1"/>
      <c r="AM88" s="23"/>
    </row>
    <row r="89" spans="3:87" ht="15.75" x14ac:dyDescent="0.25">
      <c r="D89" s="1"/>
      <c r="AM89" s="23"/>
    </row>
    <row r="90" spans="3:87" ht="15.75" x14ac:dyDescent="0.25">
      <c r="D90" s="1"/>
      <c r="AM90" s="23"/>
    </row>
    <row r="91" spans="3:87" ht="15.75" x14ac:dyDescent="0.25">
      <c r="D91" s="1"/>
      <c r="AM91" s="23"/>
    </row>
    <row r="92" spans="3:87" x14ac:dyDescent="0.25">
      <c r="D92" s="1"/>
      <c r="AM92" s="1"/>
    </row>
    <row r="93" spans="3:87" x14ac:dyDescent="0.25">
      <c r="D93" s="1"/>
      <c r="E93" s="11"/>
      <c r="F93" s="11"/>
      <c r="G93" s="11"/>
      <c r="H93" s="11"/>
      <c r="I93" s="11"/>
      <c r="J93" s="11"/>
      <c r="N93" s="11"/>
      <c r="O93" s="11"/>
      <c r="P93" s="11"/>
      <c r="Q93" s="11"/>
      <c r="R93" s="11"/>
    </row>
    <row r="94" spans="3:87" x14ac:dyDescent="0.25">
      <c r="D94" s="1"/>
      <c r="E94" s="11"/>
      <c r="F94" s="11"/>
      <c r="G94" s="11"/>
      <c r="H94" s="11"/>
      <c r="I94" s="11"/>
      <c r="J94" s="11"/>
      <c r="N94" s="11"/>
      <c r="O94" s="11"/>
      <c r="P94" s="11"/>
      <c r="Q94" s="11"/>
      <c r="R94" s="11"/>
    </row>
    <row r="95" spans="3:87" x14ac:dyDescent="0.25">
      <c r="D95" s="1"/>
      <c r="E95" s="11"/>
      <c r="F95" s="11"/>
      <c r="G95" s="11"/>
      <c r="H95" s="11"/>
      <c r="I95" s="11"/>
      <c r="J95" s="11"/>
      <c r="N95" s="11"/>
      <c r="O95" s="11"/>
      <c r="P95" s="11"/>
      <c r="Q95" s="11"/>
      <c r="R95" s="11"/>
    </row>
    <row r="96" spans="3:87" x14ac:dyDescent="0.25">
      <c r="D96" s="1"/>
      <c r="E96" s="11"/>
      <c r="F96" s="11"/>
      <c r="G96" s="11"/>
      <c r="H96" s="11"/>
      <c r="I96" s="11"/>
      <c r="J96" s="11"/>
      <c r="N96" s="11"/>
      <c r="O96" s="11"/>
      <c r="P96" s="11"/>
      <c r="Q96" s="11"/>
      <c r="R96" s="11"/>
    </row>
    <row r="97" spans="4:84" x14ac:dyDescent="0.25">
      <c r="D97" s="1"/>
      <c r="E97" s="11"/>
      <c r="F97" s="11"/>
      <c r="G97" s="11"/>
      <c r="H97" s="11"/>
      <c r="I97" s="11"/>
      <c r="J97" s="11"/>
      <c r="N97" s="11"/>
      <c r="O97" s="11"/>
      <c r="P97" s="11"/>
      <c r="Q97" s="11"/>
      <c r="R97" s="11"/>
    </row>
    <row r="98" spans="4:84" x14ac:dyDescent="0.25">
      <c r="D98" s="1"/>
      <c r="E98" s="11"/>
      <c r="F98" s="11"/>
      <c r="G98" s="11"/>
      <c r="H98" s="11"/>
      <c r="I98" s="11"/>
      <c r="J98" s="11"/>
      <c r="N98" s="11"/>
      <c r="O98" s="11"/>
      <c r="P98" s="11"/>
      <c r="Q98" s="11"/>
      <c r="R98" s="11"/>
      <c r="CB98" s="11"/>
      <c r="CE98" s="11"/>
      <c r="CF98" s="11"/>
    </row>
    <row r="99" spans="4:84" x14ac:dyDescent="0.25">
      <c r="D99" s="1"/>
      <c r="E99" s="11"/>
      <c r="F99" s="11"/>
      <c r="G99" s="11"/>
      <c r="H99" s="11"/>
      <c r="I99" s="11"/>
      <c r="J99" s="11"/>
      <c r="N99" s="11"/>
      <c r="O99" s="11"/>
      <c r="P99" s="11"/>
      <c r="Q99" s="11"/>
      <c r="R99" s="11"/>
      <c r="CB99" s="11"/>
      <c r="CE99" s="11"/>
      <c r="CF99" s="11"/>
    </row>
    <row r="100" spans="4:84" x14ac:dyDescent="0.25">
      <c r="D100" s="1"/>
      <c r="E100" s="11"/>
      <c r="F100" s="11"/>
      <c r="G100" s="11"/>
      <c r="H100" s="11"/>
      <c r="I100" s="11"/>
      <c r="J100" s="11"/>
      <c r="N100" s="11"/>
      <c r="O100" s="11"/>
      <c r="P100" s="11"/>
      <c r="Q100" s="11"/>
      <c r="R100" s="11"/>
      <c r="CB100" s="11"/>
      <c r="CE100" s="11"/>
      <c r="CF100" s="11"/>
    </row>
    <row r="101" spans="4:84" x14ac:dyDescent="0.25">
      <c r="D101" s="1"/>
      <c r="E101" s="11"/>
      <c r="F101" s="11"/>
      <c r="G101" s="11"/>
      <c r="H101" s="11"/>
      <c r="I101" s="11"/>
      <c r="J101" s="11"/>
      <c r="N101" s="11"/>
      <c r="O101" s="11"/>
      <c r="P101" s="11"/>
      <c r="Q101" s="11"/>
      <c r="R101" s="11"/>
      <c r="CB101" s="11"/>
      <c r="CE101" s="11"/>
      <c r="CF101" s="11"/>
    </row>
    <row r="102" spans="4:84" x14ac:dyDescent="0.25">
      <c r="D102" s="24"/>
      <c r="E102" s="11"/>
      <c r="F102" s="11"/>
      <c r="G102" s="11"/>
      <c r="H102" s="11"/>
      <c r="I102" s="11"/>
      <c r="J102" s="11"/>
      <c r="N102" s="11"/>
      <c r="O102" s="11"/>
      <c r="P102" s="11"/>
      <c r="Q102" s="11"/>
      <c r="R102" s="11"/>
      <c r="CB102" s="11"/>
      <c r="CE102" s="11"/>
      <c r="CF102" s="11"/>
    </row>
    <row r="103" spans="4:84" x14ac:dyDescent="0.25">
      <c r="E103" s="11"/>
      <c r="F103" s="11"/>
      <c r="G103" s="11"/>
      <c r="H103" s="11"/>
      <c r="I103" s="11"/>
      <c r="J103" s="11"/>
      <c r="N103" s="11"/>
      <c r="O103" s="11"/>
      <c r="P103" s="11"/>
      <c r="Q103" s="11"/>
      <c r="R103" s="11"/>
      <c r="CB103" s="11"/>
      <c r="CE103" s="11"/>
      <c r="CF103" s="11"/>
    </row>
    <row r="104" spans="4:84" x14ac:dyDescent="0.25">
      <c r="E104" s="11"/>
      <c r="F104" s="11"/>
      <c r="G104" s="11"/>
      <c r="H104" s="11"/>
      <c r="I104" s="11"/>
      <c r="J104" s="11"/>
      <c r="N104" s="11"/>
      <c r="O104" s="11"/>
      <c r="P104" s="11"/>
      <c r="Q104" s="11"/>
      <c r="R104" s="11"/>
      <c r="CB104" s="11"/>
      <c r="CE104" s="11"/>
      <c r="CF104" s="11"/>
    </row>
    <row r="105" spans="4:84" x14ac:dyDescent="0.25">
      <c r="E105" s="11"/>
      <c r="F105" s="11"/>
      <c r="G105" s="11"/>
      <c r="H105" s="11"/>
      <c r="I105" s="11"/>
      <c r="J105" s="11"/>
      <c r="N105" s="11"/>
      <c r="O105" s="11"/>
      <c r="P105" s="11"/>
      <c r="Q105" s="11"/>
      <c r="R105" s="11"/>
      <c r="CB105" s="11"/>
      <c r="CE105" s="11"/>
      <c r="CF105" s="11"/>
    </row>
    <row r="106" spans="4:84" x14ac:dyDescent="0.25">
      <c r="E106" s="11"/>
      <c r="F106" s="11"/>
      <c r="G106" s="11"/>
      <c r="H106" s="11"/>
      <c r="I106" s="11"/>
      <c r="J106" s="11"/>
      <c r="N106" s="11"/>
      <c r="O106" s="11"/>
      <c r="P106" s="11"/>
      <c r="Q106" s="11"/>
      <c r="R106" s="11"/>
      <c r="CB106" s="11"/>
      <c r="CE106" s="11"/>
      <c r="CF106" s="11"/>
    </row>
    <row r="107" spans="4:84" x14ac:dyDescent="0.25">
      <c r="E107" s="11"/>
      <c r="F107" s="11"/>
      <c r="G107" s="11"/>
      <c r="H107" s="11"/>
      <c r="I107" s="11"/>
      <c r="J107" s="11"/>
      <c r="N107" s="11"/>
      <c r="O107" s="11"/>
      <c r="P107" s="11"/>
      <c r="Q107" s="11"/>
      <c r="R107" s="11"/>
      <c r="CB107" s="11"/>
      <c r="CE107" s="11"/>
      <c r="CF107" s="11"/>
    </row>
    <row r="108" spans="4:84" x14ac:dyDescent="0.25">
      <c r="E108" s="11"/>
      <c r="F108" s="11"/>
      <c r="G108" s="11"/>
      <c r="H108" s="11"/>
      <c r="I108" s="11"/>
      <c r="J108" s="11"/>
      <c r="N108" s="11"/>
      <c r="O108" s="11"/>
      <c r="P108" s="11"/>
      <c r="Q108" s="11"/>
      <c r="R108" s="11"/>
      <c r="CB108" s="11"/>
      <c r="CE108" s="11"/>
      <c r="CF108" s="11"/>
    </row>
    <row r="109" spans="4:84" x14ac:dyDescent="0.25">
      <c r="D109" s="11"/>
      <c r="E109" s="11"/>
      <c r="F109" s="11"/>
      <c r="G109" s="11"/>
      <c r="H109" s="11"/>
      <c r="I109" s="11"/>
      <c r="J109" s="11"/>
      <c r="N109" s="11"/>
      <c r="O109" s="11"/>
      <c r="P109" s="11"/>
      <c r="Q109" s="11"/>
      <c r="R109" s="11"/>
      <c r="CB109" s="11"/>
      <c r="CE109" s="11"/>
      <c r="CF109" s="11"/>
    </row>
    <row r="110" spans="4:84" x14ac:dyDescent="0.25">
      <c r="D110" s="11"/>
      <c r="E110" s="11"/>
      <c r="F110" s="11"/>
      <c r="G110" s="11"/>
      <c r="H110" s="11"/>
      <c r="I110" s="11"/>
      <c r="J110" s="11"/>
      <c r="N110" s="11"/>
      <c r="O110" s="11"/>
      <c r="P110" s="11"/>
      <c r="Q110" s="11"/>
      <c r="R110" s="11"/>
      <c r="CB110" s="11"/>
      <c r="CE110" s="11"/>
      <c r="CF110" s="11"/>
    </row>
    <row r="111" spans="4:84" x14ac:dyDescent="0.25">
      <c r="D111" s="11"/>
      <c r="E111" s="11"/>
      <c r="F111" s="11"/>
      <c r="G111" s="11"/>
      <c r="H111" s="11"/>
      <c r="I111" s="11"/>
      <c r="J111" s="11"/>
      <c r="N111" s="11"/>
      <c r="O111" s="11"/>
      <c r="P111" s="11"/>
      <c r="Q111" s="11"/>
      <c r="R111" s="11"/>
      <c r="CB111" s="11"/>
      <c r="CE111" s="11"/>
      <c r="CF111" s="11"/>
    </row>
    <row r="112" spans="4:84" x14ac:dyDescent="0.25">
      <c r="D112" s="11"/>
      <c r="E112" s="11"/>
      <c r="F112" s="11"/>
      <c r="G112" s="11"/>
      <c r="H112" s="11"/>
      <c r="I112" s="11"/>
      <c r="J112" s="11"/>
      <c r="N112" s="11"/>
      <c r="O112" s="11"/>
      <c r="P112" s="11"/>
      <c r="Q112" s="11"/>
      <c r="R112" s="11"/>
      <c r="CB112" s="11"/>
      <c r="CE112" s="11"/>
      <c r="CF112" s="11"/>
    </row>
    <row r="113" spans="4:84" x14ac:dyDescent="0.25">
      <c r="D113" s="11"/>
      <c r="E113" s="11"/>
      <c r="F113" s="11"/>
      <c r="G113" s="11"/>
      <c r="H113" s="11"/>
      <c r="I113" s="11"/>
      <c r="J113" s="11"/>
      <c r="N113" s="11"/>
      <c r="O113" s="11"/>
      <c r="P113" s="11"/>
      <c r="Q113" s="11"/>
      <c r="R113" s="11"/>
      <c r="CB113" s="11"/>
      <c r="CE113" s="11"/>
      <c r="CF113" s="11"/>
    </row>
    <row r="114" spans="4:84" x14ac:dyDescent="0.25">
      <c r="D114" s="11"/>
      <c r="E114" s="11"/>
      <c r="F114" s="11"/>
      <c r="G114" s="11"/>
      <c r="H114" s="11"/>
      <c r="I114" s="11"/>
      <c r="J114" s="11"/>
      <c r="N114" s="11"/>
      <c r="O114" s="11"/>
      <c r="P114" s="11"/>
      <c r="Q114" s="11"/>
      <c r="R114" s="11"/>
      <c r="CB114" s="11"/>
      <c r="CE114" s="11"/>
      <c r="CF114" s="11"/>
    </row>
    <row r="115" spans="4:84" x14ac:dyDescent="0.25">
      <c r="D115" s="11"/>
      <c r="E115" s="11"/>
      <c r="F115" s="11"/>
      <c r="G115" s="11"/>
      <c r="H115" s="11"/>
      <c r="I115" s="11"/>
      <c r="J115" s="11"/>
      <c r="N115" s="11"/>
      <c r="O115" s="11"/>
      <c r="P115" s="11"/>
      <c r="Q115" s="11"/>
      <c r="R115" s="11"/>
      <c r="CB115" s="11"/>
      <c r="CE115" s="11"/>
      <c r="CF115" s="11"/>
    </row>
    <row r="116" spans="4:84" x14ac:dyDescent="0.25">
      <c r="D116" s="11"/>
      <c r="E116" s="11"/>
      <c r="F116" s="11"/>
      <c r="G116" s="11"/>
      <c r="H116" s="11"/>
      <c r="I116" s="11"/>
      <c r="J116" s="11"/>
      <c r="N116" s="11"/>
      <c r="O116" s="11"/>
      <c r="P116" s="11"/>
      <c r="Q116" s="11"/>
      <c r="R116" s="11"/>
      <c r="CB116" s="11"/>
      <c r="CE116" s="11"/>
      <c r="CF116" s="11"/>
    </row>
    <row r="117" spans="4:84" x14ac:dyDescent="0.25">
      <c r="D117" s="11"/>
      <c r="E117" s="11"/>
      <c r="F117" s="11"/>
      <c r="G117" s="11"/>
      <c r="H117" s="11"/>
      <c r="I117" s="11"/>
      <c r="J117" s="11"/>
      <c r="N117" s="11"/>
      <c r="O117" s="11"/>
      <c r="P117" s="11"/>
      <c r="Q117" s="11"/>
      <c r="R117" s="11"/>
      <c r="CB117" s="11"/>
      <c r="CE117" s="11"/>
      <c r="CF117" s="11"/>
    </row>
    <row r="118" spans="4:84" x14ac:dyDescent="0.25">
      <c r="D118" s="11"/>
      <c r="E118" s="11"/>
      <c r="F118" s="11"/>
      <c r="G118" s="11"/>
      <c r="H118" s="11"/>
      <c r="I118" s="11"/>
      <c r="J118" s="11"/>
      <c r="N118" s="11"/>
      <c r="O118" s="11"/>
      <c r="P118" s="11"/>
      <c r="Q118" s="11"/>
      <c r="R118" s="11"/>
      <c r="CB118" s="11"/>
      <c r="CE118" s="11"/>
      <c r="CF118" s="11"/>
    </row>
    <row r="119" spans="4:84" x14ac:dyDescent="0.25">
      <c r="D119" s="11"/>
      <c r="E119" s="11"/>
      <c r="F119" s="11"/>
      <c r="G119" s="11"/>
      <c r="H119" s="11"/>
      <c r="I119" s="11"/>
      <c r="J119" s="11"/>
      <c r="N119" s="11"/>
      <c r="O119" s="11"/>
      <c r="P119" s="11"/>
      <c r="Q119" s="11"/>
      <c r="R119" s="11"/>
      <c r="CB119" s="11"/>
      <c r="CE119" s="11"/>
      <c r="CF119" s="11"/>
    </row>
    <row r="120" spans="4:84" x14ac:dyDescent="0.25">
      <c r="D120" s="11"/>
      <c r="E120" s="11"/>
      <c r="F120" s="11"/>
      <c r="G120" s="11"/>
      <c r="H120" s="11"/>
      <c r="I120" s="11"/>
      <c r="J120" s="11"/>
      <c r="N120" s="11"/>
      <c r="O120" s="11"/>
      <c r="P120" s="11"/>
      <c r="Q120" s="11"/>
      <c r="R120" s="11"/>
      <c r="CB120" s="11"/>
      <c r="CE120" s="11"/>
      <c r="CF120" s="11"/>
    </row>
    <row r="121" spans="4:84" x14ac:dyDescent="0.25">
      <c r="D121" s="11"/>
      <c r="E121" s="11"/>
      <c r="F121" s="11"/>
      <c r="G121" s="11"/>
      <c r="H121" s="11"/>
      <c r="I121" s="11"/>
      <c r="J121" s="11"/>
      <c r="N121" s="11"/>
      <c r="O121" s="11"/>
      <c r="P121" s="11"/>
      <c r="Q121" s="11"/>
      <c r="R121" s="11"/>
      <c r="CB121" s="11"/>
      <c r="CE121" s="11"/>
      <c r="CF121" s="11"/>
    </row>
    <row r="122" spans="4:84" x14ac:dyDescent="0.25">
      <c r="D122" s="11"/>
      <c r="E122" s="11"/>
      <c r="F122" s="11"/>
      <c r="G122" s="11"/>
      <c r="H122" s="11"/>
      <c r="I122" s="11"/>
      <c r="J122" s="11"/>
      <c r="N122" s="11"/>
      <c r="O122" s="11"/>
      <c r="P122" s="11"/>
      <c r="Q122" s="11"/>
      <c r="R122" s="11"/>
      <c r="CB122" s="11"/>
      <c r="CE122" s="11"/>
      <c r="CF122" s="11"/>
    </row>
    <row r="123" spans="4:84" x14ac:dyDescent="0.25">
      <c r="D123" s="11"/>
      <c r="E123" s="11"/>
      <c r="F123" s="11"/>
      <c r="G123" s="11"/>
      <c r="H123" s="11"/>
      <c r="I123" s="11"/>
      <c r="J123" s="11"/>
      <c r="N123" s="11"/>
      <c r="O123" s="11"/>
      <c r="P123" s="11"/>
      <c r="Q123" s="11"/>
      <c r="R123" s="11"/>
      <c r="CB123" s="11"/>
      <c r="CE123" s="11"/>
      <c r="CF123" s="11"/>
    </row>
    <row r="124" spans="4:84" x14ac:dyDescent="0.25">
      <c r="D124" s="11"/>
      <c r="E124" s="11"/>
      <c r="F124" s="11"/>
      <c r="G124" s="11"/>
      <c r="H124" s="11"/>
      <c r="I124" s="11"/>
      <c r="J124" s="11"/>
      <c r="N124" s="11"/>
      <c r="O124" s="11"/>
      <c r="P124" s="11"/>
      <c r="Q124" s="11"/>
      <c r="R124" s="11"/>
      <c r="CB124" s="11"/>
      <c r="CE124" s="11"/>
      <c r="CF124" s="11"/>
    </row>
    <row r="125" spans="4:84" x14ac:dyDescent="0.25">
      <c r="D125" s="11"/>
      <c r="E125" s="11"/>
      <c r="F125" s="11"/>
      <c r="G125" s="11"/>
      <c r="H125" s="11"/>
      <c r="I125" s="11"/>
      <c r="J125" s="11"/>
      <c r="N125" s="11"/>
      <c r="O125" s="11"/>
      <c r="P125" s="11"/>
      <c r="Q125" s="11"/>
      <c r="R125" s="11"/>
      <c r="CB125" s="11"/>
      <c r="CE125" s="11"/>
      <c r="CF125" s="11"/>
    </row>
    <row r="126" spans="4:84" x14ac:dyDescent="0.25">
      <c r="D126" s="11"/>
      <c r="E126" s="11"/>
      <c r="F126" s="11"/>
      <c r="G126" s="11"/>
      <c r="H126" s="11"/>
      <c r="I126" s="11"/>
      <c r="J126" s="11"/>
      <c r="N126" s="11"/>
      <c r="O126" s="11"/>
      <c r="P126" s="11"/>
      <c r="Q126" s="11"/>
      <c r="R126" s="11"/>
      <c r="CB126" s="11"/>
      <c r="CE126" s="11"/>
      <c r="CF126" s="11"/>
    </row>
    <row r="127" spans="4:84" x14ac:dyDescent="0.25">
      <c r="D127" s="11"/>
      <c r="E127" s="11"/>
      <c r="F127" s="11"/>
      <c r="G127" s="11"/>
      <c r="H127" s="11"/>
      <c r="I127" s="11"/>
      <c r="J127" s="11"/>
      <c r="N127" s="11"/>
      <c r="O127" s="11"/>
      <c r="P127" s="11"/>
      <c r="Q127" s="11"/>
      <c r="R127" s="11"/>
      <c r="CB127" s="11"/>
      <c r="CE127" s="11"/>
      <c r="CF127" s="11"/>
    </row>
    <row r="128" spans="4:84" x14ac:dyDescent="0.25">
      <c r="D128" s="11"/>
      <c r="E128" s="11"/>
      <c r="F128" s="11"/>
      <c r="G128" s="11"/>
      <c r="H128" s="11"/>
      <c r="I128" s="11"/>
      <c r="J128" s="11"/>
      <c r="N128" s="11"/>
      <c r="O128" s="11"/>
      <c r="P128" s="11"/>
      <c r="Q128" s="11"/>
      <c r="R128" s="11"/>
      <c r="CB128" s="11"/>
      <c r="CE128" s="11"/>
      <c r="CF128" s="11"/>
    </row>
    <row r="129" spans="4:84" x14ac:dyDescent="0.25">
      <c r="D129" s="11"/>
      <c r="E129" s="11"/>
      <c r="F129" s="11"/>
      <c r="G129" s="11"/>
      <c r="H129" s="11"/>
      <c r="I129" s="11"/>
      <c r="J129" s="11"/>
      <c r="N129" s="11"/>
      <c r="O129" s="11"/>
      <c r="P129" s="11"/>
      <c r="Q129" s="11"/>
      <c r="R129" s="11"/>
      <c r="CB129" s="11"/>
      <c r="CE129" s="11"/>
      <c r="CF129" s="11"/>
    </row>
    <row r="130" spans="4:84" x14ac:dyDescent="0.25">
      <c r="D130" s="11"/>
      <c r="E130" s="11"/>
      <c r="F130" s="11"/>
      <c r="G130" s="11"/>
      <c r="H130" s="11"/>
      <c r="I130" s="11"/>
      <c r="J130" s="11"/>
      <c r="N130" s="11"/>
      <c r="O130" s="11"/>
      <c r="P130" s="11"/>
      <c r="Q130" s="11"/>
      <c r="R130" s="11"/>
      <c r="CB130" s="11"/>
      <c r="CE130" s="11"/>
      <c r="CF130" s="11"/>
    </row>
    <row r="131" spans="4:84" x14ac:dyDescent="0.25">
      <c r="D131" s="11"/>
      <c r="E131" s="11"/>
      <c r="F131" s="11"/>
      <c r="G131" s="11"/>
      <c r="H131" s="11"/>
      <c r="I131" s="11"/>
      <c r="J131" s="11"/>
      <c r="N131" s="11"/>
      <c r="O131" s="11"/>
      <c r="P131" s="11"/>
      <c r="Q131" s="11"/>
      <c r="R131" s="11"/>
      <c r="CB131" s="11"/>
      <c r="CE131" s="11"/>
      <c r="CF131" s="11"/>
    </row>
    <row r="132" spans="4:84" x14ac:dyDescent="0.25">
      <c r="D132" s="11"/>
      <c r="E132" s="11"/>
      <c r="F132" s="11"/>
      <c r="G132" s="11"/>
      <c r="H132" s="11"/>
      <c r="I132" s="11"/>
      <c r="J132" s="11"/>
      <c r="N132" s="11"/>
      <c r="O132" s="11"/>
      <c r="P132" s="11"/>
      <c r="Q132" s="11"/>
      <c r="R132" s="11"/>
      <c r="CB132" s="11"/>
      <c r="CE132" s="11"/>
      <c r="CF132" s="11"/>
    </row>
    <row r="133" spans="4:84" x14ac:dyDescent="0.25">
      <c r="D133" s="11"/>
      <c r="E133" s="11"/>
      <c r="F133" s="11"/>
      <c r="G133" s="11"/>
      <c r="H133" s="11"/>
      <c r="I133" s="11"/>
      <c r="J133" s="11"/>
      <c r="N133" s="11"/>
      <c r="O133" s="11"/>
      <c r="P133" s="11"/>
      <c r="Q133" s="11"/>
      <c r="R133" s="11"/>
      <c r="CB133" s="11"/>
      <c r="CE133" s="11"/>
      <c r="CF133" s="11"/>
    </row>
    <row r="134" spans="4:84" x14ac:dyDescent="0.25">
      <c r="D134" s="11"/>
      <c r="E134" s="11"/>
      <c r="F134" s="11"/>
      <c r="G134" s="11"/>
      <c r="H134" s="11"/>
      <c r="I134" s="11"/>
      <c r="J134" s="11"/>
      <c r="N134" s="11"/>
      <c r="O134" s="11"/>
      <c r="P134" s="11"/>
      <c r="Q134" s="11"/>
      <c r="R134" s="11"/>
      <c r="CB134" s="11"/>
      <c r="CE134" s="11"/>
      <c r="CF134" s="11"/>
    </row>
    <row r="135" spans="4:84" x14ac:dyDescent="0.25">
      <c r="D135" s="11"/>
      <c r="E135" s="11"/>
      <c r="F135" s="11"/>
      <c r="G135" s="11"/>
      <c r="H135" s="11"/>
      <c r="I135" s="11"/>
      <c r="J135" s="11"/>
      <c r="N135" s="11"/>
      <c r="O135" s="11"/>
      <c r="P135" s="11"/>
      <c r="Q135" s="11"/>
      <c r="R135" s="11"/>
      <c r="CB135" s="11"/>
      <c r="CE135" s="11"/>
      <c r="CF135" s="11"/>
    </row>
    <row r="136" spans="4:84" x14ac:dyDescent="0.25">
      <c r="D136" s="11"/>
      <c r="E136" s="11"/>
      <c r="F136" s="11"/>
      <c r="G136" s="11"/>
      <c r="H136" s="11"/>
      <c r="I136" s="11"/>
      <c r="J136" s="11"/>
      <c r="N136" s="11"/>
      <c r="O136" s="11"/>
      <c r="P136" s="11"/>
      <c r="Q136" s="11"/>
      <c r="R136" s="11"/>
      <c r="CB136" s="11"/>
      <c r="CE136" s="11"/>
      <c r="CF136" s="11"/>
    </row>
    <row r="137" spans="4:84" x14ac:dyDescent="0.25">
      <c r="D137" s="11"/>
      <c r="E137" s="11"/>
      <c r="F137" s="11"/>
      <c r="G137" s="11"/>
      <c r="H137" s="11"/>
      <c r="I137" s="11"/>
      <c r="J137" s="11"/>
      <c r="N137" s="11"/>
      <c r="O137" s="11"/>
      <c r="P137" s="11"/>
      <c r="Q137" s="11"/>
      <c r="R137" s="11"/>
      <c r="CB137" s="11"/>
      <c r="CE137" s="11"/>
      <c r="CF137" s="11"/>
    </row>
    <row r="138" spans="4:84" x14ac:dyDescent="0.25">
      <c r="D138" s="11"/>
      <c r="E138" s="11"/>
      <c r="F138" s="11"/>
      <c r="G138" s="11"/>
      <c r="H138" s="11"/>
      <c r="I138" s="11"/>
      <c r="J138" s="11"/>
      <c r="N138" s="11"/>
      <c r="O138" s="11"/>
      <c r="P138" s="11"/>
      <c r="Q138" s="11"/>
      <c r="R138" s="11"/>
      <c r="CB138" s="11"/>
      <c r="CE138" s="11"/>
      <c r="CF138" s="11"/>
    </row>
    <row r="139" spans="4:84" x14ac:dyDescent="0.25">
      <c r="D139" s="11"/>
      <c r="E139" s="11"/>
      <c r="F139" s="11"/>
      <c r="G139" s="11"/>
      <c r="H139" s="11"/>
      <c r="I139" s="11"/>
      <c r="J139" s="11"/>
      <c r="N139" s="11"/>
      <c r="O139" s="11"/>
      <c r="P139" s="11"/>
      <c r="Q139" s="11"/>
      <c r="R139" s="11"/>
      <c r="CB139" s="11"/>
      <c r="CE139" s="11"/>
      <c r="CF139" s="11"/>
    </row>
    <row r="140" spans="4:84" x14ac:dyDescent="0.25">
      <c r="D140" s="11"/>
      <c r="E140" s="11"/>
      <c r="F140" s="11"/>
      <c r="G140" s="11"/>
      <c r="H140" s="11"/>
      <c r="I140" s="11"/>
      <c r="J140" s="11"/>
      <c r="N140" s="11"/>
      <c r="O140" s="11"/>
      <c r="P140" s="11"/>
      <c r="Q140" s="11"/>
      <c r="R140" s="11"/>
      <c r="CB140" s="11"/>
      <c r="CE140" s="11"/>
      <c r="CF140" s="11"/>
    </row>
    <row r="141" spans="4:84" x14ac:dyDescent="0.25">
      <c r="D141" s="11"/>
      <c r="E141" s="11"/>
      <c r="F141" s="11"/>
      <c r="G141" s="11"/>
      <c r="H141" s="11"/>
      <c r="I141" s="11"/>
      <c r="J141" s="11"/>
      <c r="N141" s="11"/>
      <c r="O141" s="11"/>
      <c r="P141" s="11"/>
      <c r="Q141" s="11"/>
      <c r="R141" s="11"/>
      <c r="CB141" s="11"/>
      <c r="CE141" s="11"/>
      <c r="CF141" s="11"/>
    </row>
    <row r="142" spans="4:84" x14ac:dyDescent="0.25">
      <c r="D142" s="11"/>
      <c r="E142" s="11"/>
      <c r="F142" s="11"/>
      <c r="G142" s="11"/>
      <c r="H142" s="11"/>
      <c r="I142" s="11"/>
      <c r="J142" s="11"/>
      <c r="N142" s="11"/>
      <c r="O142" s="11"/>
      <c r="P142" s="11"/>
      <c r="Q142" s="11"/>
      <c r="R142" s="11"/>
      <c r="CB142" s="11"/>
      <c r="CE142" s="11"/>
      <c r="CF142" s="11"/>
    </row>
    <row r="143" spans="4:84" x14ac:dyDescent="0.25">
      <c r="D143" s="11"/>
      <c r="E143" s="11"/>
      <c r="F143" s="11"/>
      <c r="G143" s="11"/>
      <c r="H143" s="11"/>
      <c r="I143" s="11"/>
      <c r="J143" s="11"/>
      <c r="N143" s="11"/>
      <c r="O143" s="11"/>
      <c r="P143" s="11"/>
      <c r="Q143" s="11"/>
      <c r="R143" s="11"/>
      <c r="CB143" s="11"/>
      <c r="CE143" s="11"/>
      <c r="CF143" s="11"/>
    </row>
    <row r="144" spans="4:84" x14ac:dyDescent="0.25">
      <c r="D144" s="11"/>
      <c r="E144" s="11"/>
      <c r="F144" s="11"/>
      <c r="G144" s="11"/>
      <c r="H144" s="11"/>
      <c r="I144" s="11"/>
      <c r="J144" s="11"/>
      <c r="N144" s="11"/>
      <c r="O144" s="11"/>
      <c r="P144" s="11"/>
      <c r="Q144" s="11"/>
      <c r="R144" s="11"/>
      <c r="CB144" s="11"/>
      <c r="CE144" s="11"/>
      <c r="CF144" s="11"/>
    </row>
    <row r="145" spans="4:84" x14ac:dyDescent="0.25">
      <c r="D145" s="11"/>
      <c r="E145" s="11"/>
      <c r="F145" s="11"/>
      <c r="G145" s="11"/>
      <c r="H145" s="11"/>
      <c r="I145" s="11"/>
      <c r="J145" s="11"/>
      <c r="N145" s="11"/>
      <c r="O145" s="11"/>
      <c r="P145" s="11"/>
      <c r="Q145" s="11"/>
      <c r="R145" s="11"/>
      <c r="CB145" s="11"/>
      <c r="CE145" s="11"/>
      <c r="CF145" s="11"/>
    </row>
    <row r="146" spans="4:84" x14ac:dyDescent="0.25">
      <c r="D146" s="11"/>
      <c r="E146" s="11"/>
      <c r="F146" s="11"/>
      <c r="G146" s="11"/>
      <c r="H146" s="11"/>
      <c r="I146" s="11"/>
      <c r="J146" s="11"/>
      <c r="N146" s="11"/>
      <c r="O146" s="11"/>
      <c r="P146" s="11"/>
      <c r="Q146" s="11"/>
      <c r="R146" s="11"/>
      <c r="CB146" s="11"/>
      <c r="CE146" s="11"/>
      <c r="CF146" s="11"/>
    </row>
    <row r="147" spans="4:84" x14ac:dyDescent="0.25">
      <c r="D147" s="11"/>
      <c r="E147" s="11"/>
      <c r="F147" s="11"/>
      <c r="G147" s="11"/>
      <c r="H147" s="11"/>
      <c r="I147" s="11"/>
      <c r="J147" s="11"/>
      <c r="N147" s="11"/>
      <c r="O147" s="11"/>
      <c r="P147" s="11"/>
      <c r="Q147" s="11"/>
      <c r="R147" s="11"/>
      <c r="CB147" s="11"/>
      <c r="CE147" s="11"/>
      <c r="CF147" s="11"/>
    </row>
    <row r="148" spans="4:84" x14ac:dyDescent="0.25">
      <c r="D148" s="11"/>
      <c r="E148" s="11"/>
      <c r="F148" s="11"/>
      <c r="G148" s="11"/>
      <c r="H148" s="11"/>
      <c r="I148" s="11"/>
      <c r="J148" s="11"/>
      <c r="N148" s="11"/>
      <c r="O148" s="11"/>
      <c r="P148" s="11"/>
      <c r="Q148" s="11"/>
      <c r="R148" s="11"/>
      <c r="CB148" s="11"/>
      <c r="CE148" s="11"/>
      <c r="CF148" s="11"/>
    </row>
    <row r="149" spans="4:84" x14ac:dyDescent="0.25">
      <c r="D149" s="11"/>
      <c r="E149" s="11"/>
      <c r="F149" s="11"/>
      <c r="G149" s="11"/>
      <c r="H149" s="11"/>
      <c r="I149" s="11"/>
      <c r="J149" s="11"/>
      <c r="N149" s="11"/>
      <c r="O149" s="11"/>
      <c r="P149" s="11"/>
      <c r="Q149" s="11"/>
      <c r="R149" s="11"/>
      <c r="CB149" s="11"/>
      <c r="CE149" s="11"/>
      <c r="CF149" s="11"/>
    </row>
    <row r="150" spans="4:84" x14ac:dyDescent="0.25">
      <c r="D150" s="11"/>
      <c r="E150" s="11"/>
      <c r="F150" s="11"/>
      <c r="G150" s="11"/>
      <c r="H150" s="11"/>
      <c r="I150" s="11"/>
      <c r="J150" s="11"/>
      <c r="N150" s="11"/>
      <c r="O150" s="11"/>
      <c r="P150" s="11"/>
      <c r="Q150" s="11"/>
      <c r="R150" s="11"/>
      <c r="CB150" s="11"/>
      <c r="CE150" s="11"/>
      <c r="CF150" s="11"/>
    </row>
    <row r="151" spans="4:84" x14ac:dyDescent="0.25">
      <c r="D151" s="11"/>
      <c r="E151" s="11"/>
      <c r="F151" s="11"/>
      <c r="G151" s="11"/>
      <c r="H151" s="11"/>
      <c r="I151" s="11"/>
      <c r="J151" s="11"/>
      <c r="N151" s="11"/>
      <c r="O151" s="11"/>
      <c r="P151" s="11"/>
      <c r="Q151" s="11"/>
      <c r="R151" s="11"/>
      <c r="CB151" s="11"/>
      <c r="CE151" s="11"/>
      <c r="CF151" s="11"/>
    </row>
    <row r="152" spans="4:84" x14ac:dyDescent="0.25">
      <c r="D152" s="11"/>
      <c r="E152" s="11"/>
      <c r="F152" s="11"/>
      <c r="G152" s="11"/>
      <c r="H152" s="11"/>
      <c r="I152" s="11"/>
      <c r="J152" s="11"/>
      <c r="N152" s="11"/>
      <c r="O152" s="11"/>
      <c r="P152" s="11"/>
      <c r="Q152" s="11"/>
      <c r="R152" s="11"/>
      <c r="CB152" s="11"/>
      <c r="CE152" s="11"/>
      <c r="CF152" s="11"/>
    </row>
    <row r="153" spans="4:84" x14ac:dyDescent="0.25">
      <c r="D153" s="11"/>
      <c r="E153" s="11"/>
      <c r="F153" s="11"/>
      <c r="G153" s="11"/>
      <c r="H153" s="11"/>
      <c r="I153" s="11"/>
      <c r="J153" s="11"/>
      <c r="N153" s="11"/>
      <c r="O153" s="11"/>
      <c r="P153" s="11"/>
      <c r="Q153" s="11"/>
      <c r="R153" s="11"/>
      <c r="CB153" s="11"/>
      <c r="CE153" s="11"/>
      <c r="CF153" s="11"/>
    </row>
    <row r="154" spans="4:84" x14ac:dyDescent="0.25">
      <c r="D154" s="11"/>
      <c r="E154" s="11"/>
      <c r="F154" s="11"/>
      <c r="G154" s="11"/>
      <c r="H154" s="11"/>
      <c r="I154" s="11"/>
      <c r="J154" s="11"/>
      <c r="N154" s="11"/>
      <c r="O154" s="11"/>
      <c r="P154" s="11"/>
      <c r="Q154" s="11"/>
      <c r="R154" s="11"/>
      <c r="CB154" s="11"/>
      <c r="CE154" s="11"/>
      <c r="CF154" s="11"/>
    </row>
    <row r="155" spans="4:84" x14ac:dyDescent="0.25">
      <c r="D155" s="11"/>
      <c r="E155" s="11"/>
      <c r="F155" s="11"/>
      <c r="G155" s="11"/>
      <c r="H155" s="11"/>
      <c r="I155" s="11"/>
      <c r="J155" s="11"/>
      <c r="N155" s="11"/>
      <c r="O155" s="11"/>
      <c r="P155" s="11"/>
      <c r="Q155" s="11"/>
      <c r="R155" s="11"/>
      <c r="CB155" s="11"/>
      <c r="CE155" s="11"/>
      <c r="CF155" s="11"/>
    </row>
    <row r="156" spans="4:84" x14ac:dyDescent="0.25">
      <c r="D156" s="11"/>
      <c r="E156" s="11"/>
      <c r="F156" s="11"/>
      <c r="G156" s="11"/>
      <c r="H156" s="11"/>
      <c r="I156" s="11"/>
      <c r="J156" s="11"/>
      <c r="N156" s="11"/>
      <c r="O156" s="11"/>
      <c r="P156" s="11"/>
      <c r="Q156" s="11"/>
      <c r="R156" s="11"/>
      <c r="CB156" s="11"/>
      <c r="CE156" s="11"/>
      <c r="CF156" s="11"/>
    </row>
    <row r="157" spans="4:84" x14ac:dyDescent="0.25">
      <c r="D157" s="11"/>
      <c r="E157" s="11"/>
      <c r="F157" s="11"/>
      <c r="G157" s="11"/>
      <c r="H157" s="11"/>
      <c r="I157" s="11"/>
      <c r="J157" s="11"/>
      <c r="N157" s="11"/>
      <c r="O157" s="11"/>
      <c r="P157" s="11"/>
      <c r="Q157" s="11"/>
      <c r="R157" s="11"/>
      <c r="CB157" s="11"/>
      <c r="CE157" s="11"/>
      <c r="CF157" s="11"/>
    </row>
    <row r="158" spans="4:84" x14ac:dyDescent="0.25">
      <c r="D158" s="11"/>
      <c r="E158" s="11"/>
      <c r="F158" s="11"/>
      <c r="G158" s="11"/>
      <c r="H158" s="11"/>
      <c r="I158" s="11"/>
      <c r="J158" s="11"/>
      <c r="N158" s="11"/>
      <c r="O158" s="11"/>
      <c r="P158" s="11"/>
      <c r="Q158" s="11"/>
      <c r="R158" s="11"/>
      <c r="CB158" s="11"/>
      <c r="CE158" s="11"/>
      <c r="CF158" s="11"/>
    </row>
    <row r="159" spans="4:84" x14ac:dyDescent="0.25">
      <c r="D159" s="11"/>
      <c r="E159" s="11"/>
      <c r="F159" s="11"/>
      <c r="G159" s="11"/>
      <c r="H159" s="11"/>
      <c r="I159" s="11"/>
      <c r="J159" s="11"/>
      <c r="N159" s="11"/>
      <c r="O159" s="11"/>
      <c r="P159" s="11"/>
      <c r="Q159" s="11"/>
      <c r="R159" s="11"/>
      <c r="CB159" s="11"/>
      <c r="CE159" s="11"/>
      <c r="CF159" s="11"/>
    </row>
    <row r="160" spans="4:84" x14ac:dyDescent="0.25">
      <c r="D160" s="11"/>
      <c r="E160" s="11"/>
      <c r="F160" s="11"/>
      <c r="G160" s="11"/>
      <c r="H160" s="11"/>
      <c r="I160" s="11"/>
      <c r="J160" s="11"/>
      <c r="N160" s="11"/>
      <c r="O160" s="11"/>
      <c r="P160" s="11"/>
      <c r="Q160" s="11"/>
      <c r="R160" s="11"/>
      <c r="CB160" s="11"/>
      <c r="CE160" s="11"/>
      <c r="CF160" s="11"/>
    </row>
    <row r="161" spans="4:84" x14ac:dyDescent="0.25">
      <c r="D161" s="11"/>
      <c r="E161" s="11"/>
      <c r="F161" s="11"/>
      <c r="G161" s="11"/>
      <c r="H161" s="11"/>
      <c r="I161" s="11"/>
      <c r="J161" s="11"/>
      <c r="N161" s="11"/>
      <c r="O161" s="11"/>
      <c r="P161" s="11"/>
      <c r="Q161" s="11"/>
      <c r="R161" s="11"/>
      <c r="CB161" s="11"/>
      <c r="CE161" s="11"/>
      <c r="CF161" s="11"/>
    </row>
    <row r="162" spans="4:84" x14ac:dyDescent="0.25">
      <c r="D162" s="11"/>
      <c r="E162" s="11"/>
      <c r="F162" s="11"/>
      <c r="G162" s="11"/>
      <c r="H162" s="11"/>
      <c r="I162" s="11"/>
      <c r="J162" s="11"/>
      <c r="N162" s="11"/>
      <c r="O162" s="11"/>
      <c r="P162" s="11"/>
      <c r="Q162" s="11"/>
      <c r="R162" s="11"/>
      <c r="CB162" s="11"/>
      <c r="CE162" s="11"/>
      <c r="CF162" s="11"/>
    </row>
    <row r="163" spans="4:84" x14ac:dyDescent="0.25">
      <c r="D163" s="11"/>
      <c r="E163" s="11"/>
      <c r="F163" s="11"/>
      <c r="G163" s="11"/>
      <c r="H163" s="11"/>
      <c r="I163" s="11"/>
      <c r="J163" s="11"/>
      <c r="N163" s="11"/>
      <c r="O163" s="11"/>
      <c r="P163" s="11"/>
      <c r="Q163" s="11"/>
      <c r="R163" s="11"/>
      <c r="CB163" s="11"/>
      <c r="CE163" s="11"/>
      <c r="CF163" s="11"/>
    </row>
    <row r="164" spans="4:84" x14ac:dyDescent="0.25">
      <c r="D164" s="11"/>
      <c r="E164" s="11"/>
      <c r="F164" s="11"/>
      <c r="G164" s="11"/>
      <c r="H164" s="11"/>
      <c r="I164" s="11"/>
      <c r="J164" s="11"/>
      <c r="N164" s="11"/>
      <c r="O164" s="11"/>
      <c r="P164" s="11"/>
      <c r="Q164" s="11"/>
      <c r="R164" s="11"/>
      <c r="CB164" s="11"/>
      <c r="CE164" s="11"/>
      <c r="CF164" s="11"/>
    </row>
    <row r="165" spans="4:84" x14ac:dyDescent="0.25">
      <c r="D165" s="11"/>
      <c r="E165" s="11"/>
      <c r="F165" s="11"/>
      <c r="G165" s="11"/>
      <c r="H165" s="11"/>
      <c r="I165" s="11"/>
      <c r="J165" s="11"/>
      <c r="N165" s="11"/>
      <c r="O165" s="11"/>
      <c r="P165" s="11"/>
      <c r="Q165" s="11"/>
      <c r="R165" s="11"/>
      <c r="CB165" s="11"/>
      <c r="CE165" s="11"/>
      <c r="CF165" s="11"/>
    </row>
    <row r="166" spans="4:84" x14ac:dyDescent="0.25">
      <c r="D166" s="11"/>
      <c r="E166" s="11"/>
      <c r="F166" s="11"/>
      <c r="G166" s="11"/>
      <c r="H166" s="11"/>
      <c r="I166" s="11"/>
      <c r="J166" s="11"/>
      <c r="N166" s="11"/>
      <c r="O166" s="11"/>
      <c r="P166" s="11"/>
      <c r="Q166" s="11"/>
      <c r="R166" s="11"/>
      <c r="CB166" s="11"/>
      <c r="CE166" s="11"/>
      <c r="CF166" s="11"/>
    </row>
    <row r="167" spans="4:84" x14ac:dyDescent="0.25">
      <c r="D167" s="11"/>
      <c r="E167" s="11"/>
      <c r="F167" s="11"/>
      <c r="G167" s="11"/>
      <c r="H167" s="11"/>
      <c r="I167" s="11"/>
      <c r="J167" s="11"/>
      <c r="N167" s="11"/>
      <c r="O167" s="11"/>
      <c r="P167" s="11"/>
      <c r="Q167" s="11"/>
      <c r="R167" s="11"/>
      <c r="CB167" s="11"/>
      <c r="CE167" s="11"/>
      <c r="CF167" s="11"/>
    </row>
    <row r="168" spans="4:84" x14ac:dyDescent="0.25">
      <c r="D168" s="11"/>
      <c r="E168" s="11"/>
      <c r="F168" s="11"/>
      <c r="G168" s="11"/>
      <c r="H168" s="11"/>
      <c r="I168" s="11"/>
      <c r="J168" s="11"/>
      <c r="N168" s="11"/>
      <c r="O168" s="11"/>
      <c r="P168" s="11"/>
      <c r="Q168" s="11"/>
      <c r="R168" s="11"/>
      <c r="CB168" s="11"/>
      <c r="CE168" s="11"/>
      <c r="CF168" s="11"/>
    </row>
    <row r="169" spans="4:84" x14ac:dyDescent="0.25">
      <c r="D169" s="11"/>
      <c r="E169" s="11"/>
      <c r="F169" s="11"/>
      <c r="G169" s="11"/>
      <c r="H169" s="11"/>
      <c r="I169" s="11"/>
      <c r="J169" s="11"/>
      <c r="N169" s="11"/>
      <c r="O169" s="11"/>
      <c r="P169" s="11"/>
      <c r="Q169" s="11"/>
      <c r="R169" s="11"/>
      <c r="CB169" s="11"/>
      <c r="CE169" s="11"/>
      <c r="CF169" s="11"/>
    </row>
    <row r="170" spans="4:84" x14ac:dyDescent="0.25">
      <c r="D170" s="11"/>
      <c r="E170" s="11"/>
      <c r="F170" s="11"/>
      <c r="G170" s="11"/>
      <c r="H170" s="11"/>
      <c r="I170" s="11"/>
      <c r="J170" s="11"/>
      <c r="N170" s="11"/>
      <c r="O170" s="11"/>
      <c r="P170" s="11"/>
      <c r="Q170" s="11"/>
      <c r="R170" s="11"/>
      <c r="CB170" s="11"/>
      <c r="CE170" s="11"/>
      <c r="CF170" s="11"/>
    </row>
    <row r="171" spans="4:84" x14ac:dyDescent="0.25">
      <c r="D171" s="11"/>
      <c r="E171" s="11"/>
      <c r="F171" s="11"/>
      <c r="G171" s="11"/>
      <c r="H171" s="11"/>
      <c r="I171" s="11"/>
      <c r="J171" s="11"/>
      <c r="N171" s="11"/>
      <c r="O171" s="11"/>
      <c r="P171" s="11"/>
      <c r="Q171" s="11"/>
      <c r="R171" s="11"/>
      <c r="CB171" s="11"/>
      <c r="CE171" s="11"/>
      <c r="CF171" s="11"/>
    </row>
    <row r="172" spans="4:84" x14ac:dyDescent="0.25">
      <c r="D172" s="11"/>
      <c r="E172" s="11"/>
      <c r="F172" s="11"/>
      <c r="G172" s="11"/>
      <c r="H172" s="11"/>
      <c r="I172" s="11"/>
      <c r="J172" s="11"/>
      <c r="N172" s="11"/>
      <c r="O172" s="11"/>
      <c r="P172" s="11"/>
      <c r="Q172" s="11"/>
      <c r="R172" s="11"/>
      <c r="CB172" s="11"/>
      <c r="CE172" s="11"/>
      <c r="CF172" s="11"/>
    </row>
    <row r="173" spans="4:84" x14ac:dyDescent="0.25">
      <c r="D173" s="11"/>
      <c r="E173" s="11"/>
      <c r="F173" s="11"/>
      <c r="G173" s="11"/>
      <c r="H173" s="11"/>
      <c r="I173" s="11"/>
      <c r="J173" s="11"/>
      <c r="N173" s="11"/>
      <c r="O173" s="11"/>
      <c r="P173" s="11"/>
      <c r="Q173" s="11"/>
      <c r="R173" s="11"/>
      <c r="CB173" s="11"/>
      <c r="CE173" s="11"/>
      <c r="CF173" s="11"/>
    </row>
    <row r="174" spans="4:84" x14ac:dyDescent="0.25">
      <c r="D174" s="11"/>
      <c r="E174" s="11"/>
      <c r="F174" s="11"/>
      <c r="G174" s="11"/>
      <c r="H174" s="11"/>
      <c r="I174" s="11"/>
      <c r="J174" s="11"/>
      <c r="N174" s="11"/>
      <c r="O174" s="11"/>
      <c r="P174" s="11"/>
      <c r="Q174" s="11"/>
      <c r="R174" s="11"/>
      <c r="CB174" s="11"/>
      <c r="CE174" s="11"/>
      <c r="CF174" s="11"/>
    </row>
    <row r="175" spans="4:84" x14ac:dyDescent="0.25">
      <c r="D175" s="11"/>
      <c r="E175" s="11"/>
      <c r="F175" s="11"/>
      <c r="G175" s="11"/>
      <c r="H175" s="11"/>
      <c r="I175" s="11"/>
      <c r="J175" s="11"/>
      <c r="N175" s="11"/>
      <c r="O175" s="11"/>
      <c r="P175" s="11"/>
      <c r="Q175" s="11"/>
      <c r="R175" s="11"/>
      <c r="CB175" s="11"/>
      <c r="CE175" s="11"/>
      <c r="CF175" s="11"/>
    </row>
    <row r="176" spans="4:84" x14ac:dyDescent="0.25">
      <c r="D176" s="11"/>
      <c r="E176" s="11"/>
      <c r="F176" s="11"/>
      <c r="G176" s="11"/>
      <c r="H176" s="11"/>
      <c r="I176" s="11"/>
      <c r="J176" s="11"/>
      <c r="N176" s="11"/>
      <c r="O176" s="11"/>
      <c r="P176" s="11"/>
      <c r="Q176" s="11"/>
      <c r="R176" s="11"/>
      <c r="CB176" s="11"/>
      <c r="CE176" s="11"/>
      <c r="CF176" s="11"/>
    </row>
    <row r="177" spans="4:84" x14ac:dyDescent="0.25">
      <c r="D177" s="11"/>
      <c r="E177" s="11"/>
      <c r="F177" s="11"/>
      <c r="G177" s="11"/>
      <c r="H177" s="11"/>
      <c r="I177" s="11"/>
      <c r="J177" s="11"/>
      <c r="N177" s="11"/>
      <c r="O177" s="11"/>
      <c r="P177" s="11"/>
      <c r="Q177" s="11"/>
      <c r="R177" s="11"/>
      <c r="CB177" s="11"/>
      <c r="CE177" s="11"/>
      <c r="CF177" s="11"/>
    </row>
    <row r="178" spans="4:84" x14ac:dyDescent="0.25">
      <c r="D178" s="11"/>
      <c r="E178" s="11"/>
      <c r="F178" s="11"/>
      <c r="G178" s="11"/>
      <c r="H178" s="11"/>
      <c r="I178" s="11"/>
      <c r="J178" s="11"/>
      <c r="N178" s="11"/>
      <c r="O178" s="11"/>
      <c r="P178" s="11"/>
      <c r="Q178" s="11"/>
      <c r="R178" s="11"/>
      <c r="CB178" s="11"/>
      <c r="CE178" s="11"/>
      <c r="CF178" s="11"/>
    </row>
    <row r="179" spans="4:84" x14ac:dyDescent="0.25">
      <c r="D179" s="11"/>
      <c r="E179" s="11"/>
      <c r="F179" s="11"/>
      <c r="G179" s="11"/>
      <c r="H179" s="11"/>
      <c r="I179" s="11"/>
      <c r="J179" s="11"/>
      <c r="N179" s="11"/>
      <c r="O179" s="11"/>
      <c r="P179" s="11"/>
      <c r="Q179" s="11"/>
      <c r="R179" s="11"/>
      <c r="CB179" s="11"/>
      <c r="CE179" s="11"/>
      <c r="CF179" s="11"/>
    </row>
    <row r="180" spans="4:84" x14ac:dyDescent="0.25">
      <c r="D180" s="11"/>
      <c r="E180" s="11"/>
      <c r="F180" s="11"/>
      <c r="G180" s="11"/>
      <c r="H180" s="11"/>
      <c r="I180" s="11"/>
      <c r="J180" s="11"/>
      <c r="N180" s="11"/>
      <c r="O180" s="11"/>
      <c r="P180" s="11"/>
      <c r="Q180" s="11"/>
      <c r="R180" s="11"/>
      <c r="CB180" s="11"/>
      <c r="CE180" s="11"/>
      <c r="CF180" s="11"/>
    </row>
    <row r="181" spans="4:84" x14ac:dyDescent="0.25">
      <c r="D181" s="11"/>
      <c r="E181" s="11"/>
      <c r="F181" s="11"/>
      <c r="G181" s="11"/>
      <c r="H181" s="11"/>
      <c r="I181" s="11"/>
      <c r="J181" s="11"/>
      <c r="N181" s="11"/>
      <c r="O181" s="11"/>
      <c r="P181" s="11"/>
      <c r="Q181" s="11"/>
      <c r="R181" s="11"/>
      <c r="CB181" s="11"/>
      <c r="CE181" s="11"/>
      <c r="CF181" s="11"/>
    </row>
    <row r="182" spans="4:84" x14ac:dyDescent="0.25">
      <c r="D182" s="11"/>
      <c r="E182" s="11"/>
      <c r="F182" s="11"/>
      <c r="G182" s="11"/>
      <c r="H182" s="11"/>
      <c r="I182" s="11"/>
      <c r="J182" s="11"/>
      <c r="N182" s="11"/>
      <c r="O182" s="11"/>
      <c r="P182" s="11"/>
      <c r="Q182" s="11"/>
      <c r="R182" s="11"/>
      <c r="CB182" s="11"/>
      <c r="CE182" s="11"/>
      <c r="CF182" s="11"/>
    </row>
    <row r="183" spans="4:84" x14ac:dyDescent="0.25">
      <c r="D183" s="11"/>
      <c r="E183" s="11"/>
      <c r="F183" s="11"/>
      <c r="G183" s="11"/>
      <c r="H183" s="11"/>
      <c r="I183" s="11"/>
      <c r="J183" s="11"/>
      <c r="N183" s="11"/>
      <c r="O183" s="11"/>
      <c r="P183" s="11"/>
      <c r="Q183" s="11"/>
      <c r="R183" s="11"/>
      <c r="CB183" s="11"/>
      <c r="CE183" s="11"/>
      <c r="CF183" s="11"/>
    </row>
    <row r="184" spans="4:84" x14ac:dyDescent="0.25">
      <c r="D184" s="11"/>
      <c r="E184" s="11"/>
      <c r="F184" s="11"/>
      <c r="G184" s="11"/>
      <c r="H184" s="11"/>
      <c r="I184" s="11"/>
      <c r="J184" s="11"/>
      <c r="N184" s="11"/>
      <c r="O184" s="11"/>
      <c r="P184" s="11"/>
      <c r="Q184" s="11"/>
      <c r="R184" s="11"/>
      <c r="CB184" s="11"/>
      <c r="CE184" s="11"/>
      <c r="CF184" s="11"/>
    </row>
    <row r="185" spans="4:84" x14ac:dyDescent="0.25">
      <c r="D185" s="11"/>
      <c r="E185" s="11"/>
      <c r="F185" s="11"/>
      <c r="G185" s="11"/>
      <c r="H185" s="11"/>
      <c r="I185" s="11"/>
      <c r="J185" s="11"/>
      <c r="N185" s="11"/>
      <c r="O185" s="11"/>
      <c r="P185" s="11"/>
      <c r="Q185" s="11"/>
      <c r="R185" s="11"/>
      <c r="CB185" s="11"/>
      <c r="CE185" s="11"/>
      <c r="CF185" s="11"/>
    </row>
    <row r="186" spans="4:84" x14ac:dyDescent="0.25">
      <c r="D186" s="11"/>
      <c r="E186" s="11"/>
      <c r="F186" s="11"/>
      <c r="G186" s="11"/>
      <c r="H186" s="11"/>
      <c r="I186" s="11"/>
      <c r="J186" s="11"/>
      <c r="N186" s="11"/>
      <c r="O186" s="11"/>
      <c r="P186" s="11"/>
      <c r="Q186" s="11"/>
      <c r="R186" s="11"/>
      <c r="CB186" s="11"/>
      <c r="CE186" s="11"/>
      <c r="CF186" s="11"/>
    </row>
    <row r="187" spans="4:84" x14ac:dyDescent="0.25">
      <c r="D187" s="11"/>
      <c r="E187" s="11"/>
      <c r="F187" s="11"/>
      <c r="G187" s="11"/>
      <c r="H187" s="11"/>
      <c r="I187" s="11"/>
      <c r="J187" s="11"/>
      <c r="N187" s="11"/>
      <c r="O187" s="11"/>
      <c r="P187" s="11"/>
      <c r="Q187" s="11"/>
      <c r="R187" s="11"/>
      <c r="CB187" s="11"/>
      <c r="CE187" s="11"/>
      <c r="CF187" s="11"/>
    </row>
    <row r="188" spans="4:84" x14ac:dyDescent="0.25">
      <c r="D188" s="11"/>
      <c r="E188" s="11"/>
      <c r="F188" s="11"/>
      <c r="G188" s="11"/>
      <c r="H188" s="11"/>
      <c r="I188" s="11"/>
      <c r="J188" s="11"/>
      <c r="N188" s="11"/>
      <c r="O188" s="11"/>
      <c r="P188" s="11"/>
      <c r="Q188" s="11"/>
      <c r="R188" s="11"/>
      <c r="CB188" s="11"/>
      <c r="CE188" s="11"/>
      <c r="CF188" s="11"/>
    </row>
    <row r="189" spans="4:84" x14ac:dyDescent="0.25">
      <c r="D189" s="11"/>
      <c r="E189" s="11"/>
      <c r="F189" s="11"/>
      <c r="G189" s="11"/>
      <c r="H189" s="11"/>
      <c r="I189" s="11"/>
      <c r="J189" s="11"/>
      <c r="N189" s="11"/>
      <c r="O189" s="11"/>
      <c r="P189" s="11"/>
      <c r="Q189" s="11"/>
      <c r="R189" s="11"/>
      <c r="CB189" s="11"/>
      <c r="CE189" s="11"/>
      <c r="CF189" s="11"/>
    </row>
    <row r="190" spans="4:84" x14ac:dyDescent="0.25">
      <c r="D190" s="11"/>
      <c r="E190" s="11"/>
      <c r="F190" s="11"/>
      <c r="G190" s="11"/>
      <c r="H190" s="11"/>
      <c r="I190" s="11"/>
      <c r="J190" s="11"/>
      <c r="N190" s="11"/>
      <c r="O190" s="11"/>
      <c r="P190" s="11"/>
      <c r="Q190" s="11"/>
      <c r="R190" s="11"/>
      <c r="CB190" s="11"/>
      <c r="CE190" s="11"/>
      <c r="CF190" s="11"/>
    </row>
    <row r="191" spans="4:84" x14ac:dyDescent="0.25">
      <c r="D191" s="11"/>
      <c r="E191" s="11"/>
      <c r="F191" s="11"/>
      <c r="G191" s="11"/>
      <c r="H191" s="11"/>
      <c r="I191" s="11"/>
      <c r="J191" s="11"/>
      <c r="N191" s="11"/>
      <c r="O191" s="11"/>
      <c r="P191" s="11"/>
      <c r="Q191" s="11"/>
      <c r="R191" s="11"/>
      <c r="CB191" s="11"/>
      <c r="CE191" s="11"/>
      <c r="CF191" s="11"/>
    </row>
    <row r="192" spans="4:84" x14ac:dyDescent="0.25">
      <c r="D192" s="11"/>
      <c r="E192" s="11"/>
      <c r="F192" s="11"/>
      <c r="G192" s="11"/>
      <c r="H192" s="11"/>
      <c r="I192" s="11"/>
      <c r="J192" s="11"/>
      <c r="N192" s="11"/>
      <c r="O192" s="11"/>
      <c r="P192" s="11"/>
      <c r="Q192" s="11"/>
      <c r="R192" s="11"/>
      <c r="CB192" s="11"/>
      <c r="CE192" s="11"/>
      <c r="CF192" s="11"/>
    </row>
    <row r="193" spans="4:84" x14ac:dyDescent="0.25">
      <c r="D193" s="11"/>
      <c r="E193" s="11"/>
      <c r="F193" s="11"/>
      <c r="G193" s="11"/>
      <c r="H193" s="11"/>
      <c r="I193" s="11"/>
      <c r="J193" s="11"/>
      <c r="N193" s="11"/>
      <c r="O193" s="11"/>
      <c r="P193" s="11"/>
      <c r="Q193" s="11"/>
      <c r="R193" s="11"/>
      <c r="CB193" s="11"/>
      <c r="CE193" s="11"/>
      <c r="CF193" s="11"/>
    </row>
    <row r="194" spans="4:84" x14ac:dyDescent="0.25">
      <c r="D194" s="11"/>
      <c r="E194" s="11"/>
      <c r="F194" s="11"/>
      <c r="G194" s="11"/>
      <c r="H194" s="11"/>
      <c r="I194" s="11"/>
      <c r="J194" s="11"/>
      <c r="N194" s="11"/>
      <c r="O194" s="11"/>
      <c r="P194" s="11"/>
      <c r="Q194" s="11"/>
      <c r="R194" s="11"/>
      <c r="CB194" s="11"/>
      <c r="CE194" s="11"/>
      <c r="CF194" s="11"/>
    </row>
    <row r="195" spans="4:84" x14ac:dyDescent="0.25">
      <c r="D195" s="11"/>
      <c r="E195" s="11"/>
      <c r="F195" s="11"/>
      <c r="G195" s="11"/>
      <c r="H195" s="11"/>
      <c r="I195" s="11"/>
      <c r="J195" s="11"/>
      <c r="N195" s="11"/>
      <c r="O195" s="11"/>
      <c r="P195" s="11"/>
      <c r="Q195" s="11"/>
      <c r="R195" s="11"/>
      <c r="CB195" s="11"/>
      <c r="CE195" s="11"/>
      <c r="CF195" s="11"/>
    </row>
    <row r="196" spans="4:84" x14ac:dyDescent="0.25">
      <c r="D196" s="11"/>
      <c r="E196" s="11"/>
      <c r="F196" s="11"/>
      <c r="G196" s="11"/>
      <c r="H196" s="11"/>
      <c r="I196" s="11"/>
      <c r="J196" s="11"/>
      <c r="N196" s="11"/>
      <c r="O196" s="11"/>
      <c r="P196" s="11"/>
      <c r="Q196" s="11"/>
      <c r="R196" s="11"/>
      <c r="CB196" s="11"/>
      <c r="CE196" s="11"/>
      <c r="CF196" s="11"/>
    </row>
    <row r="197" spans="4:84" x14ac:dyDescent="0.25">
      <c r="D197" s="11"/>
      <c r="E197" s="11"/>
      <c r="F197" s="11"/>
      <c r="G197" s="11"/>
      <c r="H197" s="11"/>
      <c r="I197" s="11"/>
      <c r="J197" s="11"/>
      <c r="N197" s="11"/>
      <c r="O197" s="11"/>
      <c r="P197" s="11"/>
      <c r="Q197" s="11"/>
      <c r="R197" s="11"/>
      <c r="CB197" s="11"/>
      <c r="CE197" s="11"/>
      <c r="CF197" s="11"/>
    </row>
    <row r="198" spans="4:84" x14ac:dyDescent="0.25">
      <c r="D198" s="11"/>
      <c r="E198" s="11"/>
      <c r="F198" s="11"/>
      <c r="G198" s="11"/>
      <c r="H198" s="11"/>
      <c r="I198" s="11"/>
      <c r="J198" s="11"/>
      <c r="N198" s="11"/>
      <c r="O198" s="11"/>
      <c r="P198" s="11"/>
      <c r="Q198" s="11"/>
      <c r="R198" s="11"/>
      <c r="CB198" s="11"/>
      <c r="CE198" s="11"/>
      <c r="CF198" s="11"/>
    </row>
    <row r="199" spans="4:84" x14ac:dyDescent="0.25">
      <c r="D199" s="11"/>
      <c r="E199" s="11"/>
      <c r="F199" s="11"/>
      <c r="G199" s="11"/>
      <c r="H199" s="11"/>
      <c r="I199" s="11"/>
      <c r="J199" s="11"/>
      <c r="N199" s="11"/>
      <c r="O199" s="11"/>
      <c r="P199" s="11"/>
      <c r="Q199" s="11"/>
      <c r="R199" s="11"/>
      <c r="CB199" s="11"/>
      <c r="CE199" s="11"/>
      <c r="CF199" s="11"/>
    </row>
    <row r="200" spans="4:84" x14ac:dyDescent="0.25">
      <c r="D200" s="11"/>
      <c r="E200" s="11"/>
      <c r="F200" s="11"/>
      <c r="G200" s="11"/>
      <c r="H200" s="11"/>
      <c r="I200" s="11"/>
      <c r="J200" s="11"/>
      <c r="N200" s="11"/>
      <c r="O200" s="11"/>
      <c r="P200" s="11"/>
      <c r="Q200" s="11"/>
      <c r="R200" s="11"/>
      <c r="CB200" s="11"/>
      <c r="CE200" s="11"/>
      <c r="CF200" s="11"/>
    </row>
    <row r="201" spans="4:84" x14ac:dyDescent="0.25">
      <c r="D201" s="11"/>
      <c r="E201" s="11"/>
      <c r="F201" s="11"/>
      <c r="G201" s="11"/>
      <c r="H201" s="11"/>
      <c r="I201" s="11"/>
      <c r="J201" s="11"/>
      <c r="N201" s="11"/>
      <c r="O201" s="11"/>
      <c r="P201" s="11"/>
      <c r="Q201" s="11"/>
      <c r="R201" s="11"/>
      <c r="CB201" s="11"/>
      <c r="CE201" s="11"/>
      <c r="CF201" s="11"/>
    </row>
    <row r="202" spans="4:84" x14ac:dyDescent="0.25">
      <c r="D202" s="11"/>
      <c r="E202" s="11"/>
      <c r="F202" s="11"/>
      <c r="G202" s="11"/>
      <c r="H202" s="11"/>
      <c r="I202" s="11"/>
      <c r="J202" s="11"/>
      <c r="N202" s="11"/>
      <c r="O202" s="11"/>
      <c r="P202" s="11"/>
      <c r="Q202" s="11"/>
      <c r="R202" s="11"/>
      <c r="CB202" s="11"/>
      <c r="CE202" s="11"/>
      <c r="CF202" s="11"/>
    </row>
    <row r="203" spans="4:84" x14ac:dyDescent="0.25">
      <c r="D203" s="11"/>
      <c r="E203" s="11"/>
      <c r="F203" s="11"/>
      <c r="G203" s="11"/>
      <c r="H203" s="11"/>
      <c r="I203" s="11"/>
      <c r="J203" s="11"/>
      <c r="N203" s="11"/>
      <c r="O203" s="11"/>
      <c r="P203" s="11"/>
      <c r="Q203" s="11"/>
      <c r="R203" s="11"/>
      <c r="CB203" s="11"/>
      <c r="CE203" s="11"/>
      <c r="CF203" s="11"/>
    </row>
    <row r="204" spans="4:84" x14ac:dyDescent="0.25">
      <c r="D204" s="11"/>
      <c r="E204" s="11"/>
      <c r="F204" s="11"/>
      <c r="G204" s="11"/>
      <c r="H204" s="11"/>
      <c r="I204" s="11"/>
      <c r="J204" s="11"/>
      <c r="N204" s="11"/>
      <c r="O204" s="11"/>
      <c r="P204" s="11"/>
      <c r="Q204" s="11"/>
      <c r="R204" s="11"/>
      <c r="CB204" s="11"/>
      <c r="CE204" s="11"/>
      <c r="CF204" s="11"/>
    </row>
    <row r="205" spans="4:84" x14ac:dyDescent="0.25">
      <c r="D205" s="11"/>
      <c r="E205" s="11"/>
      <c r="F205" s="11"/>
      <c r="G205" s="11"/>
      <c r="H205" s="11"/>
      <c r="I205" s="11"/>
      <c r="J205" s="11"/>
      <c r="N205" s="11"/>
      <c r="O205" s="11"/>
      <c r="P205" s="11"/>
      <c r="Q205" s="11"/>
      <c r="R205" s="11"/>
      <c r="CB205" s="11"/>
      <c r="CE205" s="11"/>
      <c r="CF205" s="11"/>
    </row>
    <row r="206" spans="4:84" x14ac:dyDescent="0.25">
      <c r="D206" s="11"/>
      <c r="E206" s="11"/>
      <c r="F206" s="11"/>
      <c r="G206" s="11"/>
      <c r="H206" s="11"/>
      <c r="I206" s="11"/>
      <c r="J206" s="11"/>
      <c r="N206" s="11"/>
      <c r="O206" s="11"/>
      <c r="P206" s="11"/>
      <c r="Q206" s="11"/>
      <c r="R206" s="11"/>
      <c r="CB206" s="11"/>
      <c r="CE206" s="11"/>
      <c r="CF206" s="11"/>
    </row>
    <row r="207" spans="4:84" x14ac:dyDescent="0.25">
      <c r="D207" s="11"/>
      <c r="E207" s="11"/>
      <c r="F207" s="11"/>
      <c r="G207" s="11"/>
      <c r="H207" s="11"/>
      <c r="I207" s="11"/>
      <c r="J207" s="11"/>
      <c r="N207" s="11"/>
      <c r="O207" s="11"/>
      <c r="P207" s="11"/>
      <c r="Q207" s="11"/>
      <c r="R207" s="11"/>
      <c r="CB207" s="11"/>
      <c r="CE207" s="11"/>
      <c r="CF207" s="11"/>
    </row>
    <row r="208" spans="4:84" x14ac:dyDescent="0.25">
      <c r="D208" s="11"/>
      <c r="E208" s="11"/>
      <c r="F208" s="11"/>
      <c r="G208" s="11"/>
      <c r="H208" s="11"/>
      <c r="I208" s="11"/>
      <c r="J208" s="11"/>
      <c r="N208" s="11"/>
      <c r="O208" s="11"/>
      <c r="P208" s="11"/>
      <c r="Q208" s="11"/>
      <c r="R208" s="11"/>
      <c r="CB208" s="11"/>
      <c r="CE208" s="11"/>
      <c r="CF208" s="11"/>
    </row>
    <row r="209" spans="4:84" x14ac:dyDescent="0.25">
      <c r="D209" s="11"/>
      <c r="E209" s="11"/>
      <c r="F209" s="11"/>
      <c r="G209" s="11"/>
      <c r="H209" s="11"/>
      <c r="I209" s="11"/>
      <c r="J209" s="11"/>
      <c r="N209" s="11"/>
      <c r="O209" s="11"/>
      <c r="P209" s="11"/>
      <c r="Q209" s="11"/>
      <c r="R209" s="11"/>
      <c r="CB209" s="11"/>
      <c r="CE209" s="11"/>
      <c r="CF209" s="11"/>
    </row>
    <row r="210" spans="4:84" x14ac:dyDescent="0.25">
      <c r="D210" s="11"/>
      <c r="E210" s="11"/>
      <c r="F210" s="11"/>
      <c r="G210" s="11"/>
      <c r="H210" s="11"/>
      <c r="I210" s="11"/>
      <c r="J210" s="11"/>
      <c r="N210" s="11"/>
      <c r="O210" s="11"/>
      <c r="P210" s="11"/>
      <c r="Q210" s="11"/>
      <c r="R210" s="11"/>
      <c r="CB210" s="11"/>
      <c r="CE210" s="11"/>
      <c r="CF210" s="11"/>
    </row>
    <row r="211" spans="4:84" x14ac:dyDescent="0.25">
      <c r="D211" s="11"/>
      <c r="E211" s="11"/>
      <c r="F211" s="11"/>
      <c r="G211" s="11"/>
      <c r="H211" s="11"/>
      <c r="I211" s="11"/>
      <c r="J211" s="11"/>
      <c r="N211" s="11"/>
      <c r="O211" s="11"/>
      <c r="P211" s="11"/>
      <c r="Q211" s="11"/>
      <c r="R211" s="11"/>
      <c r="CB211" s="11"/>
      <c r="CE211" s="11"/>
      <c r="CF211" s="11"/>
    </row>
    <row r="212" spans="4:84" x14ac:dyDescent="0.25">
      <c r="D212" s="11"/>
      <c r="E212" s="11"/>
      <c r="F212" s="11"/>
      <c r="G212" s="11"/>
      <c r="H212" s="11"/>
      <c r="I212" s="11"/>
      <c r="J212" s="11"/>
      <c r="N212" s="11"/>
      <c r="O212" s="11"/>
      <c r="P212" s="11"/>
      <c r="Q212" s="11"/>
      <c r="R212" s="11"/>
      <c r="CB212" s="11"/>
      <c r="CE212" s="11"/>
      <c r="CF212" s="11"/>
    </row>
    <row r="213" spans="4:84" x14ac:dyDescent="0.25">
      <c r="D213" s="11"/>
      <c r="E213" s="11"/>
      <c r="F213" s="11"/>
      <c r="G213" s="11"/>
      <c r="H213" s="11"/>
      <c r="I213" s="11"/>
      <c r="J213" s="11"/>
      <c r="N213" s="11"/>
      <c r="O213" s="11"/>
      <c r="P213" s="11"/>
      <c r="Q213" s="11"/>
      <c r="R213" s="11"/>
      <c r="CB213" s="11"/>
      <c r="CE213" s="11"/>
      <c r="CF213" s="11"/>
    </row>
    <row r="214" spans="4:84" x14ac:dyDescent="0.25">
      <c r="D214" s="11"/>
      <c r="E214" s="11"/>
      <c r="F214" s="11"/>
      <c r="G214" s="11"/>
      <c r="H214" s="11"/>
      <c r="I214" s="11"/>
      <c r="J214" s="11"/>
      <c r="N214" s="11"/>
      <c r="O214" s="11"/>
      <c r="P214" s="11"/>
      <c r="Q214" s="11"/>
      <c r="R214" s="11"/>
      <c r="CB214" s="11"/>
      <c r="CE214" s="11"/>
      <c r="CF214" s="11"/>
    </row>
    <row r="215" spans="4:84" x14ac:dyDescent="0.25">
      <c r="D215" s="11"/>
      <c r="E215" s="11"/>
      <c r="F215" s="11"/>
      <c r="G215" s="11"/>
      <c r="H215" s="11"/>
      <c r="I215" s="11"/>
      <c r="J215" s="11"/>
      <c r="N215" s="11"/>
      <c r="O215" s="11"/>
      <c r="P215" s="11"/>
      <c r="Q215" s="11"/>
      <c r="R215" s="11"/>
      <c r="CB215" s="11"/>
      <c r="CE215" s="11"/>
      <c r="CF215" s="11"/>
    </row>
    <row r="216" spans="4:84" x14ac:dyDescent="0.25">
      <c r="D216" s="11"/>
      <c r="E216" s="11"/>
      <c r="F216" s="11"/>
      <c r="G216" s="11"/>
      <c r="H216" s="11"/>
      <c r="I216" s="11"/>
      <c r="J216" s="11"/>
      <c r="N216" s="11"/>
      <c r="O216" s="11"/>
      <c r="P216" s="11"/>
      <c r="Q216" s="11"/>
      <c r="R216" s="11"/>
      <c r="CB216" s="11"/>
      <c r="CE216" s="11"/>
      <c r="CF216" s="11"/>
    </row>
    <row r="217" spans="4:84" x14ac:dyDescent="0.25">
      <c r="D217" s="11"/>
      <c r="E217" s="11"/>
      <c r="F217" s="11"/>
      <c r="G217" s="11"/>
      <c r="H217" s="11"/>
      <c r="I217" s="11"/>
      <c r="J217" s="11"/>
      <c r="N217" s="11"/>
      <c r="O217" s="11"/>
      <c r="P217" s="11"/>
      <c r="Q217" s="11"/>
      <c r="R217" s="11"/>
      <c r="CB217" s="11"/>
      <c r="CE217" s="11"/>
      <c r="CF217" s="11"/>
    </row>
    <row r="218" spans="4:84" x14ac:dyDescent="0.25">
      <c r="D218" s="11"/>
      <c r="E218" s="11"/>
      <c r="F218" s="11"/>
      <c r="G218" s="11"/>
      <c r="H218" s="11"/>
      <c r="I218" s="11"/>
      <c r="J218" s="11"/>
      <c r="N218" s="11"/>
      <c r="O218" s="11"/>
      <c r="P218" s="11"/>
      <c r="Q218" s="11"/>
      <c r="R218" s="11"/>
      <c r="CB218" s="11"/>
      <c r="CE218" s="11"/>
      <c r="CF218" s="11"/>
    </row>
    <row r="219" spans="4:84" x14ac:dyDescent="0.25">
      <c r="D219" s="11"/>
      <c r="E219" s="11"/>
      <c r="F219" s="11"/>
      <c r="G219" s="11"/>
      <c r="H219" s="11"/>
      <c r="I219" s="11"/>
      <c r="J219" s="11"/>
      <c r="N219" s="11"/>
      <c r="O219" s="11"/>
      <c r="P219" s="11"/>
      <c r="Q219" s="11"/>
      <c r="R219" s="11"/>
      <c r="CB219" s="11"/>
      <c r="CE219" s="11"/>
      <c r="CF219" s="11"/>
    </row>
    <row r="220" spans="4:84" x14ac:dyDescent="0.25">
      <c r="D220" s="11"/>
      <c r="E220" s="11"/>
      <c r="F220" s="11"/>
      <c r="G220" s="11"/>
      <c r="H220" s="11"/>
      <c r="I220" s="11"/>
      <c r="J220" s="11"/>
      <c r="N220" s="11"/>
      <c r="O220" s="11"/>
      <c r="P220" s="11"/>
      <c r="Q220" s="11"/>
      <c r="R220" s="11"/>
      <c r="CB220" s="11"/>
      <c r="CE220" s="11"/>
      <c r="CF220" s="11"/>
    </row>
    <row r="221" spans="4:84" x14ac:dyDescent="0.25">
      <c r="D221" s="11"/>
      <c r="E221" s="11"/>
      <c r="F221" s="11"/>
      <c r="G221" s="11"/>
      <c r="H221" s="11"/>
      <c r="I221" s="11"/>
      <c r="J221" s="11"/>
      <c r="N221" s="11"/>
      <c r="O221" s="11"/>
      <c r="P221" s="11"/>
      <c r="Q221" s="11"/>
      <c r="R221" s="11"/>
      <c r="CB221" s="11"/>
      <c r="CE221" s="11"/>
      <c r="CF221" s="11"/>
    </row>
    <row r="222" spans="4:84" x14ac:dyDescent="0.25">
      <c r="D222" s="11"/>
      <c r="E222" s="11"/>
      <c r="F222" s="11"/>
      <c r="G222" s="11"/>
      <c r="H222" s="11"/>
      <c r="I222" s="11"/>
      <c r="J222" s="11"/>
      <c r="N222" s="11"/>
      <c r="O222" s="11"/>
      <c r="P222" s="11"/>
      <c r="Q222" s="11"/>
      <c r="R222" s="11"/>
      <c r="CB222" s="11"/>
      <c r="CE222" s="11"/>
      <c r="CF222" s="11"/>
    </row>
    <row r="223" spans="4:84" x14ac:dyDescent="0.25">
      <c r="D223" s="11"/>
      <c r="E223" s="11"/>
      <c r="F223" s="11"/>
      <c r="G223" s="11"/>
      <c r="H223" s="11"/>
      <c r="I223" s="11"/>
      <c r="J223" s="11"/>
      <c r="N223" s="11"/>
      <c r="O223" s="11"/>
      <c r="P223" s="11"/>
      <c r="Q223" s="11"/>
      <c r="R223" s="11"/>
      <c r="CB223" s="11"/>
      <c r="CE223" s="11"/>
      <c r="CF223" s="11"/>
    </row>
    <row r="224" spans="4:84" x14ac:dyDescent="0.25">
      <c r="D224" s="11"/>
      <c r="E224" s="11"/>
      <c r="F224" s="11"/>
      <c r="G224" s="11"/>
      <c r="H224" s="11"/>
      <c r="I224" s="11"/>
      <c r="J224" s="11"/>
      <c r="N224" s="11"/>
      <c r="O224" s="11"/>
      <c r="P224" s="11"/>
      <c r="Q224" s="11"/>
      <c r="R224" s="11"/>
      <c r="CB224" s="11"/>
      <c r="CE224" s="11"/>
      <c r="CF224" s="11"/>
    </row>
    <row r="225" spans="4:84" x14ac:dyDescent="0.25">
      <c r="D225" s="11"/>
      <c r="E225" s="11"/>
      <c r="F225" s="11"/>
      <c r="G225" s="11"/>
      <c r="H225" s="11"/>
      <c r="I225" s="11"/>
      <c r="J225" s="11"/>
      <c r="N225" s="11"/>
      <c r="O225" s="11"/>
      <c r="P225" s="11"/>
      <c r="Q225" s="11"/>
      <c r="R225" s="11"/>
      <c r="CB225" s="11"/>
      <c r="CE225" s="11"/>
      <c r="CF225" s="11"/>
    </row>
    <row r="226" spans="4:84" x14ac:dyDescent="0.25">
      <c r="D226" s="11"/>
      <c r="E226" s="11"/>
      <c r="F226" s="11"/>
      <c r="G226" s="11"/>
      <c r="H226" s="11"/>
      <c r="I226" s="11"/>
      <c r="J226" s="11"/>
      <c r="N226" s="11"/>
      <c r="O226" s="11"/>
      <c r="P226" s="11"/>
      <c r="Q226" s="11"/>
      <c r="R226" s="11"/>
      <c r="CB226" s="11"/>
      <c r="CE226" s="11"/>
      <c r="CF226" s="11"/>
    </row>
    <row r="227" spans="4:84" x14ac:dyDescent="0.25">
      <c r="D227" s="11"/>
      <c r="E227" s="11"/>
      <c r="F227" s="11"/>
      <c r="G227" s="11"/>
      <c r="H227" s="11"/>
      <c r="I227" s="11"/>
      <c r="J227" s="11"/>
      <c r="N227" s="11"/>
      <c r="O227" s="11"/>
      <c r="P227" s="11"/>
      <c r="Q227" s="11"/>
      <c r="R227" s="11"/>
      <c r="CB227" s="11"/>
      <c r="CE227" s="11"/>
      <c r="CF227" s="11"/>
    </row>
    <row r="228" spans="4:84" x14ac:dyDescent="0.25">
      <c r="D228" s="11"/>
      <c r="E228" s="11"/>
      <c r="F228" s="11"/>
      <c r="G228" s="11"/>
      <c r="H228" s="11"/>
      <c r="I228" s="11"/>
      <c r="J228" s="11"/>
      <c r="N228" s="11"/>
      <c r="O228" s="11"/>
      <c r="P228" s="11"/>
      <c r="Q228" s="11"/>
      <c r="R228" s="11"/>
      <c r="CB228" s="11"/>
      <c r="CE228" s="11"/>
      <c r="CF228" s="11"/>
    </row>
    <row r="229" spans="4:84" x14ac:dyDescent="0.25">
      <c r="D229" s="11"/>
      <c r="E229" s="11"/>
      <c r="F229" s="11"/>
      <c r="G229" s="11"/>
      <c r="H229" s="11"/>
      <c r="I229" s="11"/>
      <c r="J229" s="11"/>
      <c r="N229" s="11"/>
      <c r="O229" s="11"/>
      <c r="P229" s="11"/>
      <c r="Q229" s="11"/>
      <c r="R229" s="11"/>
      <c r="CB229" s="11"/>
      <c r="CE229" s="11"/>
      <c r="CF229" s="11"/>
    </row>
    <row r="230" spans="4:84" x14ac:dyDescent="0.25">
      <c r="D230" s="11"/>
      <c r="E230" s="11"/>
      <c r="F230" s="11"/>
      <c r="G230" s="11"/>
      <c r="H230" s="11"/>
      <c r="I230" s="11"/>
      <c r="J230" s="11"/>
      <c r="N230" s="11"/>
      <c r="O230" s="11"/>
      <c r="P230" s="11"/>
      <c r="Q230" s="11"/>
      <c r="R230" s="11"/>
      <c r="CB230" s="11"/>
      <c r="CE230" s="11"/>
      <c r="CF230" s="11"/>
    </row>
    <row r="231" spans="4:84" x14ac:dyDescent="0.25">
      <c r="D231" s="11"/>
      <c r="E231" s="11"/>
      <c r="F231" s="11"/>
      <c r="G231" s="11"/>
      <c r="H231" s="11"/>
      <c r="I231" s="11"/>
      <c r="J231" s="11"/>
      <c r="N231" s="11"/>
      <c r="O231" s="11"/>
      <c r="P231" s="11"/>
      <c r="Q231" s="11"/>
      <c r="R231" s="11"/>
      <c r="CB231" s="11"/>
      <c r="CE231" s="11"/>
      <c r="CF231" s="11"/>
    </row>
    <row r="232" spans="4:84" x14ac:dyDescent="0.25">
      <c r="D232" s="11"/>
      <c r="E232" s="11"/>
      <c r="F232" s="11"/>
      <c r="G232" s="11"/>
      <c r="H232" s="11"/>
      <c r="I232" s="11"/>
      <c r="J232" s="11"/>
      <c r="N232" s="11"/>
      <c r="O232" s="11"/>
      <c r="P232" s="11"/>
      <c r="Q232" s="11"/>
      <c r="R232" s="11"/>
      <c r="CB232" s="11"/>
      <c r="CE232" s="11"/>
      <c r="CF232" s="11"/>
    </row>
    <row r="233" spans="4:84" x14ac:dyDescent="0.25">
      <c r="D233" s="11"/>
      <c r="E233" s="11"/>
      <c r="F233" s="11"/>
      <c r="G233" s="11"/>
      <c r="H233" s="11"/>
      <c r="I233" s="11"/>
      <c r="J233" s="11"/>
      <c r="N233" s="11"/>
      <c r="O233" s="11"/>
      <c r="P233" s="11"/>
      <c r="Q233" s="11"/>
      <c r="R233" s="11"/>
      <c r="CB233" s="11"/>
      <c r="CE233" s="11"/>
      <c r="CF233" s="11"/>
    </row>
    <row r="234" spans="4:84" x14ac:dyDescent="0.25">
      <c r="D234" s="11"/>
      <c r="E234" s="11"/>
      <c r="F234" s="11"/>
      <c r="G234" s="11"/>
      <c r="H234" s="11"/>
      <c r="I234" s="11"/>
      <c r="J234" s="11"/>
      <c r="N234" s="11"/>
      <c r="O234" s="11"/>
      <c r="P234" s="11"/>
      <c r="Q234" s="11"/>
      <c r="R234" s="11"/>
      <c r="CB234" s="11"/>
      <c r="CE234" s="11"/>
      <c r="CF234" s="11"/>
    </row>
    <row r="235" spans="4:84" x14ac:dyDescent="0.25">
      <c r="D235" s="11"/>
      <c r="E235" s="11"/>
      <c r="F235" s="11"/>
      <c r="G235" s="11"/>
      <c r="H235" s="11"/>
      <c r="I235" s="11"/>
      <c r="J235" s="11"/>
      <c r="N235" s="11"/>
      <c r="O235" s="11"/>
      <c r="P235" s="11"/>
      <c r="Q235" s="11"/>
      <c r="R235" s="11"/>
      <c r="CB235" s="11"/>
      <c r="CE235" s="11"/>
      <c r="CF235" s="11"/>
    </row>
    <row r="236" spans="4:84" x14ac:dyDescent="0.25">
      <c r="D236" s="11"/>
      <c r="E236" s="11"/>
      <c r="F236" s="11"/>
      <c r="G236" s="11"/>
      <c r="H236" s="11"/>
      <c r="I236" s="11"/>
      <c r="J236" s="11"/>
      <c r="N236" s="11"/>
      <c r="O236" s="11"/>
      <c r="P236" s="11"/>
      <c r="Q236" s="11"/>
      <c r="R236" s="11"/>
      <c r="CB236" s="11"/>
      <c r="CE236" s="11"/>
      <c r="CF236" s="11"/>
    </row>
    <row r="237" spans="4:84" x14ac:dyDescent="0.25">
      <c r="D237" s="11"/>
      <c r="E237" s="11"/>
      <c r="F237" s="11"/>
      <c r="G237" s="11"/>
      <c r="H237" s="11"/>
      <c r="I237" s="11"/>
      <c r="J237" s="11"/>
      <c r="N237" s="11"/>
      <c r="O237" s="11"/>
      <c r="P237" s="11"/>
      <c r="Q237" s="11"/>
      <c r="R237" s="11"/>
      <c r="CB237" s="11"/>
      <c r="CE237" s="11"/>
      <c r="CF237" s="11"/>
    </row>
    <row r="238" spans="4:84" x14ac:dyDescent="0.25">
      <c r="D238" s="11"/>
      <c r="E238" s="11"/>
      <c r="F238" s="11"/>
      <c r="G238" s="11"/>
      <c r="H238" s="11"/>
      <c r="I238" s="11"/>
      <c r="J238" s="11"/>
      <c r="N238" s="11"/>
      <c r="O238" s="11"/>
      <c r="P238" s="11"/>
      <c r="Q238" s="11"/>
      <c r="R238" s="11"/>
      <c r="CB238" s="11"/>
      <c r="CE238" s="11"/>
      <c r="CF238" s="11"/>
    </row>
    <row r="239" spans="4:84" x14ac:dyDescent="0.25">
      <c r="D239" s="11"/>
      <c r="E239" s="11"/>
      <c r="F239" s="11"/>
      <c r="G239" s="11"/>
      <c r="H239" s="11"/>
      <c r="I239" s="11"/>
      <c r="J239" s="11"/>
      <c r="N239" s="11"/>
      <c r="O239" s="11"/>
      <c r="P239" s="11"/>
      <c r="Q239" s="11"/>
      <c r="R239" s="11"/>
      <c r="CB239" s="11"/>
      <c r="CE239" s="11"/>
      <c r="CF239" s="11"/>
    </row>
    <row r="240" spans="4:84" x14ac:dyDescent="0.25">
      <c r="D240" s="11"/>
      <c r="E240" s="11"/>
      <c r="F240" s="11"/>
      <c r="G240" s="11"/>
      <c r="H240" s="11"/>
      <c r="I240" s="11"/>
      <c r="J240" s="11"/>
      <c r="N240" s="11"/>
      <c r="O240" s="11"/>
      <c r="P240" s="11"/>
      <c r="Q240" s="11"/>
      <c r="R240" s="11"/>
      <c r="CB240" s="11"/>
      <c r="CE240" s="11"/>
      <c r="CF240" s="11"/>
    </row>
    <row r="241" spans="4:84" x14ac:dyDescent="0.25">
      <c r="D241" s="11"/>
      <c r="E241" s="11"/>
      <c r="F241" s="11"/>
      <c r="G241" s="11"/>
      <c r="H241" s="11"/>
      <c r="I241" s="11"/>
      <c r="J241" s="11"/>
      <c r="N241" s="11"/>
      <c r="O241" s="11"/>
      <c r="P241" s="11"/>
      <c r="Q241" s="11"/>
      <c r="R241" s="11"/>
      <c r="CB241" s="11"/>
      <c r="CE241" s="11"/>
      <c r="CF241" s="11"/>
    </row>
    <row r="242" spans="4:84" x14ac:dyDescent="0.25">
      <c r="D242" s="11"/>
      <c r="E242" s="11"/>
      <c r="F242" s="11"/>
      <c r="G242" s="11"/>
      <c r="H242" s="11"/>
      <c r="I242" s="11"/>
      <c r="J242" s="11"/>
      <c r="N242" s="11"/>
      <c r="O242" s="11"/>
      <c r="P242" s="11"/>
      <c r="Q242" s="11"/>
      <c r="R242" s="11"/>
      <c r="CB242" s="11"/>
      <c r="CE242" s="11"/>
      <c r="CF242" s="11"/>
    </row>
    <row r="243" spans="4:84" x14ac:dyDescent="0.25">
      <c r="D243" s="11"/>
      <c r="E243" s="11"/>
      <c r="F243" s="11"/>
      <c r="G243" s="11"/>
      <c r="H243" s="11"/>
      <c r="I243" s="11"/>
      <c r="J243" s="11"/>
      <c r="N243" s="11"/>
      <c r="O243" s="11"/>
      <c r="P243" s="11"/>
      <c r="Q243" s="11"/>
      <c r="R243" s="11"/>
      <c r="CB243" s="11"/>
      <c r="CE243" s="11"/>
      <c r="CF243" s="11"/>
    </row>
    <row r="244" spans="4:84" x14ac:dyDescent="0.25">
      <c r="D244" s="11"/>
      <c r="E244" s="11"/>
      <c r="F244" s="11"/>
      <c r="G244" s="11"/>
      <c r="H244" s="11"/>
      <c r="I244" s="11"/>
      <c r="J244" s="11"/>
      <c r="N244" s="11"/>
      <c r="O244" s="11"/>
      <c r="P244" s="11"/>
      <c r="Q244" s="11"/>
      <c r="R244" s="11"/>
      <c r="CB244" s="11"/>
      <c r="CE244" s="11"/>
      <c r="CF244" s="11"/>
    </row>
    <row r="245" spans="4:84" x14ac:dyDescent="0.25">
      <c r="D245" s="11"/>
      <c r="E245" s="11"/>
      <c r="F245" s="11"/>
      <c r="G245" s="11"/>
      <c r="H245" s="11"/>
      <c r="I245" s="11"/>
      <c r="J245" s="11"/>
      <c r="N245" s="11"/>
      <c r="O245" s="11"/>
      <c r="P245" s="11"/>
      <c r="Q245" s="11"/>
      <c r="R245" s="11"/>
      <c r="CB245" s="11"/>
      <c r="CE245" s="11"/>
      <c r="CF245" s="11"/>
    </row>
    <row r="246" spans="4:84" x14ac:dyDescent="0.25">
      <c r="D246" s="11"/>
      <c r="E246" s="11"/>
      <c r="F246" s="11"/>
      <c r="G246" s="11"/>
      <c r="H246" s="11"/>
      <c r="I246" s="11"/>
      <c r="J246" s="11"/>
      <c r="N246" s="11"/>
      <c r="O246" s="11"/>
      <c r="P246" s="11"/>
      <c r="Q246" s="11"/>
      <c r="R246" s="11"/>
      <c r="CB246" s="11"/>
      <c r="CE246" s="11"/>
      <c r="CF246" s="11"/>
    </row>
    <row r="247" spans="4:84" x14ac:dyDescent="0.25">
      <c r="D247" s="11"/>
      <c r="E247" s="11"/>
      <c r="F247" s="11"/>
      <c r="G247" s="11"/>
      <c r="H247" s="11"/>
      <c r="I247" s="11"/>
      <c r="J247" s="11"/>
      <c r="N247" s="11"/>
      <c r="O247" s="11"/>
      <c r="P247" s="11"/>
      <c r="Q247" s="11"/>
      <c r="R247" s="11"/>
      <c r="CB247" s="11"/>
      <c r="CE247" s="11"/>
      <c r="CF247" s="11"/>
    </row>
    <row r="248" spans="4:84" x14ac:dyDescent="0.25">
      <c r="D248" s="11"/>
      <c r="E248" s="11"/>
      <c r="F248" s="11"/>
      <c r="G248" s="11"/>
      <c r="H248" s="11"/>
      <c r="I248" s="11"/>
      <c r="J248" s="11"/>
      <c r="N248" s="11"/>
      <c r="O248" s="11"/>
      <c r="P248" s="11"/>
      <c r="Q248" s="11"/>
      <c r="R248" s="11"/>
      <c r="CB248" s="11"/>
      <c r="CE248" s="11"/>
      <c r="CF248" s="11"/>
    </row>
    <row r="249" spans="4:84" x14ac:dyDescent="0.25">
      <c r="D249" s="11"/>
      <c r="E249" s="11"/>
      <c r="F249" s="11"/>
      <c r="G249" s="11"/>
      <c r="H249" s="11"/>
      <c r="I249" s="11"/>
      <c r="J249" s="11"/>
      <c r="N249" s="11"/>
      <c r="O249" s="11"/>
      <c r="P249" s="11"/>
      <c r="Q249" s="11"/>
      <c r="R249" s="11"/>
      <c r="CB249" s="11"/>
      <c r="CE249" s="11"/>
      <c r="CF249" s="11"/>
    </row>
    <row r="250" spans="4:84" x14ac:dyDescent="0.25">
      <c r="D250" s="11"/>
      <c r="E250" s="11"/>
      <c r="F250" s="11"/>
      <c r="G250" s="11"/>
      <c r="H250" s="11"/>
      <c r="I250" s="11"/>
      <c r="J250" s="11"/>
      <c r="N250" s="11"/>
      <c r="O250" s="11"/>
      <c r="P250" s="11"/>
      <c r="Q250" s="11"/>
      <c r="R250" s="11"/>
      <c r="CB250" s="11"/>
      <c r="CE250" s="11"/>
      <c r="CF250" s="11"/>
    </row>
    <row r="251" spans="4:84" x14ac:dyDescent="0.25">
      <c r="D251" s="11"/>
      <c r="E251" s="11"/>
      <c r="F251" s="11"/>
      <c r="G251" s="11"/>
      <c r="H251" s="11"/>
      <c r="I251" s="11"/>
      <c r="J251" s="11"/>
      <c r="N251" s="11"/>
      <c r="O251" s="11"/>
      <c r="P251" s="11"/>
      <c r="Q251" s="11"/>
      <c r="R251" s="11"/>
      <c r="CB251" s="11"/>
      <c r="CE251" s="11"/>
      <c r="CF251" s="11"/>
    </row>
    <row r="252" spans="4:84" x14ac:dyDescent="0.25">
      <c r="D252" s="11"/>
      <c r="E252" s="11"/>
      <c r="F252" s="11"/>
      <c r="G252" s="11"/>
      <c r="H252" s="11"/>
      <c r="I252" s="11"/>
      <c r="J252" s="11"/>
      <c r="N252" s="11"/>
      <c r="O252" s="11"/>
      <c r="P252" s="11"/>
      <c r="Q252" s="11"/>
      <c r="R252" s="11"/>
      <c r="CB252" s="11"/>
      <c r="CE252" s="11"/>
      <c r="CF252" s="11"/>
    </row>
    <row r="253" spans="4:84" x14ac:dyDescent="0.25">
      <c r="D253" s="11"/>
      <c r="E253" s="11"/>
      <c r="F253" s="11"/>
      <c r="G253" s="11"/>
      <c r="H253" s="11"/>
      <c r="I253" s="11"/>
      <c r="J253" s="11"/>
      <c r="N253" s="11"/>
      <c r="O253" s="11"/>
      <c r="P253" s="11"/>
      <c r="Q253" s="11"/>
      <c r="R253" s="11"/>
      <c r="CB253" s="11"/>
      <c r="CE253" s="11"/>
      <c r="CF253" s="11"/>
    </row>
    <row r="254" spans="4:84" x14ac:dyDescent="0.25">
      <c r="D254" s="11"/>
      <c r="E254" s="11"/>
      <c r="F254" s="11"/>
      <c r="G254" s="11"/>
      <c r="H254" s="11"/>
      <c r="I254" s="11"/>
      <c r="J254" s="11"/>
      <c r="N254" s="11"/>
      <c r="O254" s="11"/>
      <c r="P254" s="11"/>
      <c r="Q254" s="11"/>
      <c r="R254" s="11"/>
      <c r="CB254" s="11"/>
      <c r="CE254" s="11"/>
      <c r="CF254" s="11"/>
    </row>
    <row r="255" spans="4:84" x14ac:dyDescent="0.25">
      <c r="D255" s="11"/>
      <c r="E255" s="11"/>
      <c r="F255" s="11"/>
      <c r="G255" s="11"/>
      <c r="H255" s="11"/>
      <c r="I255" s="11"/>
      <c r="J255" s="11"/>
      <c r="N255" s="11"/>
      <c r="O255" s="11"/>
      <c r="P255" s="11"/>
      <c r="Q255" s="11"/>
      <c r="R255" s="11"/>
      <c r="CB255" s="11"/>
      <c r="CE255" s="11"/>
      <c r="CF255" s="11"/>
    </row>
    <row r="256" spans="4:84" x14ac:dyDescent="0.25">
      <c r="D256" s="11"/>
      <c r="E256" s="11"/>
      <c r="F256" s="11"/>
      <c r="G256" s="11"/>
      <c r="H256" s="11"/>
      <c r="I256" s="11"/>
      <c r="J256" s="11"/>
      <c r="N256" s="11"/>
      <c r="O256" s="11"/>
      <c r="P256" s="11"/>
      <c r="Q256" s="11"/>
      <c r="R256" s="11"/>
      <c r="CB256" s="11"/>
      <c r="CE256" s="11"/>
      <c r="CF256" s="11"/>
    </row>
    <row r="257" spans="4:84" x14ac:dyDescent="0.25">
      <c r="D257" s="11"/>
      <c r="E257" s="11"/>
      <c r="F257" s="11"/>
      <c r="G257" s="11"/>
      <c r="H257" s="11"/>
      <c r="I257" s="11"/>
      <c r="J257" s="11"/>
      <c r="N257" s="11"/>
      <c r="O257" s="11"/>
      <c r="P257" s="11"/>
      <c r="Q257" s="11"/>
      <c r="R257" s="11"/>
      <c r="CB257" s="11"/>
      <c r="CE257" s="11"/>
      <c r="CF257" s="11"/>
    </row>
    <row r="258" spans="4:84" x14ac:dyDescent="0.25">
      <c r="D258" s="11"/>
      <c r="E258" s="11"/>
      <c r="F258" s="11"/>
      <c r="G258" s="11"/>
      <c r="H258" s="11"/>
      <c r="I258" s="11"/>
      <c r="J258" s="11"/>
      <c r="N258" s="11"/>
      <c r="O258" s="11"/>
      <c r="P258" s="11"/>
      <c r="Q258" s="11"/>
      <c r="R258" s="11"/>
      <c r="CB258" s="11"/>
      <c r="CE258" s="11"/>
      <c r="CF258" s="11"/>
    </row>
    <row r="259" spans="4:84" x14ac:dyDescent="0.25">
      <c r="D259" s="11"/>
      <c r="E259" s="11"/>
      <c r="F259" s="11"/>
      <c r="G259" s="11"/>
      <c r="H259" s="11"/>
      <c r="I259" s="11"/>
      <c r="J259" s="11"/>
      <c r="N259" s="11"/>
      <c r="O259" s="11"/>
      <c r="P259" s="11"/>
      <c r="Q259" s="11"/>
      <c r="R259" s="11"/>
      <c r="CB259" s="11"/>
      <c r="CE259" s="11"/>
      <c r="CF259" s="11"/>
    </row>
    <row r="260" spans="4:84" x14ac:dyDescent="0.25">
      <c r="D260" s="11"/>
      <c r="E260" s="11"/>
      <c r="F260" s="11"/>
      <c r="G260" s="11"/>
      <c r="H260" s="11"/>
      <c r="I260" s="11"/>
      <c r="J260" s="11"/>
      <c r="N260" s="11"/>
      <c r="O260" s="11"/>
      <c r="P260" s="11"/>
      <c r="Q260" s="11"/>
      <c r="R260" s="11"/>
      <c r="CB260" s="11"/>
      <c r="CE260" s="11"/>
      <c r="CF260" s="11"/>
    </row>
    <row r="261" spans="4:84" x14ac:dyDescent="0.25">
      <c r="D261" s="11"/>
      <c r="E261" s="11"/>
      <c r="F261" s="11"/>
      <c r="G261" s="11"/>
      <c r="H261" s="11"/>
      <c r="I261" s="11"/>
      <c r="J261" s="11"/>
      <c r="N261" s="11"/>
      <c r="O261" s="11"/>
      <c r="P261" s="11"/>
      <c r="Q261" s="11"/>
      <c r="R261" s="11"/>
      <c r="CB261" s="11"/>
      <c r="CE261" s="11"/>
      <c r="CF261" s="11"/>
    </row>
    <row r="262" spans="4:84" x14ac:dyDescent="0.25">
      <c r="D262" s="11"/>
      <c r="E262" s="11"/>
      <c r="F262" s="11"/>
      <c r="G262" s="11"/>
      <c r="H262" s="11"/>
      <c r="I262" s="11"/>
      <c r="J262" s="11"/>
      <c r="N262" s="11"/>
      <c r="O262" s="11"/>
      <c r="P262" s="11"/>
      <c r="Q262" s="11"/>
      <c r="R262" s="11"/>
      <c r="CB262" s="11"/>
      <c r="CE262" s="11"/>
      <c r="CF262" s="11"/>
    </row>
    <row r="263" spans="4:84" x14ac:dyDescent="0.25">
      <c r="D263" s="11"/>
      <c r="E263" s="11"/>
      <c r="F263" s="11"/>
      <c r="G263" s="11"/>
      <c r="H263" s="11"/>
      <c r="I263" s="11"/>
      <c r="J263" s="11"/>
      <c r="N263" s="11"/>
      <c r="O263" s="11"/>
      <c r="P263" s="11"/>
      <c r="Q263" s="11"/>
      <c r="R263" s="11"/>
      <c r="CB263" s="11"/>
      <c r="CE263" s="11"/>
      <c r="CF263" s="11"/>
    </row>
    <row r="264" spans="4:84" x14ac:dyDescent="0.25">
      <c r="D264" s="11"/>
      <c r="E264" s="11"/>
      <c r="F264" s="11"/>
      <c r="G264" s="11"/>
      <c r="H264" s="11"/>
      <c r="I264" s="11"/>
      <c r="J264" s="11"/>
      <c r="N264" s="11"/>
      <c r="O264" s="11"/>
      <c r="P264" s="11"/>
      <c r="Q264" s="11"/>
      <c r="R264" s="11"/>
      <c r="CB264" s="11"/>
      <c r="CE264" s="11"/>
      <c r="CF264" s="11"/>
    </row>
    <row r="265" spans="4:84" x14ac:dyDescent="0.25">
      <c r="D265" s="11"/>
      <c r="E265" s="11"/>
      <c r="F265" s="11"/>
      <c r="G265" s="11"/>
      <c r="H265" s="11"/>
      <c r="I265" s="11"/>
      <c r="J265" s="11"/>
      <c r="N265" s="11"/>
      <c r="O265" s="11"/>
      <c r="P265" s="11"/>
      <c r="Q265" s="11"/>
      <c r="R265" s="11"/>
      <c r="CB265" s="11"/>
      <c r="CE265" s="11"/>
      <c r="CF265" s="11"/>
    </row>
    <row r="266" spans="4:84" x14ac:dyDescent="0.25">
      <c r="D266" s="11"/>
      <c r="E266" s="11"/>
      <c r="F266" s="11"/>
      <c r="G266" s="11"/>
      <c r="H266" s="11"/>
      <c r="I266" s="11"/>
      <c r="J266" s="11"/>
      <c r="N266" s="11"/>
      <c r="O266" s="11"/>
      <c r="P266" s="11"/>
      <c r="Q266" s="11"/>
      <c r="R266" s="11"/>
      <c r="CB266" s="11"/>
      <c r="CE266" s="11"/>
      <c r="CF266" s="11"/>
    </row>
    <row r="267" spans="4:84" x14ac:dyDescent="0.25">
      <c r="D267" s="11"/>
      <c r="E267" s="11"/>
      <c r="F267" s="11"/>
      <c r="G267" s="11"/>
      <c r="H267" s="11"/>
      <c r="I267" s="11"/>
      <c r="J267" s="11"/>
      <c r="N267" s="11"/>
      <c r="O267" s="11"/>
      <c r="P267" s="11"/>
      <c r="Q267" s="11"/>
      <c r="R267" s="11"/>
      <c r="CB267" s="11"/>
      <c r="CE267" s="11"/>
      <c r="CF267" s="11"/>
    </row>
    <row r="268" spans="4:84" x14ac:dyDescent="0.25">
      <c r="D268" s="11"/>
      <c r="E268" s="11"/>
      <c r="F268" s="11"/>
      <c r="G268" s="11"/>
      <c r="H268" s="11"/>
      <c r="I268" s="11"/>
      <c r="J268" s="11"/>
      <c r="N268" s="11"/>
      <c r="O268" s="11"/>
      <c r="P268" s="11"/>
      <c r="Q268" s="11"/>
      <c r="R268" s="11"/>
      <c r="CB268" s="11"/>
      <c r="CE268" s="11"/>
      <c r="CF268" s="11"/>
    </row>
    <row r="269" spans="4:84" x14ac:dyDescent="0.25">
      <c r="D269" s="11"/>
      <c r="E269" s="11"/>
      <c r="F269" s="11"/>
      <c r="G269" s="11"/>
      <c r="H269" s="11"/>
      <c r="I269" s="11"/>
      <c r="J269" s="11"/>
      <c r="N269" s="11"/>
      <c r="O269" s="11"/>
      <c r="P269" s="11"/>
      <c r="Q269" s="11"/>
      <c r="R269" s="11"/>
      <c r="CB269" s="11"/>
      <c r="CE269" s="11"/>
      <c r="CF269" s="11"/>
    </row>
    <row r="270" spans="4:84" x14ac:dyDescent="0.25">
      <c r="D270" s="11"/>
      <c r="E270" s="11"/>
      <c r="F270" s="11"/>
      <c r="G270" s="11"/>
      <c r="H270" s="11"/>
      <c r="I270" s="11"/>
      <c r="J270" s="11"/>
      <c r="N270" s="11"/>
      <c r="O270" s="11"/>
      <c r="P270" s="11"/>
      <c r="Q270" s="11"/>
      <c r="R270" s="11"/>
      <c r="CB270" s="11"/>
      <c r="CE270" s="11"/>
      <c r="CF270" s="11"/>
    </row>
    <row r="271" spans="4:84" x14ac:dyDescent="0.25">
      <c r="D271" s="11"/>
      <c r="E271" s="11"/>
      <c r="F271" s="11"/>
      <c r="G271" s="11"/>
      <c r="H271" s="11"/>
      <c r="I271" s="11"/>
      <c r="J271" s="11"/>
      <c r="N271" s="11"/>
      <c r="O271" s="11"/>
      <c r="P271" s="11"/>
      <c r="Q271" s="11"/>
      <c r="R271" s="11"/>
      <c r="CB271" s="11"/>
      <c r="CE271" s="11"/>
      <c r="CF271" s="11"/>
    </row>
    <row r="272" spans="4:84" x14ac:dyDescent="0.25">
      <c r="D272" s="11"/>
      <c r="E272" s="11"/>
      <c r="F272" s="11"/>
      <c r="G272" s="11"/>
      <c r="H272" s="11"/>
      <c r="I272" s="11"/>
      <c r="J272" s="11"/>
      <c r="N272" s="11"/>
      <c r="O272" s="11"/>
      <c r="P272" s="11"/>
      <c r="Q272" s="11"/>
      <c r="R272" s="11"/>
      <c r="CB272" s="11"/>
      <c r="CE272" s="11"/>
      <c r="CF272" s="11"/>
    </row>
    <row r="273" spans="4:84" x14ac:dyDescent="0.25">
      <c r="D273" s="11"/>
      <c r="E273" s="11"/>
      <c r="F273" s="11"/>
      <c r="G273" s="11"/>
      <c r="H273" s="11"/>
      <c r="I273" s="11"/>
      <c r="J273" s="11"/>
      <c r="N273" s="11"/>
      <c r="O273" s="11"/>
      <c r="P273" s="11"/>
      <c r="Q273" s="11"/>
      <c r="R273" s="11"/>
      <c r="CB273" s="11"/>
      <c r="CE273" s="11"/>
      <c r="CF273" s="11"/>
    </row>
    <row r="274" spans="4:84" x14ac:dyDescent="0.25">
      <c r="D274" s="11"/>
      <c r="E274" s="11"/>
      <c r="F274" s="11"/>
      <c r="G274" s="11"/>
      <c r="H274" s="11"/>
      <c r="I274" s="11"/>
      <c r="J274" s="11"/>
      <c r="N274" s="11"/>
      <c r="O274" s="11"/>
      <c r="P274" s="11"/>
      <c r="Q274" s="11"/>
      <c r="R274" s="11"/>
      <c r="CB274" s="11"/>
      <c r="CE274" s="11"/>
      <c r="CF274" s="11"/>
    </row>
    <row r="275" spans="4:84" x14ac:dyDescent="0.25">
      <c r="D275" s="11"/>
      <c r="E275" s="11"/>
      <c r="F275" s="11"/>
      <c r="G275" s="11"/>
      <c r="H275" s="11"/>
      <c r="I275" s="11"/>
      <c r="J275" s="11"/>
      <c r="N275" s="11"/>
      <c r="O275" s="11"/>
      <c r="P275" s="11"/>
      <c r="Q275" s="11"/>
      <c r="R275" s="11"/>
      <c r="CB275" s="11"/>
      <c r="CE275" s="11"/>
      <c r="CF275" s="11"/>
    </row>
    <row r="276" spans="4:84" x14ac:dyDescent="0.25">
      <c r="D276" s="11"/>
      <c r="E276" s="11"/>
      <c r="F276" s="11"/>
      <c r="G276" s="11"/>
      <c r="H276" s="11"/>
      <c r="I276" s="11"/>
      <c r="J276" s="11"/>
      <c r="N276" s="11"/>
      <c r="O276" s="11"/>
      <c r="P276" s="11"/>
      <c r="Q276" s="11"/>
      <c r="R276" s="11"/>
      <c r="CB276" s="11"/>
      <c r="CE276" s="11"/>
      <c r="CF276" s="11"/>
    </row>
    <row r="277" spans="4:84" x14ac:dyDescent="0.25">
      <c r="D277" s="11"/>
      <c r="E277" s="11"/>
      <c r="F277" s="11"/>
      <c r="G277" s="11"/>
      <c r="H277" s="11"/>
      <c r="I277" s="11"/>
      <c r="J277" s="11"/>
      <c r="N277" s="11"/>
      <c r="O277" s="11"/>
      <c r="P277" s="11"/>
      <c r="Q277" s="11"/>
      <c r="R277" s="11"/>
      <c r="CB277" s="11"/>
      <c r="CE277" s="11"/>
      <c r="CF277" s="11"/>
    </row>
    <row r="278" spans="4:84" x14ac:dyDescent="0.25">
      <c r="D278" s="11"/>
      <c r="E278" s="11"/>
      <c r="F278" s="11"/>
      <c r="G278" s="11"/>
      <c r="H278" s="11"/>
      <c r="I278" s="11"/>
      <c r="J278" s="11"/>
      <c r="N278" s="11"/>
      <c r="O278" s="11"/>
      <c r="P278" s="11"/>
      <c r="Q278" s="11"/>
      <c r="R278" s="11"/>
      <c r="CB278" s="11"/>
      <c r="CE278" s="11"/>
      <c r="CF278" s="11"/>
    </row>
    <row r="279" spans="4:84" x14ac:dyDescent="0.25">
      <c r="D279" s="11"/>
      <c r="E279" s="11"/>
      <c r="F279" s="11"/>
      <c r="G279" s="11"/>
      <c r="H279" s="11"/>
      <c r="I279" s="11"/>
      <c r="J279" s="11"/>
      <c r="N279" s="11"/>
      <c r="O279" s="11"/>
      <c r="P279" s="11"/>
      <c r="Q279" s="11"/>
      <c r="R279" s="11"/>
      <c r="CB279" s="11"/>
      <c r="CE279" s="11"/>
      <c r="CF279" s="11"/>
    </row>
    <row r="280" spans="4:84" x14ac:dyDescent="0.25">
      <c r="D280" s="11"/>
      <c r="E280" s="11"/>
      <c r="F280" s="11"/>
      <c r="G280" s="11"/>
      <c r="H280" s="11"/>
      <c r="I280" s="11"/>
      <c r="J280" s="11"/>
      <c r="N280" s="11"/>
      <c r="O280" s="11"/>
      <c r="P280" s="11"/>
      <c r="Q280" s="11"/>
      <c r="R280" s="11"/>
      <c r="CB280" s="11"/>
      <c r="CE280" s="11"/>
      <c r="CF280" s="11"/>
    </row>
    <row r="281" spans="4:84" x14ac:dyDescent="0.25">
      <c r="D281" s="11"/>
      <c r="E281" s="11"/>
      <c r="F281" s="11"/>
      <c r="G281" s="11"/>
      <c r="H281" s="11"/>
      <c r="I281" s="11"/>
      <c r="J281" s="11"/>
      <c r="N281" s="11"/>
      <c r="O281" s="11"/>
      <c r="P281" s="11"/>
      <c r="Q281" s="11"/>
      <c r="R281" s="11"/>
      <c r="CB281" s="11"/>
      <c r="CE281" s="11"/>
      <c r="CF281" s="11"/>
    </row>
    <row r="282" spans="4:84" x14ac:dyDescent="0.25">
      <c r="D282" s="11"/>
      <c r="E282" s="11"/>
      <c r="F282" s="11"/>
      <c r="G282" s="11"/>
      <c r="H282" s="11"/>
      <c r="I282" s="11"/>
      <c r="J282" s="11"/>
      <c r="N282" s="11"/>
      <c r="O282" s="11"/>
      <c r="P282" s="11"/>
      <c r="Q282" s="11"/>
      <c r="R282" s="11"/>
      <c r="CB282" s="11"/>
      <c r="CE282" s="11"/>
      <c r="CF282" s="11"/>
    </row>
    <row r="283" spans="4:84" x14ac:dyDescent="0.25">
      <c r="D283" s="11"/>
      <c r="E283" s="11"/>
      <c r="F283" s="11"/>
      <c r="G283" s="11"/>
      <c r="H283" s="11"/>
      <c r="I283" s="11"/>
      <c r="J283" s="11"/>
      <c r="N283" s="11"/>
      <c r="O283" s="11"/>
      <c r="P283" s="11"/>
      <c r="Q283" s="11"/>
      <c r="R283" s="11"/>
      <c r="CB283" s="11"/>
      <c r="CE283" s="11"/>
      <c r="CF283" s="11"/>
    </row>
    <row r="284" spans="4:84" x14ac:dyDescent="0.25">
      <c r="D284" s="11"/>
      <c r="E284" s="11"/>
      <c r="F284" s="11"/>
      <c r="G284" s="11"/>
      <c r="H284" s="11"/>
      <c r="I284" s="11"/>
      <c r="J284" s="11"/>
      <c r="N284" s="11"/>
      <c r="O284" s="11"/>
      <c r="P284" s="11"/>
      <c r="Q284" s="11"/>
      <c r="R284" s="11"/>
      <c r="CB284" s="11"/>
      <c r="CE284" s="11"/>
      <c r="CF284" s="11"/>
    </row>
    <row r="285" spans="4:84" x14ac:dyDescent="0.25">
      <c r="D285" s="11"/>
      <c r="E285" s="11"/>
      <c r="F285" s="11"/>
      <c r="G285" s="11"/>
      <c r="H285" s="11"/>
      <c r="I285" s="11"/>
      <c r="J285" s="11"/>
      <c r="N285" s="11"/>
      <c r="O285" s="11"/>
      <c r="P285" s="11"/>
      <c r="Q285" s="11"/>
      <c r="R285" s="11"/>
      <c r="CB285" s="11"/>
      <c r="CE285" s="11"/>
      <c r="CF285" s="11"/>
    </row>
    <row r="286" spans="4:84" x14ac:dyDescent="0.25">
      <c r="D286" s="11"/>
      <c r="E286" s="11"/>
      <c r="F286" s="11"/>
      <c r="G286" s="11"/>
      <c r="H286" s="11"/>
      <c r="I286" s="11"/>
      <c r="J286" s="11"/>
      <c r="N286" s="11"/>
      <c r="O286" s="11"/>
      <c r="P286" s="11"/>
      <c r="Q286" s="11"/>
      <c r="R286" s="11"/>
      <c r="CB286" s="11"/>
      <c r="CE286" s="11"/>
      <c r="CF286" s="11"/>
    </row>
    <row r="287" spans="4:84" x14ac:dyDescent="0.25">
      <c r="D287" s="11"/>
      <c r="E287" s="11"/>
      <c r="F287" s="11"/>
      <c r="G287" s="11"/>
      <c r="H287" s="11"/>
      <c r="I287" s="11"/>
      <c r="J287" s="11"/>
      <c r="N287" s="11"/>
      <c r="O287" s="11"/>
      <c r="P287" s="11"/>
      <c r="Q287" s="11"/>
      <c r="R287" s="11"/>
      <c r="CB287" s="11"/>
      <c r="CE287" s="11"/>
      <c r="CF287" s="11"/>
    </row>
    <row r="288" spans="4:84" x14ac:dyDescent="0.25">
      <c r="D288" s="11"/>
      <c r="E288" s="11"/>
      <c r="F288" s="11"/>
      <c r="G288" s="11"/>
      <c r="H288" s="11"/>
      <c r="I288" s="11"/>
      <c r="J288" s="11"/>
      <c r="N288" s="11"/>
      <c r="O288" s="11"/>
      <c r="P288" s="11"/>
      <c r="Q288" s="11"/>
      <c r="R288" s="11"/>
      <c r="CB288" s="11"/>
      <c r="CE288" s="11"/>
      <c r="CF288" s="11"/>
    </row>
    <row r="289" spans="4:84" x14ac:dyDescent="0.25">
      <c r="D289" s="11"/>
      <c r="E289" s="11"/>
      <c r="F289" s="11"/>
      <c r="G289" s="11"/>
      <c r="H289" s="11"/>
      <c r="I289" s="11"/>
      <c r="J289" s="11"/>
      <c r="N289" s="11"/>
      <c r="O289" s="11"/>
      <c r="P289" s="11"/>
      <c r="Q289" s="11"/>
      <c r="R289" s="11"/>
      <c r="CB289" s="11"/>
      <c r="CE289" s="11"/>
      <c r="CF289" s="11"/>
    </row>
    <row r="290" spans="4:84" x14ac:dyDescent="0.25">
      <c r="D290" s="11"/>
      <c r="E290" s="11"/>
      <c r="F290" s="11"/>
      <c r="G290" s="11"/>
      <c r="H290" s="11"/>
      <c r="I290" s="11"/>
      <c r="J290" s="11"/>
      <c r="N290" s="11"/>
      <c r="O290" s="11"/>
      <c r="P290" s="11"/>
      <c r="Q290" s="11"/>
      <c r="R290" s="11"/>
      <c r="CB290" s="11"/>
      <c r="CE290" s="11"/>
      <c r="CF290" s="11"/>
    </row>
    <row r="291" spans="4:84" x14ac:dyDescent="0.25">
      <c r="D291" s="11"/>
      <c r="E291" s="11"/>
      <c r="F291" s="11"/>
      <c r="G291" s="11"/>
      <c r="H291" s="11"/>
      <c r="I291" s="11"/>
      <c r="J291" s="11"/>
      <c r="N291" s="11"/>
      <c r="O291" s="11"/>
      <c r="P291" s="11"/>
      <c r="Q291" s="11"/>
      <c r="R291" s="11"/>
      <c r="CB291" s="11"/>
      <c r="CE291" s="11"/>
      <c r="CF291" s="11"/>
    </row>
    <row r="292" spans="4:84" x14ac:dyDescent="0.25">
      <c r="D292" s="11"/>
      <c r="E292" s="11"/>
      <c r="F292" s="11"/>
      <c r="G292" s="11"/>
      <c r="H292" s="11"/>
      <c r="I292" s="11"/>
      <c r="J292" s="11"/>
      <c r="N292" s="11"/>
      <c r="O292" s="11"/>
      <c r="P292" s="11"/>
      <c r="Q292" s="11"/>
      <c r="R292" s="11"/>
      <c r="CB292" s="11"/>
      <c r="CE292" s="11"/>
      <c r="CF292" s="11"/>
    </row>
    <row r="293" spans="4:84" x14ac:dyDescent="0.25">
      <c r="D293" s="11"/>
      <c r="E293" s="11"/>
      <c r="F293" s="11"/>
      <c r="G293" s="11"/>
      <c r="H293" s="11"/>
      <c r="I293" s="11"/>
      <c r="J293" s="11"/>
      <c r="N293" s="11"/>
      <c r="O293" s="11"/>
      <c r="P293" s="11"/>
      <c r="Q293" s="11"/>
      <c r="R293" s="11"/>
      <c r="CB293" s="11"/>
      <c r="CE293" s="11"/>
      <c r="CF293" s="11"/>
    </row>
    <row r="294" spans="4:84" x14ac:dyDescent="0.25">
      <c r="D294" s="11"/>
      <c r="E294" s="11"/>
      <c r="F294" s="11"/>
      <c r="G294" s="11"/>
      <c r="H294" s="11"/>
      <c r="I294" s="11"/>
      <c r="J294" s="11"/>
      <c r="N294" s="11"/>
      <c r="O294" s="11"/>
      <c r="P294" s="11"/>
      <c r="Q294" s="11"/>
      <c r="R294" s="11"/>
      <c r="CB294" s="11"/>
      <c r="CE294" s="11"/>
      <c r="CF294" s="11"/>
    </row>
    <row r="295" spans="4:84" x14ac:dyDescent="0.25">
      <c r="D295" s="11"/>
      <c r="E295" s="11"/>
      <c r="F295" s="11"/>
      <c r="G295" s="11"/>
      <c r="H295" s="11"/>
      <c r="I295" s="11"/>
      <c r="J295" s="11"/>
      <c r="N295" s="11"/>
      <c r="O295" s="11"/>
      <c r="P295" s="11"/>
      <c r="Q295" s="11"/>
      <c r="R295" s="11"/>
      <c r="CB295" s="11"/>
      <c r="CE295" s="11"/>
      <c r="CF295" s="11"/>
    </row>
    <row r="296" spans="4:84" x14ac:dyDescent="0.25">
      <c r="D296" s="11"/>
      <c r="E296" s="11"/>
      <c r="F296" s="11"/>
      <c r="G296" s="11"/>
      <c r="H296" s="11"/>
      <c r="I296" s="11"/>
      <c r="J296" s="11"/>
      <c r="N296" s="11"/>
      <c r="O296" s="11"/>
      <c r="P296" s="11"/>
      <c r="Q296" s="11"/>
      <c r="R296" s="11"/>
      <c r="CB296" s="11"/>
      <c r="CE296" s="11"/>
      <c r="CF296" s="11"/>
    </row>
    <row r="297" spans="4:84" x14ac:dyDescent="0.25">
      <c r="D297" s="11"/>
      <c r="E297" s="11"/>
      <c r="F297" s="11"/>
      <c r="G297" s="11"/>
      <c r="H297" s="11"/>
      <c r="I297" s="11"/>
      <c r="J297" s="11"/>
      <c r="N297" s="11"/>
      <c r="O297" s="11"/>
      <c r="P297" s="11"/>
      <c r="Q297" s="11"/>
      <c r="R297" s="11"/>
      <c r="CB297" s="11"/>
      <c r="CE297" s="11"/>
      <c r="CF297" s="11"/>
    </row>
    <row r="298" spans="4:84" x14ac:dyDescent="0.25">
      <c r="D298" s="11"/>
      <c r="E298" s="11"/>
      <c r="F298" s="11"/>
      <c r="G298" s="11"/>
      <c r="H298" s="11"/>
      <c r="I298" s="11"/>
      <c r="J298" s="11"/>
      <c r="N298" s="11"/>
      <c r="O298" s="11"/>
      <c r="P298" s="11"/>
      <c r="Q298" s="11"/>
      <c r="R298" s="11"/>
      <c r="CB298" s="11"/>
      <c r="CE298" s="11"/>
      <c r="CF298" s="11"/>
    </row>
    <row r="299" spans="4:84" x14ac:dyDescent="0.25">
      <c r="D299" s="11"/>
      <c r="E299" s="11"/>
      <c r="F299" s="11"/>
      <c r="G299" s="11"/>
      <c r="H299" s="11"/>
      <c r="I299" s="11"/>
      <c r="J299" s="11"/>
      <c r="N299" s="11"/>
      <c r="O299" s="11"/>
      <c r="P299" s="11"/>
      <c r="Q299" s="11"/>
      <c r="R299" s="11"/>
      <c r="CB299" s="11"/>
      <c r="CE299" s="11"/>
      <c r="CF299" s="11"/>
    </row>
    <row r="300" spans="4:84" x14ac:dyDescent="0.25">
      <c r="D300" s="11"/>
      <c r="E300" s="11"/>
      <c r="F300" s="11"/>
      <c r="G300" s="11"/>
      <c r="H300" s="11"/>
      <c r="I300" s="11"/>
      <c r="J300" s="11"/>
      <c r="N300" s="11"/>
      <c r="O300" s="11"/>
      <c r="P300" s="11"/>
      <c r="Q300" s="11"/>
      <c r="R300" s="11"/>
      <c r="CB300" s="11"/>
      <c r="CE300" s="11"/>
      <c r="CF300" s="11"/>
    </row>
    <row r="301" spans="4:84" x14ac:dyDescent="0.25">
      <c r="D301" s="11"/>
      <c r="E301" s="11"/>
      <c r="F301" s="11"/>
      <c r="G301" s="11"/>
      <c r="H301" s="11"/>
      <c r="I301" s="11"/>
      <c r="J301" s="11"/>
      <c r="N301" s="11"/>
      <c r="O301" s="11"/>
      <c r="P301" s="11"/>
      <c r="Q301" s="11"/>
      <c r="R301" s="11"/>
      <c r="CB301" s="11"/>
      <c r="CE301" s="11"/>
      <c r="CF301" s="11"/>
    </row>
    <row r="302" spans="4:84" x14ac:dyDescent="0.25">
      <c r="D302" s="11"/>
      <c r="E302" s="11"/>
      <c r="F302" s="11"/>
      <c r="G302" s="11"/>
      <c r="H302" s="11"/>
      <c r="I302" s="11"/>
      <c r="J302" s="11"/>
      <c r="N302" s="11"/>
      <c r="O302" s="11"/>
      <c r="P302" s="11"/>
      <c r="Q302" s="11"/>
      <c r="R302" s="11"/>
      <c r="CB302" s="11"/>
      <c r="CE302" s="11"/>
      <c r="CF302" s="11"/>
    </row>
    <row r="303" spans="4:84" x14ac:dyDescent="0.25">
      <c r="D303" s="11"/>
      <c r="E303" s="11"/>
      <c r="F303" s="11"/>
      <c r="G303" s="11"/>
      <c r="H303" s="11"/>
      <c r="I303" s="11"/>
      <c r="J303" s="11"/>
      <c r="N303" s="11"/>
      <c r="O303" s="11"/>
      <c r="P303" s="11"/>
      <c r="Q303" s="11"/>
      <c r="R303" s="11"/>
      <c r="CB303" s="11"/>
      <c r="CE303" s="11"/>
      <c r="CF303" s="11"/>
    </row>
    <row r="304" spans="4:84" x14ac:dyDescent="0.25">
      <c r="D304" s="11"/>
      <c r="E304" s="11"/>
      <c r="F304" s="11"/>
      <c r="G304" s="11"/>
      <c r="H304" s="11"/>
      <c r="I304" s="11"/>
      <c r="J304" s="11"/>
      <c r="N304" s="11"/>
      <c r="O304" s="11"/>
      <c r="P304" s="11"/>
      <c r="Q304" s="11"/>
      <c r="R304" s="11"/>
      <c r="CB304" s="11"/>
      <c r="CE304" s="11"/>
      <c r="CF304" s="11"/>
    </row>
    <row r="305" spans="4:84" x14ac:dyDescent="0.25">
      <c r="D305" s="11"/>
      <c r="E305" s="11"/>
      <c r="F305" s="11"/>
      <c r="G305" s="11"/>
      <c r="H305" s="11"/>
      <c r="I305" s="11"/>
      <c r="J305" s="11"/>
      <c r="N305" s="11"/>
      <c r="O305" s="11"/>
      <c r="P305" s="11"/>
      <c r="Q305" s="11"/>
      <c r="R305" s="11"/>
      <c r="CB305" s="11"/>
      <c r="CE305" s="11"/>
      <c r="CF305" s="11"/>
    </row>
    <row r="306" spans="4:84" x14ac:dyDescent="0.25">
      <c r="D306" s="11"/>
      <c r="E306" s="11"/>
      <c r="F306" s="11"/>
      <c r="G306" s="11"/>
      <c r="H306" s="11"/>
      <c r="I306" s="11"/>
      <c r="J306" s="11"/>
      <c r="N306" s="11"/>
      <c r="O306" s="11"/>
      <c r="P306" s="11"/>
      <c r="Q306" s="11"/>
      <c r="R306" s="11"/>
      <c r="CB306" s="11"/>
      <c r="CE306" s="11"/>
      <c r="CF306" s="11"/>
    </row>
    <row r="307" spans="4:84" x14ac:dyDescent="0.25">
      <c r="D307" s="11"/>
      <c r="E307" s="11"/>
      <c r="F307" s="11"/>
      <c r="G307" s="11"/>
      <c r="H307" s="11"/>
      <c r="I307" s="11"/>
      <c r="J307" s="11"/>
      <c r="N307" s="11"/>
      <c r="O307" s="11"/>
      <c r="P307" s="11"/>
      <c r="Q307" s="11"/>
      <c r="R307" s="11"/>
      <c r="CB307" s="11"/>
      <c r="CE307" s="11"/>
      <c r="CF307" s="11"/>
    </row>
    <row r="308" spans="4:84" x14ac:dyDescent="0.25">
      <c r="D308" s="11"/>
      <c r="E308" s="11"/>
      <c r="F308" s="11"/>
      <c r="G308" s="11"/>
      <c r="H308" s="11"/>
      <c r="I308" s="11"/>
      <c r="J308" s="11"/>
      <c r="N308" s="11"/>
      <c r="O308" s="11"/>
      <c r="P308" s="11"/>
      <c r="Q308" s="11"/>
      <c r="R308" s="11"/>
      <c r="CB308" s="11"/>
      <c r="CE308" s="11"/>
      <c r="CF308" s="11"/>
    </row>
    <row r="309" spans="4:84" x14ac:dyDescent="0.25">
      <c r="D309" s="11"/>
      <c r="E309" s="11"/>
      <c r="F309" s="11"/>
      <c r="G309" s="11"/>
      <c r="H309" s="11"/>
      <c r="I309" s="11"/>
      <c r="J309" s="11"/>
      <c r="N309" s="11"/>
      <c r="O309" s="11"/>
      <c r="P309" s="11"/>
      <c r="Q309" s="11"/>
      <c r="R309" s="11"/>
      <c r="CB309" s="11"/>
      <c r="CE309" s="11"/>
      <c r="CF309" s="11"/>
    </row>
    <row r="310" spans="4:84" x14ac:dyDescent="0.25">
      <c r="D310" s="11"/>
      <c r="E310" s="11"/>
      <c r="F310" s="11"/>
      <c r="G310" s="11"/>
      <c r="H310" s="11"/>
      <c r="I310" s="11"/>
      <c r="J310" s="11"/>
      <c r="N310" s="11"/>
      <c r="O310" s="11"/>
      <c r="P310" s="11"/>
      <c r="Q310" s="11"/>
      <c r="R310" s="11"/>
      <c r="CB310" s="11"/>
      <c r="CE310" s="11"/>
      <c r="CF310" s="11"/>
    </row>
    <row r="311" spans="4:84" x14ac:dyDescent="0.25">
      <c r="D311" s="11"/>
      <c r="E311" s="11"/>
      <c r="F311" s="11"/>
      <c r="G311" s="11"/>
      <c r="H311" s="11"/>
      <c r="I311" s="11"/>
      <c r="J311" s="11"/>
      <c r="N311" s="11"/>
      <c r="O311" s="11"/>
      <c r="P311" s="11"/>
      <c r="Q311" s="11"/>
      <c r="R311" s="11"/>
      <c r="CB311" s="11"/>
      <c r="CE311" s="11"/>
      <c r="CF311" s="11"/>
    </row>
    <row r="312" spans="4:84" x14ac:dyDescent="0.25">
      <c r="D312" s="11"/>
      <c r="E312" s="11"/>
      <c r="F312" s="11"/>
      <c r="G312" s="11"/>
      <c r="H312" s="11"/>
      <c r="I312" s="11"/>
      <c r="J312" s="11"/>
      <c r="N312" s="11"/>
      <c r="O312" s="11"/>
      <c r="P312" s="11"/>
      <c r="Q312" s="11"/>
      <c r="R312" s="11"/>
      <c r="CB312" s="11"/>
      <c r="CE312" s="11"/>
      <c r="CF312" s="11"/>
    </row>
    <row r="313" spans="4:84" x14ac:dyDescent="0.25">
      <c r="D313" s="11"/>
      <c r="E313" s="11"/>
      <c r="F313" s="11"/>
      <c r="G313" s="11"/>
      <c r="H313" s="11"/>
      <c r="I313" s="11"/>
      <c r="J313" s="11"/>
      <c r="N313" s="11"/>
      <c r="O313" s="11"/>
      <c r="P313" s="11"/>
      <c r="Q313" s="11"/>
      <c r="R313" s="11"/>
      <c r="CB313" s="11"/>
      <c r="CE313" s="11"/>
      <c r="CF313" s="11"/>
    </row>
    <row r="314" spans="4:84" x14ac:dyDescent="0.25">
      <c r="D314" s="11"/>
      <c r="E314" s="11"/>
      <c r="F314" s="11"/>
      <c r="G314" s="11"/>
      <c r="H314" s="11"/>
      <c r="I314" s="11"/>
      <c r="J314" s="11"/>
      <c r="N314" s="11"/>
      <c r="O314" s="11"/>
      <c r="P314" s="11"/>
      <c r="Q314" s="11"/>
      <c r="R314" s="11"/>
      <c r="CB314" s="11"/>
      <c r="CE314" s="11"/>
      <c r="CF314" s="11"/>
    </row>
    <row r="315" spans="4:84" x14ac:dyDescent="0.25">
      <c r="D315" s="11"/>
      <c r="E315" s="11"/>
      <c r="F315" s="11"/>
      <c r="G315" s="11"/>
      <c r="H315" s="11"/>
      <c r="I315" s="11"/>
      <c r="J315" s="11"/>
      <c r="N315" s="11"/>
      <c r="O315" s="11"/>
      <c r="P315" s="11"/>
      <c r="Q315" s="11"/>
      <c r="R315" s="11"/>
      <c r="CB315" s="11"/>
      <c r="CE315" s="11"/>
      <c r="CF315" s="11"/>
    </row>
    <row r="316" spans="4:84" x14ac:dyDescent="0.25">
      <c r="D316" s="11"/>
      <c r="E316" s="11"/>
      <c r="F316" s="11"/>
      <c r="G316" s="11"/>
      <c r="H316" s="11"/>
      <c r="I316" s="11"/>
      <c r="J316" s="11"/>
      <c r="N316" s="11"/>
      <c r="O316" s="11"/>
      <c r="P316" s="11"/>
      <c r="Q316" s="11"/>
      <c r="R316" s="11"/>
      <c r="CB316" s="11"/>
      <c r="CE316" s="11"/>
      <c r="CF316" s="11"/>
    </row>
    <row r="317" spans="4:84" x14ac:dyDescent="0.25">
      <c r="D317" s="11"/>
      <c r="E317" s="11"/>
      <c r="F317" s="11"/>
      <c r="G317" s="11"/>
      <c r="H317" s="11"/>
      <c r="I317" s="11"/>
      <c r="J317" s="11"/>
      <c r="N317" s="11"/>
      <c r="O317" s="11"/>
      <c r="P317" s="11"/>
      <c r="Q317" s="11"/>
      <c r="R317" s="11"/>
      <c r="CB317" s="11"/>
      <c r="CE317" s="11"/>
      <c r="CF317" s="11"/>
    </row>
    <row r="318" spans="4:84" x14ac:dyDescent="0.25">
      <c r="D318" s="11"/>
      <c r="E318" s="11"/>
      <c r="F318" s="11"/>
      <c r="G318" s="11"/>
      <c r="H318" s="11"/>
      <c r="I318" s="11"/>
      <c r="J318" s="11"/>
      <c r="N318" s="11"/>
      <c r="O318" s="11"/>
      <c r="P318" s="11"/>
      <c r="Q318" s="11"/>
      <c r="R318" s="11"/>
      <c r="CB318" s="11"/>
      <c r="CE318" s="11"/>
      <c r="CF318" s="11"/>
    </row>
    <row r="319" spans="4:84" x14ac:dyDescent="0.25">
      <c r="D319" s="11"/>
      <c r="E319" s="11"/>
      <c r="F319" s="11"/>
      <c r="G319" s="11"/>
      <c r="H319" s="11"/>
      <c r="I319" s="11"/>
      <c r="J319" s="11"/>
      <c r="N319" s="11"/>
      <c r="O319" s="11"/>
      <c r="P319" s="11"/>
      <c r="Q319" s="11"/>
      <c r="R319" s="11"/>
      <c r="CB319" s="11"/>
      <c r="CE319" s="11"/>
      <c r="CF319" s="11"/>
    </row>
    <row r="320" spans="4:84" x14ac:dyDescent="0.25">
      <c r="D320" s="11"/>
      <c r="E320" s="11"/>
      <c r="F320" s="11"/>
      <c r="G320" s="11"/>
      <c r="H320" s="11"/>
      <c r="I320" s="11"/>
      <c r="J320" s="11"/>
      <c r="N320" s="11"/>
      <c r="O320" s="11"/>
      <c r="P320" s="11"/>
      <c r="Q320" s="11"/>
      <c r="R320" s="11"/>
      <c r="CB320" s="11"/>
      <c r="CE320" s="11"/>
      <c r="CF320" s="11"/>
    </row>
    <row r="321" spans="4:84" x14ac:dyDescent="0.25">
      <c r="D321" s="11"/>
      <c r="E321" s="11"/>
      <c r="F321" s="11"/>
      <c r="G321" s="11"/>
      <c r="H321" s="11"/>
      <c r="I321" s="11"/>
      <c r="J321" s="11"/>
      <c r="N321" s="11"/>
      <c r="O321" s="11"/>
      <c r="P321" s="11"/>
      <c r="Q321" s="11"/>
      <c r="R321" s="11"/>
      <c r="CB321" s="11"/>
      <c r="CE321" s="11"/>
      <c r="CF321" s="11"/>
    </row>
    <row r="322" spans="4:84" x14ac:dyDescent="0.25">
      <c r="D322" s="11"/>
      <c r="E322" s="11"/>
      <c r="F322" s="11"/>
      <c r="G322" s="11"/>
      <c r="H322" s="11"/>
      <c r="I322" s="11"/>
      <c r="J322" s="11"/>
      <c r="N322" s="11"/>
      <c r="O322" s="11"/>
      <c r="P322" s="11"/>
      <c r="Q322" s="11"/>
      <c r="R322" s="11"/>
      <c r="CB322" s="11"/>
      <c r="CE322" s="11"/>
      <c r="CF322" s="11"/>
    </row>
    <row r="323" spans="4:84" x14ac:dyDescent="0.25">
      <c r="D323" s="11"/>
      <c r="E323" s="11"/>
      <c r="F323" s="11"/>
      <c r="G323" s="11"/>
      <c r="H323" s="11"/>
      <c r="I323" s="11"/>
      <c r="J323" s="11"/>
      <c r="N323" s="11"/>
      <c r="O323" s="11"/>
      <c r="P323" s="11"/>
      <c r="Q323" s="11"/>
      <c r="R323" s="11"/>
      <c r="CB323" s="11"/>
      <c r="CE323" s="11"/>
      <c r="CF323" s="11"/>
    </row>
    <row r="324" spans="4:84" x14ac:dyDescent="0.25">
      <c r="D324" s="11"/>
      <c r="E324" s="11"/>
      <c r="F324" s="11"/>
      <c r="G324" s="11"/>
      <c r="H324" s="11"/>
      <c r="I324" s="11"/>
      <c r="J324" s="11"/>
      <c r="N324" s="11"/>
      <c r="O324" s="11"/>
      <c r="P324" s="11"/>
      <c r="Q324" s="11"/>
      <c r="R324" s="11"/>
      <c r="CB324" s="11"/>
      <c r="CE324" s="11"/>
      <c r="CF324" s="11"/>
    </row>
    <row r="325" spans="4:84" x14ac:dyDescent="0.25">
      <c r="D325" s="11"/>
      <c r="E325" s="11"/>
      <c r="F325" s="11"/>
      <c r="G325" s="11"/>
      <c r="H325" s="11"/>
      <c r="I325" s="11"/>
      <c r="J325" s="11"/>
      <c r="N325" s="11"/>
      <c r="O325" s="11"/>
      <c r="P325" s="11"/>
      <c r="Q325" s="11"/>
      <c r="R325" s="11"/>
      <c r="CB325" s="11"/>
      <c r="CE325" s="11"/>
      <c r="CF325" s="11"/>
    </row>
    <row r="326" spans="4:84" x14ac:dyDescent="0.25">
      <c r="D326" s="11"/>
      <c r="E326" s="11"/>
      <c r="F326" s="11"/>
      <c r="G326" s="11"/>
      <c r="H326" s="11"/>
      <c r="I326" s="11"/>
      <c r="J326" s="11"/>
      <c r="N326" s="11"/>
      <c r="O326" s="11"/>
      <c r="P326" s="11"/>
      <c r="Q326" s="11"/>
      <c r="R326" s="11"/>
      <c r="CB326" s="11"/>
      <c r="CE326" s="11"/>
      <c r="CF326" s="11"/>
    </row>
    <row r="327" spans="4:84" x14ac:dyDescent="0.25">
      <c r="D327" s="11"/>
      <c r="E327" s="11"/>
      <c r="F327" s="11"/>
      <c r="G327" s="11"/>
      <c r="H327" s="11"/>
      <c r="I327" s="11"/>
      <c r="J327" s="11"/>
      <c r="N327" s="11"/>
      <c r="O327" s="11"/>
      <c r="P327" s="11"/>
      <c r="Q327" s="11"/>
      <c r="R327" s="11"/>
      <c r="CB327" s="11"/>
      <c r="CE327" s="11"/>
      <c r="CF327" s="11"/>
    </row>
    <row r="328" spans="4:84" x14ac:dyDescent="0.25">
      <c r="D328" s="11"/>
      <c r="E328" s="11"/>
      <c r="F328" s="11"/>
      <c r="G328" s="11"/>
      <c r="H328" s="11"/>
      <c r="I328" s="11"/>
      <c r="J328" s="11"/>
      <c r="N328" s="11"/>
      <c r="O328" s="11"/>
      <c r="P328" s="11"/>
      <c r="Q328" s="11"/>
      <c r="R328" s="11"/>
      <c r="CB328" s="11"/>
      <c r="CE328" s="11"/>
      <c r="CF328" s="11"/>
    </row>
    <row r="329" spans="4:84" x14ac:dyDescent="0.25">
      <c r="D329" s="11"/>
      <c r="E329" s="11"/>
      <c r="F329" s="11"/>
      <c r="G329" s="11"/>
      <c r="H329" s="11"/>
      <c r="I329" s="11"/>
      <c r="J329" s="11"/>
      <c r="N329" s="11"/>
      <c r="O329" s="11"/>
      <c r="P329" s="11"/>
      <c r="Q329" s="11"/>
      <c r="R329" s="11"/>
      <c r="CB329" s="11"/>
      <c r="CE329" s="11"/>
      <c r="CF329" s="11"/>
    </row>
    <row r="330" spans="4:84" x14ac:dyDescent="0.25">
      <c r="D330" s="11"/>
      <c r="E330" s="11"/>
      <c r="F330" s="11"/>
      <c r="G330" s="11"/>
      <c r="H330" s="11"/>
      <c r="I330" s="11"/>
      <c r="J330" s="11"/>
      <c r="N330" s="11"/>
      <c r="O330" s="11"/>
      <c r="P330" s="11"/>
      <c r="Q330" s="11"/>
      <c r="R330" s="11"/>
      <c r="CB330" s="11"/>
      <c r="CE330" s="11"/>
      <c r="CF330" s="11"/>
    </row>
    <row r="331" spans="4:84" x14ac:dyDescent="0.25">
      <c r="D331" s="11"/>
      <c r="E331" s="11"/>
      <c r="F331" s="11"/>
      <c r="G331" s="11"/>
      <c r="H331" s="11"/>
      <c r="I331" s="11"/>
      <c r="J331" s="11"/>
      <c r="N331" s="11"/>
      <c r="O331" s="11"/>
      <c r="P331" s="11"/>
      <c r="Q331" s="11"/>
      <c r="R331" s="11"/>
      <c r="CB331" s="11"/>
      <c r="CE331" s="11"/>
      <c r="CF331" s="11"/>
    </row>
    <row r="332" spans="4:84" x14ac:dyDescent="0.25">
      <c r="D332" s="11"/>
      <c r="E332" s="11"/>
      <c r="F332" s="11"/>
      <c r="G332" s="11"/>
      <c r="H332" s="11"/>
      <c r="I332" s="11"/>
      <c r="J332" s="11"/>
      <c r="N332" s="11"/>
      <c r="O332" s="11"/>
      <c r="P332" s="11"/>
      <c r="Q332" s="11"/>
      <c r="R332" s="11"/>
      <c r="CB332" s="11"/>
      <c r="CE332" s="11"/>
      <c r="CF332" s="11"/>
    </row>
    <row r="333" spans="4:84" x14ac:dyDescent="0.25">
      <c r="D333" s="11"/>
      <c r="E333" s="11"/>
      <c r="F333" s="11"/>
      <c r="G333" s="11"/>
      <c r="H333" s="11"/>
      <c r="I333" s="11"/>
      <c r="J333" s="11"/>
      <c r="N333" s="11"/>
      <c r="O333" s="11"/>
      <c r="P333" s="11"/>
      <c r="Q333" s="11"/>
      <c r="R333" s="11"/>
      <c r="CB333" s="11"/>
      <c r="CE333" s="11"/>
      <c r="CF333" s="11"/>
    </row>
    <row r="334" spans="4:84" x14ac:dyDescent="0.25">
      <c r="D334" s="11"/>
      <c r="E334" s="11"/>
      <c r="F334" s="11"/>
      <c r="G334" s="11"/>
      <c r="H334" s="11"/>
      <c r="I334" s="11"/>
      <c r="J334" s="11"/>
      <c r="N334" s="11"/>
      <c r="O334" s="11"/>
      <c r="P334" s="11"/>
      <c r="Q334" s="11"/>
      <c r="R334" s="11"/>
      <c r="CB334" s="11"/>
      <c r="CE334" s="11"/>
      <c r="CF334" s="11"/>
    </row>
    <row r="335" spans="4:84" x14ac:dyDescent="0.25">
      <c r="D335" s="11"/>
      <c r="E335" s="11"/>
      <c r="F335" s="11"/>
      <c r="G335" s="11"/>
      <c r="H335" s="11"/>
      <c r="I335" s="11"/>
      <c r="J335" s="11"/>
      <c r="N335" s="11"/>
      <c r="O335" s="11"/>
      <c r="P335" s="11"/>
      <c r="Q335" s="11"/>
      <c r="R335" s="11"/>
      <c r="CB335" s="11"/>
      <c r="CE335" s="11"/>
      <c r="CF335" s="11"/>
    </row>
    <row r="336" spans="4:84" x14ac:dyDescent="0.25">
      <c r="D336" s="11"/>
      <c r="E336" s="11"/>
      <c r="F336" s="11"/>
      <c r="G336" s="11"/>
      <c r="H336" s="11"/>
      <c r="I336" s="11"/>
      <c r="J336" s="11"/>
      <c r="N336" s="11"/>
      <c r="O336" s="11"/>
      <c r="P336" s="11"/>
      <c r="Q336" s="11"/>
      <c r="R336" s="11"/>
      <c r="CB336" s="11"/>
      <c r="CE336" s="11"/>
      <c r="CF336" s="11"/>
    </row>
    <row r="337" spans="4:84" x14ac:dyDescent="0.25">
      <c r="D337" s="11"/>
      <c r="E337" s="11"/>
      <c r="F337" s="11"/>
      <c r="G337" s="11"/>
      <c r="H337" s="11"/>
      <c r="I337" s="11"/>
      <c r="J337" s="11"/>
      <c r="N337" s="11"/>
      <c r="O337" s="11"/>
      <c r="P337" s="11"/>
      <c r="Q337" s="11"/>
      <c r="R337" s="11"/>
      <c r="CB337" s="11"/>
      <c r="CE337" s="11"/>
      <c r="CF337" s="11"/>
    </row>
    <row r="338" spans="4:84" x14ac:dyDescent="0.25">
      <c r="D338" s="11"/>
      <c r="E338" s="11"/>
      <c r="F338" s="11"/>
      <c r="G338" s="11"/>
      <c r="H338" s="11"/>
      <c r="I338" s="11"/>
      <c r="J338" s="11"/>
      <c r="N338" s="11"/>
      <c r="O338" s="11"/>
      <c r="P338" s="11"/>
      <c r="Q338" s="11"/>
      <c r="R338" s="11"/>
      <c r="CB338" s="11"/>
      <c r="CE338" s="11"/>
      <c r="CF338" s="11"/>
    </row>
    <row r="339" spans="4:84" x14ac:dyDescent="0.25">
      <c r="D339" s="11"/>
      <c r="E339" s="11"/>
      <c r="F339" s="11"/>
      <c r="G339" s="11"/>
      <c r="H339" s="11"/>
      <c r="I339" s="11"/>
      <c r="J339" s="11"/>
      <c r="N339" s="11"/>
      <c r="O339" s="11"/>
      <c r="P339" s="11"/>
      <c r="Q339" s="11"/>
      <c r="R339" s="11"/>
      <c r="CB339" s="11"/>
      <c r="CE339" s="11"/>
      <c r="CF339" s="11"/>
    </row>
    <row r="340" spans="4:84" x14ac:dyDescent="0.25">
      <c r="D340" s="11"/>
      <c r="E340" s="11"/>
      <c r="F340" s="11"/>
      <c r="G340" s="11"/>
      <c r="H340" s="11"/>
      <c r="I340" s="11"/>
      <c r="J340" s="11"/>
      <c r="N340" s="11"/>
      <c r="O340" s="11"/>
      <c r="P340" s="11"/>
      <c r="Q340" s="11"/>
      <c r="R340" s="11"/>
      <c r="CB340" s="11"/>
      <c r="CE340" s="11"/>
      <c r="CF340" s="11"/>
    </row>
    <row r="341" spans="4:84" x14ac:dyDescent="0.25">
      <c r="D341" s="11"/>
      <c r="E341" s="11"/>
      <c r="F341" s="11"/>
      <c r="G341" s="11"/>
      <c r="H341" s="11"/>
      <c r="I341" s="11"/>
      <c r="J341" s="11"/>
      <c r="N341" s="11"/>
      <c r="O341" s="11"/>
      <c r="P341" s="11"/>
      <c r="Q341" s="11"/>
      <c r="R341" s="11"/>
      <c r="CB341" s="11"/>
      <c r="CE341" s="11"/>
      <c r="CF341" s="11"/>
    </row>
    <row r="342" spans="4:84" x14ac:dyDescent="0.25">
      <c r="D342" s="11"/>
      <c r="E342" s="11"/>
      <c r="F342" s="11"/>
      <c r="G342" s="11"/>
      <c r="H342" s="11"/>
      <c r="I342" s="11"/>
      <c r="J342" s="11"/>
      <c r="N342" s="11"/>
      <c r="O342" s="11"/>
      <c r="P342" s="11"/>
      <c r="Q342" s="11"/>
      <c r="R342" s="11"/>
      <c r="CB342" s="11"/>
      <c r="CE342" s="11"/>
      <c r="CF342" s="11"/>
    </row>
    <row r="343" spans="4:84" x14ac:dyDescent="0.25">
      <c r="D343" s="11"/>
      <c r="E343" s="11"/>
      <c r="F343" s="11"/>
      <c r="G343" s="11"/>
      <c r="H343" s="11"/>
      <c r="I343" s="11"/>
      <c r="J343" s="11"/>
      <c r="N343" s="11"/>
      <c r="O343" s="11"/>
      <c r="P343" s="11"/>
      <c r="Q343" s="11"/>
      <c r="R343" s="11"/>
      <c r="CB343" s="11"/>
      <c r="CE343" s="11"/>
      <c r="CF343" s="11"/>
    </row>
    <row r="344" spans="4:84" x14ac:dyDescent="0.25">
      <c r="D344" s="11"/>
      <c r="E344" s="11"/>
      <c r="F344" s="11"/>
      <c r="G344" s="11"/>
      <c r="H344" s="11"/>
      <c r="I344" s="11"/>
      <c r="J344" s="11"/>
      <c r="N344" s="11"/>
      <c r="O344" s="11"/>
      <c r="P344" s="11"/>
      <c r="Q344" s="11"/>
      <c r="R344" s="11"/>
      <c r="CB344" s="11"/>
      <c r="CE344" s="11"/>
      <c r="CF344" s="11"/>
    </row>
    <row r="345" spans="4:84" x14ac:dyDescent="0.25">
      <c r="D345" s="11"/>
      <c r="E345" s="11"/>
      <c r="F345" s="11"/>
      <c r="G345" s="11"/>
      <c r="H345" s="11"/>
      <c r="I345" s="11"/>
      <c r="J345" s="11"/>
      <c r="N345" s="11"/>
      <c r="O345" s="11"/>
      <c r="P345" s="11"/>
      <c r="Q345" s="11"/>
      <c r="R345" s="11"/>
      <c r="CB345" s="11"/>
      <c r="CE345" s="11"/>
      <c r="CF345" s="11"/>
    </row>
    <row r="346" spans="4:84" x14ac:dyDescent="0.25">
      <c r="D346" s="11"/>
      <c r="E346" s="11"/>
      <c r="F346" s="11"/>
      <c r="G346" s="11"/>
      <c r="H346" s="11"/>
      <c r="I346" s="11"/>
      <c r="J346" s="11"/>
      <c r="N346" s="11"/>
      <c r="O346" s="11"/>
      <c r="P346" s="11"/>
      <c r="Q346" s="11"/>
      <c r="R346" s="11"/>
      <c r="CB346" s="11"/>
      <c r="CE346" s="11"/>
      <c r="CF346" s="11"/>
    </row>
    <row r="347" spans="4:84" x14ac:dyDescent="0.25">
      <c r="D347" s="11"/>
      <c r="E347" s="11"/>
      <c r="F347" s="11"/>
      <c r="G347" s="11"/>
      <c r="H347" s="11"/>
      <c r="I347" s="11"/>
      <c r="J347" s="11"/>
      <c r="N347" s="11"/>
      <c r="O347" s="11"/>
      <c r="P347" s="11"/>
      <c r="Q347" s="11"/>
      <c r="R347" s="11"/>
      <c r="CB347" s="11"/>
      <c r="CE347" s="11"/>
      <c r="CF347" s="11"/>
    </row>
    <row r="348" spans="4:84" x14ac:dyDescent="0.25">
      <c r="D348" s="11"/>
      <c r="E348" s="11"/>
      <c r="F348" s="11"/>
      <c r="G348" s="11"/>
      <c r="H348" s="11"/>
      <c r="I348" s="11"/>
      <c r="J348" s="11"/>
      <c r="N348" s="11"/>
      <c r="O348" s="11"/>
      <c r="P348" s="11"/>
      <c r="Q348" s="11"/>
      <c r="R348" s="11"/>
      <c r="CB348" s="11"/>
      <c r="CE348" s="11"/>
      <c r="CF348" s="11"/>
    </row>
    <row r="349" spans="4:84" x14ac:dyDescent="0.25">
      <c r="D349" s="11"/>
      <c r="E349" s="11"/>
      <c r="F349" s="11"/>
      <c r="G349" s="11"/>
      <c r="H349" s="11"/>
      <c r="I349" s="11"/>
      <c r="J349" s="11"/>
      <c r="N349" s="11"/>
      <c r="O349" s="11"/>
      <c r="P349" s="11"/>
      <c r="Q349" s="11"/>
      <c r="R349" s="11"/>
      <c r="CB349" s="11"/>
      <c r="CE349" s="11"/>
      <c r="CF349" s="11"/>
    </row>
    <row r="350" spans="4:84" x14ac:dyDescent="0.25">
      <c r="D350" s="11"/>
      <c r="E350" s="11"/>
      <c r="F350" s="11"/>
      <c r="G350" s="11"/>
      <c r="H350" s="11"/>
      <c r="I350" s="11"/>
      <c r="J350" s="11"/>
      <c r="N350" s="11"/>
      <c r="O350" s="11"/>
      <c r="P350" s="11"/>
      <c r="Q350" s="11"/>
      <c r="R350" s="11"/>
      <c r="CB350" s="11"/>
      <c r="CE350" s="11"/>
      <c r="CF350" s="11"/>
    </row>
    <row r="351" spans="4:84" x14ac:dyDescent="0.25">
      <c r="D351" s="11"/>
      <c r="E351" s="11"/>
      <c r="F351" s="11"/>
      <c r="G351" s="11"/>
      <c r="H351" s="11"/>
      <c r="I351" s="11"/>
      <c r="J351" s="11"/>
      <c r="N351" s="11"/>
      <c r="O351" s="11"/>
      <c r="P351" s="11"/>
      <c r="Q351" s="11"/>
      <c r="R351" s="11"/>
      <c r="CB351" s="11"/>
      <c r="CE351" s="11"/>
      <c r="CF351" s="11"/>
    </row>
    <row r="352" spans="4:84" x14ac:dyDescent="0.25">
      <c r="D352" s="11"/>
      <c r="E352" s="11"/>
      <c r="F352" s="11"/>
      <c r="G352" s="11"/>
      <c r="H352" s="11"/>
      <c r="I352" s="11"/>
      <c r="J352" s="11"/>
      <c r="N352" s="11"/>
      <c r="O352" s="11"/>
      <c r="P352" s="11"/>
      <c r="Q352" s="11"/>
      <c r="R352" s="11"/>
      <c r="CB352" s="11"/>
      <c r="CE352" s="11"/>
      <c r="CF352" s="11"/>
    </row>
    <row r="353" spans="4:84" x14ac:dyDescent="0.25">
      <c r="D353" s="11"/>
      <c r="E353" s="11"/>
      <c r="F353" s="11"/>
      <c r="G353" s="11"/>
      <c r="H353" s="11"/>
      <c r="I353" s="11"/>
      <c r="J353" s="11"/>
      <c r="N353" s="11"/>
      <c r="O353" s="11"/>
      <c r="P353" s="11"/>
      <c r="Q353" s="11"/>
      <c r="R353" s="11"/>
      <c r="CB353" s="11"/>
      <c r="CE353" s="11"/>
      <c r="CF353" s="11"/>
    </row>
    <row r="354" spans="4:84" x14ac:dyDescent="0.25">
      <c r="D354" s="11"/>
      <c r="E354" s="11"/>
      <c r="F354" s="11"/>
      <c r="G354" s="11"/>
      <c r="H354" s="11"/>
      <c r="I354" s="11"/>
      <c r="J354" s="11"/>
      <c r="N354" s="11"/>
      <c r="O354" s="11"/>
      <c r="P354" s="11"/>
      <c r="Q354" s="11"/>
      <c r="R354" s="11"/>
      <c r="CB354" s="11"/>
      <c r="CE354" s="11"/>
      <c r="CF354" s="11"/>
    </row>
    <row r="355" spans="4:84" x14ac:dyDescent="0.25">
      <c r="D355" s="11"/>
      <c r="E355" s="11"/>
      <c r="F355" s="11"/>
      <c r="G355" s="11"/>
      <c r="H355" s="11"/>
      <c r="I355" s="11"/>
      <c r="J355" s="11"/>
      <c r="N355" s="11"/>
      <c r="O355" s="11"/>
      <c r="P355" s="11"/>
      <c r="Q355" s="11"/>
      <c r="R355" s="11"/>
      <c r="CB355" s="11"/>
      <c r="CE355" s="11"/>
      <c r="CF355" s="11"/>
    </row>
    <row r="356" spans="4:84" x14ac:dyDescent="0.25">
      <c r="D356" s="11"/>
      <c r="E356" s="11"/>
      <c r="F356" s="11"/>
      <c r="G356" s="11"/>
      <c r="H356" s="11"/>
      <c r="I356" s="11"/>
      <c r="J356" s="11"/>
      <c r="N356" s="11"/>
      <c r="O356" s="11"/>
      <c r="P356" s="11"/>
      <c r="Q356" s="11"/>
      <c r="R356" s="11"/>
      <c r="CB356" s="11"/>
      <c r="CE356" s="11"/>
      <c r="CF356" s="11"/>
    </row>
    <row r="357" spans="4:84" x14ac:dyDescent="0.25">
      <c r="D357" s="11"/>
      <c r="E357" s="11"/>
      <c r="F357" s="11"/>
      <c r="G357" s="11"/>
      <c r="H357" s="11"/>
      <c r="I357" s="11"/>
      <c r="J357" s="11"/>
      <c r="N357" s="11"/>
      <c r="O357" s="11"/>
      <c r="P357" s="11"/>
      <c r="Q357" s="11"/>
      <c r="R357" s="11"/>
      <c r="CB357" s="11"/>
      <c r="CE357" s="11"/>
      <c r="CF357" s="11"/>
    </row>
    <row r="358" spans="4:84" x14ac:dyDescent="0.25">
      <c r="D358" s="11"/>
      <c r="E358" s="11"/>
      <c r="F358" s="11"/>
      <c r="G358" s="11"/>
      <c r="H358" s="11"/>
      <c r="I358" s="11"/>
      <c r="J358" s="11"/>
      <c r="N358" s="11"/>
      <c r="O358" s="11"/>
      <c r="P358" s="11"/>
      <c r="Q358" s="11"/>
      <c r="R358" s="11"/>
      <c r="CB358" s="11"/>
      <c r="CE358" s="11"/>
      <c r="CF358" s="11"/>
    </row>
    <row r="359" spans="4:84" x14ac:dyDescent="0.25">
      <c r="D359" s="11"/>
      <c r="E359" s="11"/>
      <c r="F359" s="11"/>
      <c r="G359" s="11"/>
      <c r="H359" s="11"/>
      <c r="I359" s="11"/>
      <c r="J359" s="11"/>
      <c r="N359" s="11"/>
      <c r="O359" s="11"/>
      <c r="P359" s="11"/>
      <c r="Q359" s="11"/>
      <c r="R359" s="11"/>
      <c r="CB359" s="11"/>
      <c r="CE359" s="11"/>
      <c r="CF359" s="11"/>
    </row>
    <row r="360" spans="4:84" x14ac:dyDescent="0.25">
      <c r="D360" s="11"/>
      <c r="E360" s="11"/>
      <c r="F360" s="11"/>
      <c r="G360" s="11"/>
      <c r="H360" s="11"/>
      <c r="I360" s="11"/>
      <c r="J360" s="11"/>
      <c r="N360" s="11"/>
      <c r="O360" s="11"/>
      <c r="P360" s="11"/>
      <c r="Q360" s="11"/>
      <c r="R360" s="11"/>
      <c r="CB360" s="11"/>
      <c r="CE360" s="11"/>
      <c r="CF360" s="11"/>
    </row>
    <row r="361" spans="4:84" x14ac:dyDescent="0.25">
      <c r="D361" s="11"/>
      <c r="E361" s="11"/>
      <c r="F361" s="11"/>
      <c r="G361" s="11"/>
      <c r="H361" s="11"/>
      <c r="I361" s="11"/>
      <c r="J361" s="11"/>
      <c r="N361" s="11"/>
      <c r="O361" s="11"/>
      <c r="P361" s="11"/>
      <c r="Q361" s="11"/>
      <c r="R361" s="11"/>
      <c r="CB361" s="11"/>
      <c r="CE361" s="11"/>
      <c r="CF361" s="11"/>
    </row>
    <row r="362" spans="4:84" x14ac:dyDescent="0.25">
      <c r="D362" s="11"/>
      <c r="E362" s="11"/>
      <c r="F362" s="11"/>
      <c r="G362" s="11"/>
      <c r="H362" s="11"/>
      <c r="I362" s="11"/>
      <c r="J362" s="11"/>
      <c r="N362" s="11"/>
      <c r="O362" s="11"/>
      <c r="P362" s="11"/>
      <c r="Q362" s="11"/>
      <c r="R362" s="11"/>
      <c r="CB362" s="11"/>
      <c r="CE362" s="11"/>
      <c r="CF362" s="11"/>
    </row>
    <row r="363" spans="4:84" x14ac:dyDescent="0.25">
      <c r="D363" s="11"/>
      <c r="E363" s="11"/>
      <c r="F363" s="11"/>
      <c r="G363" s="11"/>
      <c r="H363" s="11"/>
      <c r="I363" s="11"/>
      <c r="J363" s="11"/>
      <c r="N363" s="11"/>
      <c r="O363" s="11"/>
      <c r="P363" s="11"/>
      <c r="Q363" s="11"/>
      <c r="R363" s="11"/>
      <c r="CB363" s="11"/>
      <c r="CE363" s="11"/>
      <c r="CF363" s="11"/>
    </row>
    <row r="364" spans="4:84" x14ac:dyDescent="0.25">
      <c r="D364" s="11"/>
      <c r="E364" s="11"/>
      <c r="F364" s="11"/>
      <c r="G364" s="11"/>
      <c r="H364" s="11"/>
      <c r="I364" s="11"/>
      <c r="J364" s="11"/>
      <c r="N364" s="11"/>
      <c r="O364" s="11"/>
      <c r="P364" s="11"/>
      <c r="Q364" s="11"/>
      <c r="R364" s="11"/>
      <c r="CB364" s="11"/>
      <c r="CE364" s="11"/>
      <c r="CF364" s="11"/>
    </row>
    <row r="365" spans="4:84" x14ac:dyDescent="0.25">
      <c r="D365" s="11"/>
      <c r="E365" s="11"/>
      <c r="F365" s="11"/>
      <c r="G365" s="11"/>
      <c r="H365" s="11"/>
      <c r="I365" s="11"/>
      <c r="J365" s="11"/>
      <c r="N365" s="11"/>
      <c r="O365" s="11"/>
      <c r="P365" s="11"/>
      <c r="Q365" s="11"/>
      <c r="R365" s="11"/>
      <c r="CB365" s="11"/>
      <c r="CE365" s="11"/>
      <c r="CF365" s="11"/>
    </row>
    <row r="366" spans="4:84" x14ac:dyDescent="0.25">
      <c r="D366" s="11"/>
      <c r="E366" s="11"/>
      <c r="F366" s="11"/>
      <c r="G366" s="11"/>
      <c r="H366" s="11"/>
      <c r="I366" s="11"/>
      <c r="J366" s="11"/>
      <c r="N366" s="11"/>
      <c r="O366" s="11"/>
      <c r="P366" s="11"/>
      <c r="Q366" s="11"/>
      <c r="R366" s="11"/>
      <c r="CB366" s="11"/>
      <c r="CE366" s="11"/>
      <c r="CF366" s="11"/>
    </row>
    <row r="367" spans="4:84" x14ac:dyDescent="0.25">
      <c r="D367" s="11"/>
      <c r="E367" s="11"/>
      <c r="F367" s="11"/>
      <c r="G367" s="11"/>
      <c r="H367" s="11"/>
      <c r="I367" s="11"/>
      <c r="J367" s="11"/>
      <c r="N367" s="11"/>
      <c r="O367" s="11"/>
      <c r="P367" s="11"/>
      <c r="Q367" s="11"/>
      <c r="R367" s="11"/>
      <c r="CB367" s="11"/>
      <c r="CE367" s="11"/>
      <c r="CF367" s="11"/>
    </row>
    <row r="368" spans="4:84" x14ac:dyDescent="0.25">
      <c r="D368" s="11"/>
      <c r="E368" s="11"/>
      <c r="F368" s="11"/>
      <c r="G368" s="11"/>
      <c r="H368" s="11"/>
      <c r="I368" s="11"/>
      <c r="J368" s="11"/>
      <c r="N368" s="11"/>
      <c r="O368" s="11"/>
      <c r="P368" s="11"/>
      <c r="Q368" s="11"/>
      <c r="R368" s="11"/>
      <c r="CB368" s="11"/>
      <c r="CE368" s="11"/>
      <c r="CF368" s="11"/>
    </row>
    <row r="369" spans="4:84" x14ac:dyDescent="0.25">
      <c r="D369" s="11"/>
      <c r="E369" s="11"/>
      <c r="F369" s="11"/>
      <c r="G369" s="11"/>
      <c r="H369" s="11"/>
      <c r="I369" s="11"/>
      <c r="J369" s="11"/>
      <c r="N369" s="11"/>
      <c r="O369" s="11"/>
      <c r="P369" s="11"/>
      <c r="Q369" s="11"/>
      <c r="R369" s="11"/>
      <c r="CB369" s="11"/>
      <c r="CE369" s="11"/>
      <c r="CF369" s="11"/>
    </row>
    <row r="370" spans="4:84" x14ac:dyDescent="0.25">
      <c r="D370" s="11"/>
      <c r="E370" s="11"/>
      <c r="F370" s="11"/>
      <c r="G370" s="11"/>
      <c r="H370" s="11"/>
      <c r="I370" s="11"/>
      <c r="J370" s="11"/>
      <c r="N370" s="11"/>
      <c r="O370" s="11"/>
      <c r="P370" s="11"/>
      <c r="Q370" s="11"/>
      <c r="R370" s="11"/>
      <c r="CB370" s="11"/>
      <c r="CE370" s="11"/>
      <c r="CF370" s="11"/>
    </row>
    <row r="371" spans="4:84" x14ac:dyDescent="0.25">
      <c r="D371" s="11"/>
      <c r="E371" s="11"/>
      <c r="F371" s="11"/>
      <c r="G371" s="11"/>
      <c r="H371" s="11"/>
      <c r="I371" s="11"/>
      <c r="J371" s="11"/>
      <c r="N371" s="11"/>
      <c r="O371" s="11"/>
      <c r="P371" s="11"/>
      <c r="Q371" s="11"/>
      <c r="R371" s="11"/>
      <c r="CB371" s="11"/>
      <c r="CE371" s="11"/>
      <c r="CF371" s="11"/>
    </row>
    <row r="372" spans="4:84" x14ac:dyDescent="0.25">
      <c r="D372" s="11"/>
      <c r="E372" s="11"/>
      <c r="F372" s="11"/>
      <c r="G372" s="11"/>
      <c r="H372" s="11"/>
      <c r="I372" s="11"/>
      <c r="J372" s="11"/>
      <c r="N372" s="11"/>
      <c r="O372" s="11"/>
      <c r="P372" s="11"/>
      <c r="Q372" s="11"/>
      <c r="R372" s="11"/>
      <c r="CB372" s="11"/>
      <c r="CE372" s="11"/>
      <c r="CF372" s="11"/>
    </row>
    <row r="373" spans="4:84" x14ac:dyDescent="0.25">
      <c r="D373" s="11"/>
      <c r="E373" s="11"/>
      <c r="F373" s="11"/>
      <c r="G373" s="11"/>
      <c r="H373" s="11"/>
      <c r="I373" s="11"/>
      <c r="J373" s="11"/>
      <c r="N373" s="11"/>
      <c r="O373" s="11"/>
      <c r="P373" s="11"/>
      <c r="Q373" s="11"/>
      <c r="R373" s="11"/>
      <c r="CB373" s="11"/>
      <c r="CE373" s="11"/>
      <c r="CF373" s="11"/>
    </row>
    <row r="374" spans="4:84" x14ac:dyDescent="0.25">
      <c r="D374" s="11"/>
      <c r="E374" s="11"/>
      <c r="F374" s="11"/>
      <c r="G374" s="11"/>
      <c r="H374" s="11"/>
      <c r="I374" s="11"/>
      <c r="J374" s="11"/>
      <c r="N374" s="11"/>
      <c r="O374" s="11"/>
      <c r="P374" s="11"/>
      <c r="Q374" s="11"/>
      <c r="R374" s="11"/>
      <c r="CB374" s="11"/>
      <c r="CE374" s="11"/>
      <c r="CF374" s="11"/>
    </row>
    <row r="375" spans="4:84" x14ac:dyDescent="0.25">
      <c r="D375" s="11"/>
      <c r="E375" s="11"/>
      <c r="F375" s="11"/>
      <c r="G375" s="11"/>
      <c r="H375" s="11"/>
      <c r="I375" s="11"/>
      <c r="J375" s="11"/>
      <c r="N375" s="11"/>
      <c r="O375" s="11"/>
      <c r="P375" s="11"/>
      <c r="Q375" s="11"/>
      <c r="R375" s="11"/>
      <c r="CB375" s="11"/>
      <c r="CE375" s="11"/>
      <c r="CF375" s="11"/>
    </row>
    <row r="376" spans="4:84" x14ac:dyDescent="0.25">
      <c r="D376" s="11"/>
      <c r="E376" s="11"/>
      <c r="F376" s="11"/>
      <c r="G376" s="11"/>
      <c r="H376" s="11"/>
      <c r="I376" s="11"/>
      <c r="J376" s="11"/>
      <c r="N376" s="11"/>
      <c r="O376" s="11"/>
      <c r="P376" s="11"/>
      <c r="Q376" s="11"/>
      <c r="R376" s="11"/>
      <c r="CB376" s="11"/>
      <c r="CE376" s="11"/>
      <c r="CF376" s="11"/>
    </row>
    <row r="377" spans="4:84" x14ac:dyDescent="0.25">
      <c r="D377" s="11"/>
      <c r="E377" s="11"/>
      <c r="F377" s="11"/>
      <c r="G377" s="11"/>
      <c r="H377" s="11"/>
      <c r="I377" s="11"/>
      <c r="J377" s="11"/>
      <c r="N377" s="11"/>
      <c r="O377" s="11"/>
      <c r="P377" s="11"/>
      <c r="Q377" s="11"/>
      <c r="R377" s="11"/>
      <c r="CB377" s="11"/>
      <c r="CE377" s="11"/>
      <c r="CF377" s="11"/>
    </row>
    <row r="378" spans="4:84" x14ac:dyDescent="0.25">
      <c r="D378" s="11"/>
      <c r="E378" s="11"/>
      <c r="F378" s="11"/>
      <c r="G378" s="11"/>
      <c r="H378" s="11"/>
      <c r="I378" s="11"/>
      <c r="J378" s="11"/>
      <c r="N378" s="11"/>
      <c r="O378" s="11"/>
      <c r="P378" s="11"/>
      <c r="Q378" s="11"/>
      <c r="R378" s="11"/>
      <c r="CB378" s="11"/>
      <c r="CE378" s="11"/>
      <c r="CF378" s="11"/>
    </row>
    <row r="379" spans="4:84" x14ac:dyDescent="0.25">
      <c r="D379" s="11"/>
      <c r="E379" s="11"/>
      <c r="F379" s="11"/>
      <c r="G379" s="11"/>
      <c r="H379" s="11"/>
      <c r="I379" s="11"/>
      <c r="J379" s="11"/>
      <c r="N379" s="11"/>
      <c r="O379" s="11"/>
      <c r="P379" s="11"/>
      <c r="Q379" s="11"/>
      <c r="R379" s="11"/>
      <c r="CB379" s="11"/>
      <c r="CE379" s="11"/>
      <c r="CF379" s="11"/>
    </row>
    <row r="380" spans="4:84" x14ac:dyDescent="0.25">
      <c r="D380" s="11"/>
      <c r="E380" s="11"/>
      <c r="F380" s="11"/>
      <c r="G380" s="11"/>
      <c r="H380" s="11"/>
      <c r="I380" s="11"/>
      <c r="J380" s="11"/>
      <c r="N380" s="11"/>
      <c r="O380" s="11"/>
      <c r="P380" s="11"/>
      <c r="Q380" s="11"/>
      <c r="R380" s="11"/>
      <c r="CB380" s="11"/>
      <c r="CE380" s="11"/>
      <c r="CF380" s="11"/>
    </row>
    <row r="381" spans="4:84" x14ac:dyDescent="0.25">
      <c r="D381" s="11"/>
      <c r="E381" s="11"/>
      <c r="F381" s="11"/>
      <c r="G381" s="11"/>
      <c r="H381" s="11"/>
      <c r="I381" s="11"/>
      <c r="J381" s="11"/>
      <c r="N381" s="11"/>
      <c r="O381" s="11"/>
      <c r="P381" s="11"/>
      <c r="Q381" s="11"/>
      <c r="R381" s="11"/>
      <c r="CB381" s="11"/>
      <c r="CE381" s="11"/>
      <c r="CF381" s="11"/>
    </row>
    <row r="382" spans="4:84" x14ac:dyDescent="0.25">
      <c r="D382" s="11"/>
      <c r="E382" s="11"/>
      <c r="F382" s="11"/>
      <c r="G382" s="11"/>
      <c r="H382" s="11"/>
      <c r="I382" s="11"/>
      <c r="J382" s="11"/>
      <c r="N382" s="11"/>
      <c r="O382" s="11"/>
      <c r="P382" s="11"/>
      <c r="Q382" s="11"/>
      <c r="R382" s="11"/>
      <c r="CB382" s="11"/>
      <c r="CE382" s="11"/>
      <c r="CF382" s="11"/>
    </row>
    <row r="383" spans="4:84" x14ac:dyDescent="0.25">
      <c r="D383" s="11"/>
      <c r="E383" s="11"/>
      <c r="F383" s="11"/>
      <c r="G383" s="11"/>
      <c r="H383" s="11"/>
      <c r="I383" s="11"/>
      <c r="J383" s="11"/>
      <c r="N383" s="11"/>
      <c r="O383" s="11"/>
      <c r="P383" s="11"/>
      <c r="Q383" s="11"/>
      <c r="R383" s="11"/>
      <c r="CB383" s="11"/>
      <c r="CE383" s="11"/>
      <c r="CF383" s="11"/>
    </row>
    <row r="384" spans="4:84" x14ac:dyDescent="0.25">
      <c r="D384" s="11"/>
      <c r="E384" s="11"/>
      <c r="F384" s="11"/>
      <c r="G384" s="11"/>
      <c r="H384" s="11"/>
      <c r="I384" s="11"/>
      <c r="J384" s="11"/>
      <c r="N384" s="11"/>
      <c r="O384" s="11"/>
      <c r="P384" s="11"/>
      <c r="Q384" s="11"/>
      <c r="R384" s="11"/>
      <c r="CB384" s="11"/>
      <c r="CE384" s="11"/>
      <c r="CF384" s="11"/>
    </row>
    <row r="385" spans="4:84" x14ac:dyDescent="0.25">
      <c r="D385" s="11"/>
      <c r="E385" s="11"/>
      <c r="F385" s="11"/>
      <c r="G385" s="11"/>
      <c r="H385" s="11"/>
      <c r="I385" s="11"/>
      <c r="J385" s="11"/>
      <c r="N385" s="11"/>
      <c r="O385" s="11"/>
      <c r="P385" s="11"/>
      <c r="Q385" s="11"/>
      <c r="R385" s="11"/>
      <c r="CB385" s="11"/>
      <c r="CE385" s="11"/>
      <c r="CF385" s="11"/>
    </row>
    <row r="386" spans="4:84" x14ac:dyDescent="0.25">
      <c r="D386" s="11"/>
      <c r="E386" s="11"/>
      <c r="F386" s="11"/>
      <c r="G386" s="11"/>
      <c r="H386" s="11"/>
      <c r="I386" s="11"/>
      <c r="J386" s="11"/>
      <c r="N386" s="11"/>
      <c r="O386" s="11"/>
      <c r="P386" s="11"/>
      <c r="Q386" s="11"/>
      <c r="R386" s="11"/>
      <c r="CB386" s="11"/>
      <c r="CE386" s="11"/>
      <c r="CF386" s="11"/>
    </row>
    <row r="387" spans="4:84" x14ac:dyDescent="0.25">
      <c r="D387" s="11"/>
      <c r="E387" s="11"/>
      <c r="F387" s="11"/>
      <c r="G387" s="11"/>
      <c r="H387" s="11"/>
      <c r="I387" s="11"/>
      <c r="J387" s="11"/>
      <c r="N387" s="11"/>
      <c r="O387" s="11"/>
      <c r="P387" s="11"/>
      <c r="Q387" s="11"/>
      <c r="R387" s="11"/>
      <c r="CB387" s="11"/>
      <c r="CE387" s="11"/>
      <c r="CF387" s="11"/>
    </row>
    <row r="388" spans="4:84" x14ac:dyDescent="0.25">
      <c r="D388" s="11"/>
      <c r="E388" s="11"/>
      <c r="F388" s="11"/>
      <c r="G388" s="11"/>
      <c r="H388" s="11"/>
      <c r="I388" s="11"/>
      <c r="J388" s="11"/>
      <c r="N388" s="11"/>
      <c r="O388" s="11"/>
      <c r="P388" s="11"/>
      <c r="Q388" s="11"/>
      <c r="R388" s="11"/>
      <c r="CB388" s="11"/>
      <c r="CE388" s="11"/>
      <c r="CF388" s="11"/>
    </row>
    <row r="389" spans="4:84" x14ac:dyDescent="0.25">
      <c r="D389" s="11"/>
      <c r="E389" s="11"/>
      <c r="F389" s="11"/>
      <c r="G389" s="11"/>
      <c r="H389" s="11"/>
      <c r="I389" s="11"/>
      <c r="J389" s="11"/>
      <c r="N389" s="11"/>
      <c r="O389" s="11"/>
      <c r="P389" s="11"/>
      <c r="Q389" s="11"/>
      <c r="R389" s="11"/>
      <c r="CB389" s="11"/>
      <c r="CE389" s="11"/>
      <c r="CF389" s="11"/>
    </row>
    <row r="390" spans="4:84" x14ac:dyDescent="0.25">
      <c r="D390" s="11"/>
      <c r="E390" s="11"/>
      <c r="F390" s="11"/>
      <c r="G390" s="11"/>
      <c r="H390" s="11"/>
      <c r="I390" s="11"/>
      <c r="J390" s="11"/>
      <c r="N390" s="11"/>
      <c r="O390" s="11"/>
      <c r="P390" s="11"/>
      <c r="Q390" s="11"/>
      <c r="R390" s="11"/>
      <c r="CB390" s="11"/>
      <c r="CE390" s="11"/>
      <c r="CF390" s="11"/>
    </row>
    <row r="391" spans="4:84" x14ac:dyDescent="0.25">
      <c r="D391" s="11"/>
      <c r="E391" s="11"/>
      <c r="F391" s="11"/>
      <c r="G391" s="11"/>
      <c r="H391" s="11"/>
      <c r="I391" s="11"/>
      <c r="J391" s="11"/>
      <c r="N391" s="11"/>
      <c r="O391" s="11"/>
      <c r="P391" s="11"/>
      <c r="Q391" s="11"/>
      <c r="R391" s="11"/>
      <c r="CB391" s="11"/>
      <c r="CE391" s="11"/>
      <c r="CF391" s="11"/>
    </row>
    <row r="392" spans="4:84" x14ac:dyDescent="0.25">
      <c r="D392" s="11"/>
      <c r="E392" s="11"/>
      <c r="F392" s="11"/>
      <c r="G392" s="11"/>
      <c r="H392" s="11"/>
      <c r="I392" s="11"/>
      <c r="J392" s="11"/>
      <c r="N392" s="11"/>
      <c r="O392" s="11"/>
      <c r="P392" s="11"/>
      <c r="Q392" s="11"/>
      <c r="R392" s="11"/>
      <c r="CB392" s="11"/>
      <c r="CE392" s="11"/>
      <c r="CF392" s="11"/>
    </row>
    <row r="393" spans="4:84" x14ac:dyDescent="0.25">
      <c r="D393" s="11"/>
      <c r="E393" s="11"/>
      <c r="F393" s="11"/>
      <c r="G393" s="11"/>
      <c r="H393" s="11"/>
      <c r="I393" s="11"/>
      <c r="J393" s="11"/>
      <c r="N393" s="11"/>
      <c r="O393" s="11"/>
      <c r="P393" s="11"/>
      <c r="Q393" s="11"/>
      <c r="R393" s="11"/>
      <c r="CB393" s="11"/>
      <c r="CE393" s="11"/>
      <c r="CF393" s="11"/>
    </row>
    <row r="394" spans="4:84" x14ac:dyDescent="0.25">
      <c r="D394" s="11"/>
      <c r="E394" s="11"/>
      <c r="F394" s="11"/>
      <c r="G394" s="11"/>
      <c r="H394" s="11"/>
      <c r="I394" s="11"/>
      <c r="J394" s="11"/>
      <c r="N394" s="11"/>
      <c r="O394" s="11"/>
      <c r="P394" s="11"/>
      <c r="Q394" s="11"/>
      <c r="R394" s="11"/>
      <c r="CB394" s="11"/>
      <c r="CE394" s="11"/>
      <c r="CF394" s="11"/>
    </row>
    <row r="395" spans="4:84" x14ac:dyDescent="0.25">
      <c r="D395" s="11"/>
      <c r="E395" s="11"/>
      <c r="F395" s="11"/>
      <c r="G395" s="11"/>
      <c r="H395" s="11"/>
      <c r="I395" s="11"/>
      <c r="J395" s="11"/>
      <c r="N395" s="11"/>
      <c r="O395" s="11"/>
      <c r="P395" s="11"/>
      <c r="Q395" s="11"/>
      <c r="R395" s="11"/>
      <c r="CB395" s="11"/>
      <c r="CE395" s="11"/>
      <c r="CF395" s="11"/>
    </row>
    <row r="396" spans="4:84" x14ac:dyDescent="0.25">
      <c r="D396" s="11"/>
      <c r="E396" s="11"/>
      <c r="F396" s="11"/>
      <c r="G396" s="11"/>
      <c r="H396" s="11"/>
      <c r="I396" s="11"/>
      <c r="J396" s="11"/>
      <c r="N396" s="11"/>
      <c r="O396" s="11"/>
      <c r="P396" s="11"/>
      <c r="Q396" s="11"/>
      <c r="R396" s="11"/>
      <c r="CB396" s="11"/>
      <c r="CE396" s="11"/>
      <c r="CF396" s="11"/>
    </row>
    <row r="397" spans="4:84" x14ac:dyDescent="0.25">
      <c r="D397" s="11"/>
      <c r="E397" s="11"/>
      <c r="F397" s="11"/>
      <c r="G397" s="11"/>
      <c r="H397" s="11"/>
      <c r="I397" s="11"/>
      <c r="J397" s="11"/>
      <c r="N397" s="11"/>
      <c r="O397" s="11"/>
      <c r="P397" s="11"/>
      <c r="Q397" s="11"/>
      <c r="R397" s="11"/>
      <c r="CB397" s="11"/>
      <c r="CE397" s="11"/>
      <c r="CF397" s="11"/>
    </row>
    <row r="398" spans="4:84" x14ac:dyDescent="0.25">
      <c r="D398" s="11"/>
      <c r="E398" s="11"/>
      <c r="F398" s="11"/>
      <c r="G398" s="11"/>
      <c r="H398" s="11"/>
      <c r="I398" s="11"/>
      <c r="J398" s="11"/>
      <c r="N398" s="11"/>
      <c r="O398" s="11"/>
      <c r="P398" s="11"/>
      <c r="Q398" s="11"/>
      <c r="R398" s="11"/>
      <c r="CB398" s="11"/>
      <c r="CE398" s="11"/>
      <c r="CF398" s="11"/>
    </row>
    <row r="399" spans="4:84" x14ac:dyDescent="0.25">
      <c r="D399" s="11"/>
      <c r="E399" s="11"/>
      <c r="F399" s="11"/>
      <c r="G399" s="11"/>
      <c r="H399" s="11"/>
      <c r="I399" s="11"/>
      <c r="J399" s="11"/>
      <c r="N399" s="11"/>
      <c r="O399" s="11"/>
      <c r="P399" s="11"/>
      <c r="Q399" s="11"/>
      <c r="R399" s="11"/>
      <c r="CB399" s="11"/>
      <c r="CE399" s="11"/>
      <c r="CF399" s="11"/>
    </row>
    <row r="400" spans="4:84" x14ac:dyDescent="0.25">
      <c r="D400" s="11"/>
      <c r="E400" s="11"/>
      <c r="F400" s="11"/>
      <c r="G400" s="11"/>
      <c r="H400" s="11"/>
      <c r="I400" s="11"/>
      <c r="J400" s="11"/>
      <c r="N400" s="11"/>
      <c r="O400" s="11"/>
      <c r="P400" s="11"/>
      <c r="Q400" s="11"/>
      <c r="R400" s="11"/>
      <c r="CB400" s="11"/>
      <c r="CE400" s="11"/>
      <c r="CF400" s="11"/>
    </row>
    <row r="401" spans="4:84" x14ac:dyDescent="0.25">
      <c r="D401" s="11"/>
      <c r="E401" s="11"/>
      <c r="F401" s="11"/>
      <c r="G401" s="11"/>
      <c r="H401" s="11"/>
      <c r="I401" s="11"/>
      <c r="J401" s="11"/>
      <c r="N401" s="11"/>
      <c r="O401" s="11"/>
      <c r="P401" s="11"/>
      <c r="Q401" s="11"/>
      <c r="R401" s="11"/>
      <c r="CB401" s="11"/>
      <c r="CE401" s="11"/>
      <c r="CF401" s="11"/>
    </row>
    <row r="402" spans="4:84" x14ac:dyDescent="0.25">
      <c r="D402" s="11"/>
      <c r="E402" s="11"/>
      <c r="F402" s="11"/>
      <c r="G402" s="11"/>
      <c r="H402" s="11"/>
      <c r="I402" s="11"/>
      <c r="J402" s="11"/>
      <c r="N402" s="11"/>
      <c r="O402" s="11"/>
      <c r="P402" s="11"/>
      <c r="Q402" s="11"/>
      <c r="R402" s="11"/>
      <c r="CB402" s="11"/>
      <c r="CE402" s="11"/>
      <c r="CF402" s="11"/>
    </row>
    <row r="403" spans="4:84" x14ac:dyDescent="0.25">
      <c r="D403" s="11"/>
      <c r="E403" s="11"/>
      <c r="F403" s="11"/>
      <c r="G403" s="11"/>
      <c r="H403" s="11"/>
      <c r="I403" s="11"/>
      <c r="J403" s="11"/>
      <c r="N403" s="11"/>
      <c r="O403" s="11"/>
      <c r="P403" s="11"/>
      <c r="Q403" s="11"/>
      <c r="R403" s="11"/>
      <c r="CB403" s="11"/>
      <c r="CE403" s="11"/>
      <c r="CF403" s="11"/>
    </row>
    <row r="404" spans="4:84" x14ac:dyDescent="0.25">
      <c r="D404" s="11"/>
      <c r="E404" s="11"/>
      <c r="F404" s="11"/>
      <c r="G404" s="11"/>
      <c r="H404" s="11"/>
      <c r="I404" s="11"/>
      <c r="J404" s="11"/>
      <c r="N404" s="11"/>
      <c r="O404" s="11"/>
      <c r="P404" s="11"/>
      <c r="Q404" s="11"/>
      <c r="R404" s="11"/>
      <c r="CB404" s="11"/>
      <c r="CE404" s="11"/>
      <c r="CF404" s="11"/>
    </row>
    <row r="405" spans="4:84" x14ac:dyDescent="0.25">
      <c r="D405" s="11"/>
      <c r="E405" s="11"/>
      <c r="F405" s="11"/>
      <c r="G405" s="11"/>
      <c r="H405" s="11"/>
      <c r="I405" s="11"/>
      <c r="J405" s="11"/>
      <c r="N405" s="11"/>
      <c r="O405" s="11"/>
      <c r="P405" s="11"/>
      <c r="Q405" s="11"/>
      <c r="R405" s="11"/>
      <c r="CB405" s="11"/>
      <c r="CE405" s="11"/>
      <c r="CF405" s="11"/>
    </row>
    <row r="406" spans="4:84" x14ac:dyDescent="0.25">
      <c r="D406" s="11"/>
      <c r="E406" s="11"/>
      <c r="F406" s="11"/>
      <c r="G406" s="11"/>
      <c r="H406" s="11"/>
      <c r="I406" s="11"/>
      <c r="J406" s="11"/>
      <c r="N406" s="11"/>
      <c r="O406" s="11"/>
      <c r="P406" s="11"/>
      <c r="Q406" s="11"/>
      <c r="R406" s="11"/>
      <c r="CB406" s="11"/>
      <c r="CE406" s="11"/>
      <c r="CF406" s="11"/>
    </row>
    <row r="407" spans="4:84" x14ac:dyDescent="0.25">
      <c r="D407" s="11"/>
      <c r="E407" s="11"/>
      <c r="F407" s="11"/>
      <c r="G407" s="11"/>
      <c r="H407" s="11"/>
      <c r="I407" s="11"/>
      <c r="J407" s="11"/>
      <c r="N407" s="11"/>
      <c r="O407" s="11"/>
      <c r="P407" s="11"/>
      <c r="Q407" s="11"/>
      <c r="R407" s="11"/>
      <c r="CB407" s="11"/>
      <c r="CE407" s="11"/>
      <c r="CF407" s="11"/>
    </row>
    <row r="408" spans="4:84" x14ac:dyDescent="0.25">
      <c r="D408" s="11"/>
      <c r="E408" s="11"/>
      <c r="F408" s="11"/>
      <c r="G408" s="11"/>
      <c r="H408" s="11"/>
      <c r="I408" s="11"/>
      <c r="J408" s="11"/>
      <c r="N408" s="11"/>
      <c r="O408" s="11"/>
      <c r="P408" s="11"/>
      <c r="Q408" s="11"/>
      <c r="R408" s="11"/>
      <c r="CB408" s="11"/>
      <c r="CE408" s="11"/>
      <c r="CF408" s="11"/>
    </row>
    <row r="409" spans="4:84" x14ac:dyDescent="0.25">
      <c r="D409" s="11"/>
      <c r="E409" s="11"/>
      <c r="F409" s="11"/>
      <c r="G409" s="11"/>
      <c r="H409" s="11"/>
      <c r="I409" s="11"/>
      <c r="J409" s="11"/>
      <c r="N409" s="11"/>
      <c r="O409" s="11"/>
      <c r="P409" s="11"/>
      <c r="Q409" s="11"/>
      <c r="R409" s="11"/>
      <c r="CB409" s="11"/>
      <c r="CE409" s="11"/>
      <c r="CF409" s="11"/>
    </row>
    <row r="410" spans="4:84" x14ac:dyDescent="0.25">
      <c r="D410" s="11"/>
      <c r="E410" s="11"/>
      <c r="F410" s="11"/>
      <c r="G410" s="11"/>
      <c r="H410" s="11"/>
      <c r="I410" s="11"/>
      <c r="J410" s="11"/>
      <c r="N410" s="11"/>
      <c r="O410" s="11"/>
      <c r="P410" s="11"/>
      <c r="Q410" s="11"/>
      <c r="R410" s="11"/>
      <c r="CB410" s="11"/>
      <c r="CE410" s="11"/>
      <c r="CF410" s="11"/>
    </row>
    <row r="411" spans="4:84" x14ac:dyDescent="0.25">
      <c r="D411" s="11"/>
      <c r="E411" s="11"/>
      <c r="F411" s="11"/>
      <c r="G411" s="11"/>
      <c r="H411" s="11"/>
      <c r="I411" s="11"/>
      <c r="J411" s="11"/>
      <c r="N411" s="11"/>
      <c r="O411" s="11"/>
      <c r="P411" s="11"/>
      <c r="Q411" s="11"/>
      <c r="R411" s="11"/>
      <c r="CB411" s="11"/>
      <c r="CE411" s="11"/>
      <c r="CF411" s="11"/>
    </row>
    <row r="412" spans="4:84" x14ac:dyDescent="0.25">
      <c r="D412" s="11"/>
      <c r="E412" s="11"/>
      <c r="F412" s="11"/>
      <c r="G412" s="11"/>
      <c r="H412" s="11"/>
      <c r="I412" s="11"/>
      <c r="J412" s="11"/>
      <c r="N412" s="11"/>
      <c r="O412" s="11"/>
      <c r="P412" s="11"/>
      <c r="Q412" s="11"/>
      <c r="R412" s="11"/>
      <c r="CB412" s="11"/>
      <c r="CE412" s="11"/>
      <c r="CF412" s="11"/>
    </row>
    <row r="413" spans="4:84" x14ac:dyDescent="0.25">
      <c r="D413" s="11"/>
      <c r="E413" s="11"/>
      <c r="F413" s="11"/>
      <c r="G413" s="11"/>
      <c r="H413" s="11"/>
      <c r="I413" s="11"/>
      <c r="J413" s="11"/>
      <c r="N413" s="11"/>
      <c r="O413" s="11"/>
      <c r="P413" s="11"/>
      <c r="Q413" s="11"/>
      <c r="R413" s="11"/>
      <c r="CB413" s="11"/>
      <c r="CE413" s="11"/>
      <c r="CF413" s="11"/>
    </row>
    <row r="414" spans="4:84" x14ac:dyDescent="0.25">
      <c r="D414" s="11"/>
      <c r="E414" s="11"/>
      <c r="F414" s="11"/>
      <c r="G414" s="11"/>
      <c r="H414" s="11"/>
      <c r="I414" s="11"/>
      <c r="J414" s="11"/>
      <c r="N414" s="11"/>
      <c r="O414" s="11"/>
      <c r="P414" s="11"/>
      <c r="Q414" s="11"/>
      <c r="R414" s="11"/>
      <c r="CB414" s="11"/>
      <c r="CE414" s="11"/>
      <c r="CF414" s="11"/>
    </row>
    <row r="415" spans="4:84" x14ac:dyDescent="0.25">
      <c r="D415" s="11"/>
      <c r="E415" s="11"/>
      <c r="F415" s="11"/>
      <c r="G415" s="11"/>
      <c r="H415" s="11"/>
      <c r="I415" s="11"/>
      <c r="J415" s="11"/>
      <c r="N415" s="11"/>
      <c r="O415" s="11"/>
      <c r="P415" s="11"/>
      <c r="Q415" s="11"/>
      <c r="R415" s="11"/>
      <c r="CB415" s="11"/>
      <c r="CE415" s="11"/>
      <c r="CF415" s="11"/>
    </row>
    <row r="416" spans="4:84" x14ac:dyDescent="0.25">
      <c r="D416" s="11"/>
      <c r="E416" s="11"/>
      <c r="F416" s="11"/>
      <c r="G416" s="11"/>
      <c r="H416" s="11"/>
      <c r="I416" s="11"/>
      <c r="J416" s="11"/>
      <c r="N416" s="11"/>
      <c r="O416" s="11"/>
      <c r="P416" s="11"/>
      <c r="Q416" s="11"/>
      <c r="R416" s="11"/>
      <c r="CB416" s="11"/>
      <c r="CE416" s="11"/>
      <c r="CF416" s="11"/>
    </row>
    <row r="417" spans="4:84" x14ac:dyDescent="0.25">
      <c r="D417" s="11"/>
      <c r="E417" s="11"/>
      <c r="F417" s="11"/>
      <c r="G417" s="11"/>
      <c r="H417" s="11"/>
      <c r="I417" s="11"/>
      <c r="J417" s="11"/>
      <c r="N417" s="11"/>
      <c r="O417" s="11"/>
      <c r="P417" s="11"/>
      <c r="Q417" s="11"/>
      <c r="R417" s="11"/>
      <c r="CB417" s="11"/>
      <c r="CE417" s="11"/>
      <c r="CF417" s="11"/>
    </row>
    <row r="418" spans="4:84" x14ac:dyDescent="0.25">
      <c r="D418" s="11"/>
      <c r="E418" s="11"/>
      <c r="F418" s="11"/>
      <c r="G418" s="11"/>
      <c r="H418" s="11"/>
      <c r="I418" s="11"/>
      <c r="J418" s="11"/>
      <c r="N418" s="11"/>
      <c r="O418" s="11"/>
      <c r="P418" s="11"/>
      <c r="Q418" s="11"/>
      <c r="R418" s="11"/>
      <c r="CB418" s="11"/>
      <c r="CE418" s="11"/>
      <c r="CF418" s="11"/>
    </row>
    <row r="419" spans="4:84" x14ac:dyDescent="0.25">
      <c r="D419" s="11"/>
      <c r="E419" s="11"/>
      <c r="F419" s="11"/>
      <c r="G419" s="11"/>
      <c r="H419" s="11"/>
      <c r="I419" s="11"/>
      <c r="J419" s="11"/>
      <c r="N419" s="11"/>
      <c r="O419" s="11"/>
      <c r="P419" s="11"/>
      <c r="Q419" s="11"/>
      <c r="R419" s="11"/>
      <c r="CB419" s="11"/>
      <c r="CE419" s="11"/>
      <c r="CF419" s="11"/>
    </row>
    <row r="420" spans="4:84" x14ac:dyDescent="0.25">
      <c r="D420" s="11"/>
      <c r="E420" s="11"/>
      <c r="F420" s="11"/>
      <c r="G420" s="11"/>
      <c r="H420" s="11"/>
      <c r="I420" s="11"/>
      <c r="J420" s="11"/>
      <c r="N420" s="11"/>
      <c r="O420" s="11"/>
      <c r="P420" s="11"/>
      <c r="Q420" s="11"/>
      <c r="R420" s="11"/>
      <c r="CB420" s="11"/>
      <c r="CE420" s="11"/>
      <c r="CF420" s="11"/>
    </row>
    <row r="421" spans="4:84" x14ac:dyDescent="0.25">
      <c r="D421" s="11"/>
      <c r="E421" s="11"/>
      <c r="F421" s="11"/>
      <c r="G421" s="11"/>
      <c r="H421" s="11"/>
      <c r="I421" s="11"/>
      <c r="J421" s="11"/>
      <c r="N421" s="11"/>
      <c r="O421" s="11"/>
      <c r="P421" s="11"/>
      <c r="Q421" s="11"/>
      <c r="R421" s="11"/>
      <c r="CB421" s="11"/>
      <c r="CE421" s="11"/>
      <c r="CF421" s="11"/>
    </row>
    <row r="422" spans="4:84" x14ac:dyDescent="0.25">
      <c r="D422" s="11"/>
      <c r="E422" s="11"/>
      <c r="F422" s="11"/>
      <c r="G422" s="11"/>
      <c r="H422" s="11"/>
      <c r="I422" s="11"/>
      <c r="J422" s="11"/>
      <c r="N422" s="11"/>
      <c r="O422" s="11"/>
      <c r="P422" s="11"/>
      <c r="Q422" s="11"/>
      <c r="R422" s="11"/>
      <c r="CB422" s="11"/>
      <c r="CE422" s="11"/>
      <c r="CF422" s="11"/>
    </row>
    <row r="423" spans="4:84" x14ac:dyDescent="0.25">
      <c r="D423" s="11"/>
      <c r="E423" s="11"/>
      <c r="F423" s="11"/>
      <c r="G423" s="11"/>
      <c r="H423" s="11"/>
      <c r="I423" s="11"/>
      <c r="J423" s="11"/>
      <c r="N423" s="11"/>
      <c r="O423" s="11"/>
      <c r="P423" s="11"/>
      <c r="Q423" s="11"/>
      <c r="R423" s="11"/>
      <c r="CB423" s="11"/>
      <c r="CE423" s="11"/>
      <c r="CF423" s="11"/>
    </row>
    <row r="424" spans="4:84" x14ac:dyDescent="0.25">
      <c r="D424" s="11"/>
      <c r="E424" s="11"/>
      <c r="F424" s="11"/>
      <c r="G424" s="11"/>
      <c r="H424" s="11"/>
      <c r="I424" s="11"/>
      <c r="J424" s="11"/>
      <c r="N424" s="11"/>
      <c r="O424" s="11"/>
      <c r="P424" s="11"/>
      <c r="Q424" s="11"/>
      <c r="R424" s="11"/>
      <c r="CB424" s="11"/>
      <c r="CE424" s="11"/>
      <c r="CF424" s="11"/>
    </row>
    <row r="425" spans="4:84" x14ac:dyDescent="0.25">
      <c r="D425" s="11"/>
      <c r="E425" s="11"/>
      <c r="F425" s="11"/>
      <c r="G425" s="11"/>
      <c r="H425" s="11"/>
      <c r="I425" s="11"/>
      <c r="J425" s="11"/>
      <c r="N425" s="11"/>
      <c r="O425" s="11"/>
      <c r="P425" s="11"/>
      <c r="Q425" s="11"/>
      <c r="R425" s="11"/>
      <c r="CB425" s="11"/>
      <c r="CE425" s="11"/>
      <c r="CF425" s="11"/>
    </row>
    <row r="426" spans="4:84" x14ac:dyDescent="0.25">
      <c r="D426" s="11"/>
      <c r="E426" s="11"/>
      <c r="F426" s="11"/>
      <c r="G426" s="11"/>
      <c r="H426" s="11"/>
      <c r="I426" s="11"/>
      <c r="J426" s="11"/>
      <c r="N426" s="11"/>
      <c r="O426" s="11"/>
      <c r="P426" s="11"/>
      <c r="Q426" s="11"/>
      <c r="R426" s="11"/>
      <c r="CB426" s="11"/>
      <c r="CE426" s="11"/>
      <c r="CF426" s="11"/>
    </row>
    <row r="427" spans="4:84" x14ac:dyDescent="0.25">
      <c r="D427" s="11"/>
      <c r="E427" s="11"/>
      <c r="F427" s="11"/>
      <c r="G427" s="11"/>
      <c r="H427" s="11"/>
      <c r="I427" s="11"/>
      <c r="J427" s="11"/>
      <c r="N427" s="11"/>
      <c r="O427" s="11"/>
      <c r="P427" s="11"/>
      <c r="Q427" s="11"/>
      <c r="R427" s="11"/>
      <c r="CB427" s="11"/>
      <c r="CE427" s="11"/>
      <c r="CF427" s="11"/>
    </row>
    <row r="428" spans="4:84" x14ac:dyDescent="0.25">
      <c r="D428" s="11"/>
      <c r="E428" s="11"/>
      <c r="F428" s="11"/>
      <c r="G428" s="11"/>
      <c r="H428" s="11"/>
      <c r="I428" s="11"/>
      <c r="J428" s="11"/>
      <c r="N428" s="11"/>
      <c r="O428" s="11"/>
      <c r="P428" s="11"/>
      <c r="Q428" s="11"/>
      <c r="R428" s="11"/>
      <c r="CB428" s="11"/>
      <c r="CE428" s="11"/>
      <c r="CF428" s="11"/>
    </row>
    <row r="429" spans="4:84" x14ac:dyDescent="0.25">
      <c r="D429" s="11"/>
      <c r="E429" s="11"/>
      <c r="F429" s="11"/>
      <c r="G429" s="11"/>
      <c r="H429" s="11"/>
      <c r="I429" s="11"/>
      <c r="J429" s="11"/>
      <c r="N429" s="11"/>
      <c r="O429" s="11"/>
      <c r="P429" s="11"/>
      <c r="Q429" s="11"/>
      <c r="R429" s="11"/>
      <c r="CB429" s="11"/>
      <c r="CE429" s="11"/>
      <c r="CF429" s="11"/>
    </row>
    <row r="430" spans="4:84" x14ac:dyDescent="0.25">
      <c r="D430" s="11"/>
      <c r="E430" s="11"/>
      <c r="F430" s="11"/>
      <c r="G430" s="11"/>
      <c r="H430" s="11"/>
      <c r="I430" s="11"/>
      <c r="J430" s="11"/>
      <c r="N430" s="11"/>
      <c r="O430" s="11"/>
      <c r="P430" s="11"/>
      <c r="Q430" s="11"/>
      <c r="R430" s="11"/>
      <c r="CB430" s="11"/>
      <c r="CE430" s="11"/>
      <c r="CF430" s="11"/>
    </row>
    <row r="431" spans="4:84" x14ac:dyDescent="0.25">
      <c r="D431" s="11"/>
      <c r="E431" s="11"/>
      <c r="F431" s="11"/>
      <c r="G431" s="11"/>
      <c r="H431" s="11"/>
      <c r="I431" s="11"/>
      <c r="J431" s="11"/>
      <c r="N431" s="11"/>
      <c r="O431" s="11"/>
      <c r="P431" s="11"/>
      <c r="Q431" s="11"/>
      <c r="R431" s="11"/>
      <c r="CB431" s="11"/>
      <c r="CE431" s="11"/>
      <c r="CF431" s="11"/>
    </row>
    <row r="432" spans="4:84" x14ac:dyDescent="0.25">
      <c r="D432" s="11"/>
      <c r="E432" s="11"/>
      <c r="F432" s="11"/>
      <c r="G432" s="11"/>
      <c r="H432" s="11"/>
      <c r="I432" s="11"/>
      <c r="J432" s="11"/>
      <c r="N432" s="11"/>
      <c r="O432" s="11"/>
      <c r="P432" s="11"/>
      <c r="Q432" s="11"/>
      <c r="R432" s="11"/>
      <c r="CB432" s="11"/>
      <c r="CE432" s="11"/>
      <c r="CF432" s="11"/>
    </row>
    <row r="433" spans="4:84" x14ac:dyDescent="0.25">
      <c r="D433" s="11"/>
      <c r="E433" s="11"/>
      <c r="F433" s="11"/>
      <c r="G433" s="11"/>
      <c r="H433" s="11"/>
      <c r="I433" s="11"/>
      <c r="J433" s="11"/>
      <c r="N433" s="11"/>
      <c r="O433" s="11"/>
      <c r="P433" s="11"/>
      <c r="Q433" s="11"/>
      <c r="R433" s="11"/>
      <c r="CB433" s="11"/>
      <c r="CE433" s="11"/>
      <c r="CF433" s="11"/>
    </row>
    <row r="434" spans="4:84" x14ac:dyDescent="0.25">
      <c r="D434" s="11"/>
      <c r="E434" s="11"/>
      <c r="F434" s="11"/>
      <c r="G434" s="11"/>
      <c r="H434" s="11"/>
      <c r="I434" s="11"/>
      <c r="J434" s="11"/>
      <c r="N434" s="11"/>
      <c r="O434" s="11"/>
      <c r="P434" s="11"/>
      <c r="Q434" s="11"/>
      <c r="R434" s="11"/>
      <c r="CB434" s="11"/>
      <c r="CE434" s="11"/>
      <c r="CF434" s="11"/>
    </row>
    <row r="435" spans="4:84" x14ac:dyDescent="0.25">
      <c r="D435" s="11"/>
      <c r="E435" s="11"/>
      <c r="F435" s="11"/>
      <c r="G435" s="11"/>
      <c r="H435" s="11"/>
      <c r="I435" s="11"/>
      <c r="J435" s="11"/>
      <c r="N435" s="11"/>
      <c r="O435" s="11"/>
      <c r="P435" s="11"/>
      <c r="Q435" s="11"/>
      <c r="R435" s="11"/>
      <c r="CB435" s="11"/>
      <c r="CE435" s="11"/>
      <c r="CF435" s="11"/>
    </row>
    <row r="436" spans="4:84" x14ac:dyDescent="0.25">
      <c r="D436" s="11"/>
      <c r="E436" s="11"/>
      <c r="F436" s="11"/>
      <c r="G436" s="11"/>
      <c r="H436" s="11"/>
      <c r="I436" s="11"/>
      <c r="J436" s="11"/>
      <c r="N436" s="11"/>
      <c r="O436" s="11"/>
      <c r="P436" s="11"/>
      <c r="Q436" s="11"/>
      <c r="R436" s="11"/>
      <c r="CB436" s="11"/>
      <c r="CE436" s="11"/>
      <c r="CF436" s="11"/>
    </row>
    <row r="437" spans="4:84" x14ac:dyDescent="0.25">
      <c r="D437" s="11"/>
      <c r="E437" s="11"/>
      <c r="F437" s="11"/>
      <c r="G437" s="11"/>
      <c r="H437" s="11"/>
      <c r="I437" s="11"/>
      <c r="J437" s="11"/>
      <c r="N437" s="11"/>
      <c r="O437" s="11"/>
      <c r="P437" s="11"/>
      <c r="Q437" s="11"/>
      <c r="R437" s="11"/>
      <c r="CB437" s="11"/>
      <c r="CE437" s="11"/>
      <c r="CF437" s="11"/>
    </row>
    <row r="438" spans="4:84" x14ac:dyDescent="0.25">
      <c r="D438" s="11"/>
      <c r="E438" s="11"/>
      <c r="F438" s="11"/>
      <c r="G438" s="11"/>
      <c r="H438" s="11"/>
      <c r="I438" s="11"/>
      <c r="J438" s="11"/>
      <c r="N438" s="11"/>
      <c r="O438" s="11"/>
      <c r="P438" s="11"/>
      <c r="Q438" s="11"/>
      <c r="R438" s="11"/>
      <c r="CB438" s="11"/>
      <c r="CE438" s="11"/>
      <c r="CF438" s="11"/>
    </row>
    <row r="439" spans="4:84" x14ac:dyDescent="0.25">
      <c r="D439" s="11"/>
      <c r="E439" s="11"/>
      <c r="F439" s="11"/>
      <c r="G439" s="11"/>
      <c r="H439" s="11"/>
      <c r="I439" s="11"/>
      <c r="J439" s="11"/>
      <c r="N439" s="11"/>
      <c r="O439" s="11"/>
      <c r="P439" s="11"/>
      <c r="Q439" s="11"/>
      <c r="R439" s="11"/>
      <c r="CB439" s="11"/>
      <c r="CE439" s="11"/>
      <c r="CF439" s="11"/>
    </row>
    <row r="440" spans="4:84" x14ac:dyDescent="0.25">
      <c r="D440" s="11"/>
      <c r="E440" s="11"/>
      <c r="F440" s="11"/>
      <c r="G440" s="11"/>
      <c r="H440" s="11"/>
      <c r="I440" s="11"/>
      <c r="J440" s="11"/>
      <c r="N440" s="11"/>
      <c r="O440" s="11"/>
      <c r="P440" s="11"/>
      <c r="Q440" s="11"/>
      <c r="R440" s="11"/>
      <c r="CB440" s="11"/>
      <c r="CE440" s="11"/>
      <c r="CF440" s="11"/>
    </row>
    <row r="441" spans="4:84" x14ac:dyDescent="0.25">
      <c r="D441" s="11"/>
      <c r="E441" s="11"/>
      <c r="F441" s="11"/>
      <c r="G441" s="11"/>
      <c r="H441" s="11"/>
      <c r="I441" s="11"/>
      <c r="J441" s="11"/>
      <c r="N441" s="11"/>
      <c r="O441" s="11"/>
      <c r="P441" s="11"/>
      <c r="Q441" s="11"/>
      <c r="R441" s="11"/>
      <c r="CB441" s="11"/>
      <c r="CE441" s="11"/>
      <c r="CF441" s="11"/>
    </row>
    <row r="442" spans="4:84" x14ac:dyDescent="0.25">
      <c r="D442" s="11"/>
      <c r="E442" s="11"/>
      <c r="F442" s="11"/>
      <c r="G442" s="11"/>
      <c r="H442" s="11"/>
      <c r="I442" s="11"/>
      <c r="J442" s="11"/>
      <c r="N442" s="11"/>
      <c r="O442" s="11"/>
      <c r="P442" s="11"/>
      <c r="Q442" s="11"/>
      <c r="R442" s="11"/>
      <c r="CB442" s="11"/>
      <c r="CE442" s="11"/>
      <c r="CF442" s="11"/>
    </row>
    <row r="443" spans="4:84" x14ac:dyDescent="0.25">
      <c r="D443" s="11"/>
      <c r="E443" s="11"/>
      <c r="F443" s="11"/>
      <c r="G443" s="11"/>
      <c r="H443" s="11"/>
      <c r="I443" s="11"/>
      <c r="J443" s="11"/>
      <c r="N443" s="11"/>
      <c r="O443" s="11"/>
      <c r="P443" s="11"/>
      <c r="Q443" s="11"/>
      <c r="R443" s="11"/>
      <c r="CB443" s="11"/>
      <c r="CE443" s="11"/>
      <c r="CF443" s="11"/>
    </row>
    <row r="444" spans="4:84" x14ac:dyDescent="0.25">
      <c r="D444" s="11"/>
      <c r="E444" s="11"/>
      <c r="F444" s="11"/>
      <c r="G444" s="11"/>
      <c r="H444" s="11"/>
      <c r="I444" s="11"/>
      <c r="J444" s="11"/>
      <c r="N444" s="11"/>
      <c r="O444" s="11"/>
      <c r="P444" s="11"/>
      <c r="Q444" s="11"/>
      <c r="R444" s="11"/>
      <c r="CB444" s="11"/>
      <c r="CE444" s="11"/>
      <c r="CF444" s="11"/>
    </row>
    <row r="445" spans="4:84" x14ac:dyDescent="0.25">
      <c r="D445" s="11"/>
      <c r="E445" s="11"/>
      <c r="F445" s="11"/>
      <c r="G445" s="11"/>
      <c r="H445" s="11"/>
      <c r="I445" s="11"/>
      <c r="J445" s="11"/>
      <c r="N445" s="11"/>
      <c r="O445" s="11"/>
      <c r="P445" s="11"/>
      <c r="Q445" s="11"/>
      <c r="R445" s="11"/>
      <c r="CB445" s="11"/>
      <c r="CE445" s="11"/>
      <c r="CF445" s="11"/>
    </row>
    <row r="446" spans="4:84" x14ac:dyDescent="0.25">
      <c r="D446" s="11"/>
      <c r="E446" s="11"/>
      <c r="F446" s="11"/>
      <c r="G446" s="11"/>
      <c r="H446" s="11"/>
      <c r="I446" s="11"/>
      <c r="J446" s="11"/>
      <c r="N446" s="11"/>
      <c r="O446" s="11"/>
      <c r="P446" s="11"/>
      <c r="Q446" s="11"/>
      <c r="R446" s="11"/>
      <c r="CB446" s="11"/>
      <c r="CE446" s="11"/>
      <c r="CF446" s="11"/>
    </row>
    <row r="447" spans="4:84" x14ac:dyDescent="0.25">
      <c r="D447" s="11"/>
      <c r="E447" s="11"/>
      <c r="F447" s="11"/>
      <c r="G447" s="11"/>
      <c r="H447" s="11"/>
      <c r="I447" s="11"/>
      <c r="J447" s="11"/>
      <c r="N447" s="11"/>
      <c r="O447" s="11"/>
      <c r="P447" s="11"/>
      <c r="Q447" s="11"/>
      <c r="R447" s="11"/>
      <c r="CB447" s="11"/>
      <c r="CE447" s="11"/>
      <c r="CF447" s="11"/>
    </row>
    <row r="448" spans="4:84" x14ac:dyDescent="0.25">
      <c r="D448" s="11"/>
      <c r="E448" s="11"/>
      <c r="F448" s="11"/>
      <c r="G448" s="11"/>
      <c r="H448" s="11"/>
      <c r="I448" s="11"/>
      <c r="J448" s="11"/>
      <c r="N448" s="11"/>
      <c r="O448" s="11"/>
      <c r="P448" s="11"/>
      <c r="Q448" s="11"/>
      <c r="R448" s="11"/>
      <c r="CB448" s="11"/>
      <c r="CE448" s="11"/>
      <c r="CF448" s="11"/>
    </row>
    <row r="449" spans="4:84" x14ac:dyDescent="0.25">
      <c r="D449" s="11"/>
      <c r="E449" s="11"/>
      <c r="F449" s="11"/>
      <c r="G449" s="11"/>
      <c r="H449" s="11"/>
      <c r="I449" s="11"/>
      <c r="J449" s="11"/>
      <c r="N449" s="11"/>
      <c r="O449" s="11"/>
      <c r="P449" s="11"/>
      <c r="Q449" s="11"/>
      <c r="R449" s="11"/>
      <c r="CB449" s="11"/>
      <c r="CE449" s="11"/>
      <c r="CF449" s="11"/>
    </row>
    <row r="450" spans="4:84" x14ac:dyDescent="0.25">
      <c r="D450" s="11"/>
      <c r="E450" s="11"/>
      <c r="F450" s="11"/>
      <c r="G450" s="11"/>
      <c r="H450" s="11"/>
      <c r="I450" s="11"/>
      <c r="J450" s="11"/>
      <c r="N450" s="11"/>
      <c r="O450" s="11"/>
      <c r="P450" s="11"/>
      <c r="Q450" s="11"/>
      <c r="R450" s="11"/>
      <c r="CB450" s="11"/>
      <c r="CE450" s="11"/>
      <c r="CF450" s="11"/>
    </row>
    <row r="451" spans="4:84" x14ac:dyDescent="0.25">
      <c r="D451" s="11"/>
      <c r="E451" s="11"/>
      <c r="F451" s="11"/>
      <c r="G451" s="11"/>
      <c r="H451" s="11"/>
      <c r="I451" s="11"/>
      <c r="J451" s="11"/>
      <c r="N451" s="11"/>
      <c r="O451" s="11"/>
      <c r="P451" s="11"/>
      <c r="Q451" s="11"/>
      <c r="R451" s="11"/>
      <c r="CB451" s="11"/>
      <c r="CE451" s="11"/>
      <c r="CF451" s="11"/>
    </row>
    <row r="452" spans="4:84" x14ac:dyDescent="0.25">
      <c r="D452" s="11"/>
      <c r="E452" s="11"/>
      <c r="F452" s="11"/>
      <c r="G452" s="11"/>
      <c r="H452" s="11"/>
      <c r="I452" s="11"/>
      <c r="J452" s="11"/>
      <c r="N452" s="11"/>
      <c r="O452" s="11"/>
      <c r="P452" s="11"/>
      <c r="Q452" s="11"/>
      <c r="R452" s="11"/>
      <c r="CB452" s="11"/>
      <c r="CE452" s="11"/>
      <c r="CF452" s="11"/>
    </row>
    <row r="453" spans="4:84" x14ac:dyDescent="0.25">
      <c r="D453" s="11"/>
      <c r="E453" s="11"/>
      <c r="F453" s="11"/>
      <c r="G453" s="11"/>
      <c r="H453" s="11"/>
      <c r="I453" s="11"/>
      <c r="J453" s="11"/>
      <c r="N453" s="11"/>
      <c r="O453" s="11"/>
      <c r="P453" s="11"/>
      <c r="Q453" s="11"/>
      <c r="R453" s="11"/>
      <c r="CB453" s="11"/>
      <c r="CE453" s="11"/>
      <c r="CF453" s="11"/>
    </row>
    <row r="454" spans="4:84" x14ac:dyDescent="0.25">
      <c r="D454" s="11"/>
      <c r="E454" s="11"/>
      <c r="F454" s="11"/>
      <c r="G454" s="11"/>
      <c r="H454" s="11"/>
      <c r="I454" s="11"/>
      <c r="J454" s="11"/>
      <c r="N454" s="11"/>
      <c r="O454" s="11"/>
      <c r="P454" s="11"/>
      <c r="Q454" s="11"/>
      <c r="R454" s="11"/>
      <c r="CB454" s="11"/>
      <c r="CE454" s="11"/>
      <c r="CF454" s="11"/>
    </row>
    <row r="455" spans="4:84" x14ac:dyDescent="0.25">
      <c r="D455" s="11"/>
      <c r="E455" s="11"/>
      <c r="F455" s="11"/>
      <c r="G455" s="11"/>
      <c r="H455" s="11"/>
      <c r="I455" s="11"/>
      <c r="J455" s="11"/>
      <c r="N455" s="11"/>
      <c r="O455" s="11"/>
      <c r="P455" s="11"/>
      <c r="Q455" s="11"/>
      <c r="R455" s="11"/>
      <c r="CB455" s="11"/>
      <c r="CE455" s="11"/>
      <c r="CF455" s="11"/>
    </row>
    <row r="456" spans="4:84" x14ac:dyDescent="0.25">
      <c r="D456" s="11"/>
      <c r="E456" s="11"/>
      <c r="F456" s="11"/>
      <c r="G456" s="11"/>
      <c r="H456" s="11"/>
      <c r="I456" s="11"/>
      <c r="J456" s="11"/>
      <c r="N456" s="11"/>
      <c r="O456" s="11"/>
      <c r="P456" s="11"/>
      <c r="Q456" s="11"/>
      <c r="R456" s="11"/>
      <c r="CB456" s="11"/>
      <c r="CE456" s="11"/>
      <c r="CF456" s="11"/>
    </row>
    <row r="457" spans="4:84" x14ac:dyDescent="0.25">
      <c r="D457" s="11"/>
      <c r="E457" s="11"/>
      <c r="F457" s="11"/>
      <c r="G457" s="11"/>
      <c r="H457" s="11"/>
      <c r="I457" s="11"/>
      <c r="J457" s="11"/>
      <c r="N457" s="11"/>
      <c r="O457" s="11"/>
      <c r="P457" s="11"/>
      <c r="Q457" s="11"/>
      <c r="R457" s="11"/>
      <c r="CB457" s="11"/>
      <c r="CE457" s="11"/>
      <c r="CF457" s="11"/>
    </row>
    <row r="458" spans="4:84" x14ac:dyDescent="0.25">
      <c r="D458" s="11"/>
      <c r="E458" s="11"/>
      <c r="F458" s="11"/>
      <c r="G458" s="11"/>
      <c r="H458" s="11"/>
      <c r="I458" s="11"/>
      <c r="J458" s="11"/>
      <c r="N458" s="11"/>
      <c r="O458" s="11"/>
      <c r="P458" s="11"/>
      <c r="Q458" s="11"/>
      <c r="R458" s="11"/>
      <c r="CB458" s="11"/>
      <c r="CE458" s="11"/>
      <c r="CF458" s="11"/>
    </row>
    <row r="459" spans="4:84" x14ac:dyDescent="0.25">
      <c r="D459" s="11"/>
      <c r="E459" s="11"/>
      <c r="F459" s="11"/>
      <c r="G459" s="11"/>
      <c r="H459" s="11"/>
      <c r="I459" s="11"/>
      <c r="J459" s="11"/>
      <c r="N459" s="11"/>
      <c r="O459" s="11"/>
      <c r="P459" s="11"/>
      <c r="Q459" s="11"/>
      <c r="R459" s="11"/>
      <c r="CB459" s="11"/>
      <c r="CE459" s="11"/>
      <c r="CF459" s="11"/>
    </row>
    <row r="460" spans="4:84" x14ac:dyDescent="0.25">
      <c r="D460" s="11"/>
      <c r="E460" s="11"/>
      <c r="F460" s="11"/>
      <c r="G460" s="11"/>
      <c r="H460" s="11"/>
      <c r="I460" s="11"/>
      <c r="J460" s="11"/>
      <c r="N460" s="11"/>
      <c r="O460" s="11"/>
      <c r="P460" s="11"/>
      <c r="Q460" s="11"/>
      <c r="R460" s="11"/>
      <c r="CB460" s="11"/>
      <c r="CE460" s="11"/>
      <c r="CF460" s="11"/>
    </row>
    <row r="461" spans="4:84" x14ac:dyDescent="0.25">
      <c r="D461" s="11"/>
      <c r="E461" s="11"/>
      <c r="F461" s="11"/>
      <c r="G461" s="11"/>
      <c r="H461" s="11"/>
      <c r="I461" s="11"/>
      <c r="J461" s="11"/>
      <c r="N461" s="11"/>
      <c r="O461" s="11"/>
      <c r="P461" s="11"/>
      <c r="Q461" s="11"/>
      <c r="R461" s="11"/>
      <c r="CB461" s="11"/>
      <c r="CE461" s="11"/>
      <c r="CF461" s="11"/>
    </row>
    <row r="462" spans="4:84" x14ac:dyDescent="0.25">
      <c r="D462" s="11"/>
      <c r="E462" s="11"/>
      <c r="F462" s="11"/>
      <c r="G462" s="11"/>
      <c r="H462" s="11"/>
      <c r="I462" s="11"/>
      <c r="J462" s="11"/>
      <c r="N462" s="11"/>
      <c r="O462" s="11"/>
      <c r="P462" s="11"/>
      <c r="Q462" s="11"/>
      <c r="R462" s="11"/>
      <c r="CB462" s="11"/>
      <c r="CE462" s="11"/>
      <c r="CF462" s="11"/>
    </row>
    <row r="463" spans="4:84" x14ac:dyDescent="0.25">
      <c r="D463" s="11"/>
      <c r="E463" s="11"/>
      <c r="F463" s="11"/>
      <c r="G463" s="11"/>
      <c r="H463" s="11"/>
      <c r="I463" s="11"/>
      <c r="J463" s="11"/>
      <c r="N463" s="11"/>
      <c r="O463" s="11"/>
      <c r="P463" s="11"/>
      <c r="Q463" s="11"/>
      <c r="R463" s="11"/>
      <c r="CB463" s="11"/>
      <c r="CE463" s="11"/>
      <c r="CF463" s="11"/>
    </row>
    <row r="464" spans="4:84" x14ac:dyDescent="0.25">
      <c r="D464" s="11"/>
      <c r="E464" s="11"/>
      <c r="F464" s="11"/>
      <c r="G464" s="11"/>
      <c r="H464" s="11"/>
      <c r="I464" s="11"/>
      <c r="J464" s="11"/>
      <c r="N464" s="11"/>
      <c r="O464" s="11"/>
      <c r="P464" s="11"/>
      <c r="Q464" s="11"/>
      <c r="R464" s="11"/>
      <c r="CB464" s="11"/>
      <c r="CE464" s="11"/>
      <c r="CF464" s="11"/>
    </row>
    <row r="465" spans="4:84" x14ac:dyDescent="0.25">
      <c r="D465" s="11"/>
      <c r="E465" s="11"/>
      <c r="F465" s="11"/>
      <c r="G465" s="11"/>
      <c r="H465" s="11"/>
      <c r="I465" s="11"/>
      <c r="J465" s="11"/>
      <c r="N465" s="11"/>
      <c r="O465" s="11"/>
      <c r="P465" s="11"/>
      <c r="Q465" s="11"/>
      <c r="R465" s="11"/>
      <c r="CB465" s="11"/>
      <c r="CE465" s="11"/>
      <c r="CF465" s="11"/>
    </row>
    <row r="466" spans="4:84" x14ac:dyDescent="0.25">
      <c r="D466" s="11"/>
      <c r="E466" s="11"/>
      <c r="F466" s="11"/>
      <c r="G466" s="11"/>
      <c r="H466" s="11"/>
      <c r="I466" s="11"/>
      <c r="J466" s="11"/>
      <c r="N466" s="11"/>
      <c r="O466" s="11"/>
      <c r="P466" s="11"/>
      <c r="Q466" s="11"/>
      <c r="R466" s="11"/>
      <c r="CB466" s="11"/>
      <c r="CE466" s="11"/>
      <c r="CF466" s="11"/>
    </row>
    <row r="467" spans="4:84" x14ac:dyDescent="0.25">
      <c r="D467" s="11"/>
      <c r="E467" s="11"/>
      <c r="F467" s="11"/>
      <c r="G467" s="11"/>
      <c r="H467" s="11"/>
      <c r="I467" s="11"/>
      <c r="J467" s="11"/>
      <c r="N467" s="11"/>
      <c r="O467" s="11"/>
      <c r="P467" s="11"/>
      <c r="Q467" s="11"/>
      <c r="R467" s="11"/>
      <c r="CB467" s="11"/>
      <c r="CE467" s="11"/>
      <c r="CF467" s="11"/>
    </row>
    <row r="468" spans="4:84" x14ac:dyDescent="0.25">
      <c r="D468" s="11"/>
      <c r="E468" s="11"/>
      <c r="F468" s="11"/>
      <c r="G468" s="11"/>
      <c r="H468" s="11"/>
      <c r="I468" s="11"/>
      <c r="J468" s="11"/>
      <c r="N468" s="11"/>
      <c r="O468" s="11"/>
      <c r="P468" s="11"/>
      <c r="Q468" s="11"/>
      <c r="R468" s="11"/>
      <c r="CB468" s="11"/>
      <c r="CE468" s="11"/>
      <c r="CF468" s="11"/>
    </row>
    <row r="469" spans="4:84" x14ac:dyDescent="0.25">
      <c r="D469" s="11"/>
      <c r="E469" s="11"/>
      <c r="F469" s="11"/>
      <c r="G469" s="11"/>
      <c r="H469" s="11"/>
      <c r="I469" s="11"/>
      <c r="J469" s="11"/>
      <c r="N469" s="11"/>
      <c r="O469" s="11"/>
      <c r="P469" s="11"/>
      <c r="Q469" s="11"/>
      <c r="R469" s="11"/>
      <c r="CB469" s="11"/>
      <c r="CE469" s="11"/>
      <c r="CF469" s="11"/>
    </row>
    <row r="470" spans="4:84" x14ac:dyDescent="0.25">
      <c r="D470" s="11"/>
      <c r="E470" s="11"/>
      <c r="F470" s="11"/>
      <c r="G470" s="11"/>
      <c r="H470" s="11"/>
      <c r="I470" s="11"/>
      <c r="J470" s="11"/>
      <c r="N470" s="11"/>
      <c r="O470" s="11"/>
      <c r="P470" s="11"/>
      <c r="Q470" s="11"/>
      <c r="R470" s="11"/>
      <c r="CB470" s="11"/>
      <c r="CE470" s="11"/>
      <c r="CF470" s="11"/>
    </row>
    <row r="471" spans="4:84" x14ac:dyDescent="0.25">
      <c r="D471" s="11"/>
      <c r="E471" s="11"/>
      <c r="F471" s="11"/>
      <c r="G471" s="11"/>
      <c r="H471" s="11"/>
      <c r="I471" s="11"/>
      <c r="J471" s="11"/>
      <c r="N471" s="11"/>
      <c r="O471" s="11"/>
      <c r="P471" s="11"/>
      <c r="Q471" s="11"/>
      <c r="R471" s="11"/>
      <c r="CB471" s="11"/>
      <c r="CE471" s="11"/>
      <c r="CF471" s="11"/>
    </row>
    <row r="472" spans="4:84" x14ac:dyDescent="0.25">
      <c r="D472" s="11"/>
      <c r="E472" s="11"/>
      <c r="F472" s="11"/>
      <c r="G472" s="11"/>
      <c r="H472" s="11"/>
      <c r="I472" s="11"/>
      <c r="J472" s="11"/>
      <c r="N472" s="11"/>
      <c r="O472" s="11"/>
      <c r="P472" s="11"/>
      <c r="Q472" s="11"/>
      <c r="R472" s="11"/>
      <c r="CB472" s="11"/>
      <c r="CE472" s="11"/>
      <c r="CF472" s="11"/>
    </row>
    <row r="473" spans="4:84" x14ac:dyDescent="0.25">
      <c r="D473" s="11"/>
      <c r="E473" s="11"/>
      <c r="F473" s="11"/>
      <c r="G473" s="11"/>
      <c r="H473" s="11"/>
      <c r="I473" s="11"/>
      <c r="J473" s="11"/>
      <c r="N473" s="11"/>
      <c r="O473" s="11"/>
      <c r="P473" s="11"/>
      <c r="Q473" s="11"/>
      <c r="R473" s="11"/>
      <c r="CB473" s="11"/>
      <c r="CE473" s="11"/>
      <c r="CF473" s="11"/>
    </row>
    <row r="474" spans="4:84" x14ac:dyDescent="0.25">
      <c r="D474" s="11"/>
      <c r="E474" s="11"/>
      <c r="F474" s="11"/>
      <c r="G474" s="11"/>
      <c r="H474" s="11"/>
      <c r="I474" s="11"/>
      <c r="J474" s="11"/>
      <c r="N474" s="11"/>
      <c r="O474" s="11"/>
      <c r="P474" s="11"/>
      <c r="Q474" s="11"/>
      <c r="R474" s="11"/>
      <c r="CB474" s="11"/>
      <c r="CE474" s="11"/>
      <c r="CF474" s="11"/>
    </row>
    <row r="475" spans="4:84" x14ac:dyDescent="0.25">
      <c r="D475" s="11"/>
      <c r="E475" s="11"/>
      <c r="F475" s="11"/>
      <c r="G475" s="11"/>
      <c r="H475" s="11"/>
      <c r="I475" s="11"/>
      <c r="J475" s="11"/>
      <c r="N475" s="11"/>
      <c r="O475" s="11"/>
      <c r="P475" s="11"/>
      <c r="Q475" s="11"/>
      <c r="R475" s="11"/>
      <c r="CB475" s="11"/>
      <c r="CE475" s="11"/>
      <c r="CF475" s="11"/>
    </row>
    <row r="476" spans="4:84" x14ac:dyDescent="0.25">
      <c r="D476" s="11"/>
      <c r="E476" s="11"/>
      <c r="F476" s="11"/>
      <c r="G476" s="11"/>
      <c r="H476" s="11"/>
      <c r="I476" s="11"/>
      <c r="J476" s="11"/>
      <c r="N476" s="11"/>
      <c r="O476" s="11"/>
      <c r="P476" s="11"/>
      <c r="Q476" s="11"/>
      <c r="R476" s="11"/>
      <c r="CB476" s="11"/>
      <c r="CE476" s="11"/>
      <c r="CF476" s="11"/>
    </row>
    <row r="477" spans="4:84" x14ac:dyDescent="0.25">
      <c r="D477" s="11"/>
      <c r="E477" s="11"/>
      <c r="F477" s="11"/>
      <c r="G477" s="11"/>
      <c r="H477" s="11"/>
      <c r="I477" s="11"/>
      <c r="J477" s="11"/>
      <c r="N477" s="11"/>
      <c r="O477" s="11"/>
      <c r="P477" s="11"/>
      <c r="Q477" s="11"/>
      <c r="R477" s="11"/>
      <c r="CB477" s="11"/>
      <c r="CE477" s="11"/>
      <c r="CF477" s="11"/>
    </row>
    <row r="478" spans="4:84" x14ac:dyDescent="0.25">
      <c r="D478" s="11"/>
      <c r="E478" s="11"/>
      <c r="F478" s="11"/>
      <c r="G478" s="11"/>
      <c r="H478" s="11"/>
      <c r="I478" s="11"/>
      <c r="J478" s="11"/>
      <c r="N478" s="11"/>
      <c r="O478" s="11"/>
      <c r="P478" s="11"/>
      <c r="Q478" s="11"/>
      <c r="R478" s="11"/>
      <c r="CB478" s="11"/>
      <c r="CE478" s="11"/>
      <c r="CF478" s="11"/>
    </row>
    <row r="479" spans="4:84" x14ac:dyDescent="0.25">
      <c r="D479" s="11"/>
      <c r="E479" s="11"/>
      <c r="F479" s="11"/>
      <c r="G479" s="11"/>
      <c r="H479" s="11"/>
      <c r="I479" s="11"/>
      <c r="J479" s="11"/>
      <c r="N479" s="11"/>
      <c r="O479" s="11"/>
      <c r="P479" s="11"/>
      <c r="Q479" s="11"/>
      <c r="R479" s="11"/>
      <c r="CB479" s="11"/>
      <c r="CE479" s="11"/>
      <c r="CF479" s="11"/>
    </row>
    <row r="480" spans="4:84" x14ac:dyDescent="0.25">
      <c r="D480" s="11"/>
      <c r="E480" s="11"/>
      <c r="F480" s="11"/>
      <c r="G480" s="11"/>
      <c r="H480" s="11"/>
      <c r="I480" s="11"/>
      <c r="J480" s="11"/>
      <c r="N480" s="11"/>
      <c r="O480" s="11"/>
      <c r="P480" s="11"/>
      <c r="Q480" s="11"/>
      <c r="R480" s="11"/>
      <c r="CB480" s="11"/>
      <c r="CE480" s="11"/>
      <c r="CF480" s="11"/>
    </row>
    <row r="481" spans="4:84" x14ac:dyDescent="0.25">
      <c r="D481" s="11"/>
      <c r="E481" s="11"/>
      <c r="F481" s="11"/>
      <c r="G481" s="11"/>
      <c r="H481" s="11"/>
      <c r="I481" s="11"/>
      <c r="J481" s="11"/>
      <c r="N481" s="11"/>
      <c r="O481" s="11"/>
      <c r="P481" s="11"/>
      <c r="Q481" s="11"/>
      <c r="R481" s="11"/>
      <c r="CB481" s="11"/>
      <c r="CE481" s="11"/>
      <c r="CF481" s="11"/>
    </row>
    <row r="482" spans="4:84" x14ac:dyDescent="0.25">
      <c r="D482" s="11"/>
      <c r="E482" s="11"/>
      <c r="F482" s="11"/>
      <c r="G482" s="11"/>
      <c r="H482" s="11"/>
      <c r="I482" s="11"/>
      <c r="J482" s="11"/>
      <c r="N482" s="11"/>
      <c r="O482" s="11"/>
      <c r="P482" s="11"/>
      <c r="Q482" s="11"/>
      <c r="R482" s="11"/>
      <c r="CB482" s="11"/>
      <c r="CE482" s="11"/>
      <c r="CF482" s="11"/>
    </row>
    <row r="483" spans="4:84" x14ac:dyDescent="0.25">
      <c r="D483" s="11"/>
      <c r="E483" s="11"/>
      <c r="F483" s="11"/>
      <c r="G483" s="11"/>
      <c r="H483" s="11"/>
      <c r="I483" s="11"/>
      <c r="J483" s="11"/>
      <c r="N483" s="11"/>
      <c r="O483" s="11"/>
      <c r="P483" s="11"/>
      <c r="Q483" s="11"/>
      <c r="R483" s="11"/>
      <c r="CB483" s="11"/>
      <c r="CE483" s="11"/>
      <c r="CF483" s="11"/>
    </row>
    <row r="484" spans="4:84" x14ac:dyDescent="0.25">
      <c r="D484" s="11"/>
      <c r="E484" s="11"/>
      <c r="F484" s="11"/>
      <c r="G484" s="11"/>
      <c r="H484" s="11"/>
      <c r="I484" s="11"/>
      <c r="J484" s="11"/>
      <c r="N484" s="11"/>
      <c r="O484" s="11"/>
      <c r="P484" s="11"/>
      <c r="Q484" s="11"/>
      <c r="R484" s="11"/>
      <c r="CB484" s="11"/>
      <c r="CE484" s="11"/>
      <c r="CF484" s="11"/>
    </row>
    <row r="485" spans="4:84" x14ac:dyDescent="0.25">
      <c r="D485" s="11"/>
      <c r="E485" s="11"/>
      <c r="F485" s="11"/>
      <c r="G485" s="11"/>
      <c r="H485" s="11"/>
      <c r="I485" s="11"/>
      <c r="J485" s="11"/>
      <c r="N485" s="11"/>
      <c r="O485" s="11"/>
      <c r="P485" s="11"/>
      <c r="Q485" s="11"/>
      <c r="R485" s="11"/>
      <c r="CB485" s="11"/>
      <c r="CE485" s="11"/>
      <c r="CF485" s="11"/>
    </row>
    <row r="486" spans="4:84" x14ac:dyDescent="0.25">
      <c r="D486" s="11"/>
      <c r="E486" s="11"/>
      <c r="F486" s="11"/>
      <c r="G486" s="11"/>
      <c r="H486" s="11"/>
      <c r="I486" s="11"/>
      <c r="J486" s="11"/>
      <c r="N486" s="11"/>
      <c r="O486" s="11"/>
      <c r="P486" s="11"/>
      <c r="Q486" s="11"/>
      <c r="R486" s="11"/>
      <c r="CB486" s="11"/>
      <c r="CE486" s="11"/>
      <c r="CF486" s="11"/>
    </row>
    <row r="487" spans="4:84" x14ac:dyDescent="0.25">
      <c r="D487" s="11"/>
      <c r="E487" s="11"/>
      <c r="F487" s="11"/>
      <c r="G487" s="11"/>
      <c r="H487" s="11"/>
      <c r="I487" s="11"/>
      <c r="J487" s="11"/>
      <c r="N487" s="11"/>
      <c r="O487" s="11"/>
      <c r="P487" s="11"/>
      <c r="Q487" s="11"/>
      <c r="R487" s="11"/>
      <c r="CB487" s="11"/>
      <c r="CE487" s="11"/>
      <c r="CF487" s="11"/>
    </row>
    <row r="488" spans="4:84" x14ac:dyDescent="0.25">
      <c r="D488" s="11"/>
      <c r="E488" s="11"/>
      <c r="F488" s="11"/>
      <c r="G488" s="11"/>
      <c r="H488" s="11"/>
      <c r="I488" s="11"/>
      <c r="J488" s="11"/>
      <c r="N488" s="11"/>
      <c r="O488" s="11"/>
      <c r="P488" s="11"/>
      <c r="Q488" s="11"/>
      <c r="R488" s="11"/>
      <c r="CB488" s="11"/>
      <c r="CE488" s="11"/>
      <c r="CF488" s="11"/>
    </row>
    <row r="489" spans="4:84" x14ac:dyDescent="0.25">
      <c r="D489" s="11"/>
      <c r="E489" s="11"/>
      <c r="F489" s="11"/>
      <c r="G489" s="11"/>
      <c r="H489" s="11"/>
      <c r="I489" s="11"/>
      <c r="J489" s="11"/>
      <c r="N489" s="11"/>
      <c r="O489" s="11"/>
      <c r="P489" s="11"/>
      <c r="Q489" s="11"/>
      <c r="R489" s="11"/>
      <c r="CB489" s="11"/>
      <c r="CE489" s="11"/>
      <c r="CF489" s="11"/>
    </row>
    <row r="490" spans="4:84" x14ac:dyDescent="0.25">
      <c r="D490" s="11"/>
      <c r="E490" s="11"/>
      <c r="F490" s="11"/>
      <c r="G490" s="11"/>
      <c r="H490" s="11"/>
      <c r="I490" s="11"/>
      <c r="J490" s="11"/>
      <c r="N490" s="11"/>
      <c r="O490" s="11"/>
      <c r="P490" s="11"/>
      <c r="Q490" s="11"/>
      <c r="R490" s="11"/>
      <c r="CB490" s="11"/>
      <c r="CE490" s="11"/>
      <c r="CF490" s="11"/>
    </row>
    <row r="491" spans="4:84" x14ac:dyDescent="0.25">
      <c r="D491" s="11"/>
      <c r="E491" s="11"/>
      <c r="F491" s="11"/>
      <c r="G491" s="11"/>
      <c r="H491" s="11"/>
      <c r="I491" s="11"/>
      <c r="J491" s="11"/>
      <c r="N491" s="11"/>
      <c r="O491" s="11"/>
      <c r="P491" s="11"/>
      <c r="Q491" s="11"/>
      <c r="R491" s="11"/>
      <c r="CB491" s="11"/>
      <c r="CE491" s="11"/>
      <c r="CF491" s="11"/>
    </row>
    <row r="492" spans="4:84" x14ac:dyDescent="0.25">
      <c r="D492" s="11"/>
      <c r="E492" s="11"/>
      <c r="F492" s="11"/>
      <c r="G492" s="11"/>
      <c r="H492" s="11"/>
      <c r="I492" s="11"/>
      <c r="J492" s="11"/>
      <c r="N492" s="11"/>
      <c r="O492" s="11"/>
      <c r="P492" s="11"/>
      <c r="Q492" s="11"/>
      <c r="R492" s="11"/>
      <c r="CB492" s="11"/>
      <c r="CE492" s="11"/>
      <c r="CF492" s="11"/>
    </row>
    <row r="493" spans="4:84" x14ac:dyDescent="0.25">
      <c r="D493" s="11"/>
      <c r="E493" s="11"/>
      <c r="F493" s="11"/>
      <c r="G493" s="11"/>
      <c r="H493" s="11"/>
      <c r="I493" s="11"/>
      <c r="J493" s="11"/>
      <c r="N493" s="11"/>
      <c r="O493" s="11"/>
      <c r="P493" s="11"/>
      <c r="Q493" s="11"/>
      <c r="R493" s="11"/>
      <c r="CB493" s="11"/>
      <c r="CE493" s="11"/>
      <c r="CF493" s="11"/>
    </row>
    <row r="494" spans="4:84" x14ac:dyDescent="0.25">
      <c r="D494" s="11"/>
      <c r="E494" s="11"/>
      <c r="F494" s="11"/>
      <c r="G494" s="11"/>
      <c r="H494" s="11"/>
      <c r="I494" s="11"/>
      <c r="J494" s="11"/>
      <c r="N494" s="11"/>
      <c r="O494" s="11"/>
      <c r="P494" s="11"/>
      <c r="Q494" s="11"/>
      <c r="R494" s="11"/>
      <c r="CB494" s="11"/>
      <c r="CE494" s="11"/>
      <c r="CF494" s="11"/>
    </row>
    <row r="495" spans="4:84" x14ac:dyDescent="0.25">
      <c r="D495" s="11"/>
      <c r="E495" s="11"/>
      <c r="F495" s="11"/>
      <c r="G495" s="11"/>
      <c r="H495" s="11"/>
      <c r="I495" s="11"/>
      <c r="J495" s="11"/>
      <c r="N495" s="11"/>
      <c r="O495" s="11"/>
      <c r="P495" s="11"/>
      <c r="Q495" s="11"/>
      <c r="R495" s="11"/>
      <c r="CB495" s="11"/>
      <c r="CE495" s="11"/>
      <c r="CF495" s="11"/>
    </row>
    <row r="496" spans="4:84" x14ac:dyDescent="0.25">
      <c r="D496" s="11"/>
      <c r="E496" s="11"/>
      <c r="F496" s="11"/>
      <c r="G496" s="11"/>
      <c r="H496" s="11"/>
      <c r="I496" s="11"/>
      <c r="J496" s="11"/>
      <c r="N496" s="11"/>
      <c r="O496" s="11"/>
      <c r="P496" s="11"/>
      <c r="Q496" s="11"/>
      <c r="R496" s="11"/>
      <c r="CB496" s="11"/>
      <c r="CE496" s="11"/>
      <c r="CF496" s="11"/>
    </row>
    <row r="497" spans="4:84" x14ac:dyDescent="0.25">
      <c r="D497" s="11"/>
      <c r="E497" s="11"/>
      <c r="F497" s="11"/>
      <c r="G497" s="11"/>
      <c r="H497" s="11"/>
      <c r="I497" s="11"/>
      <c r="J497" s="11"/>
      <c r="N497" s="11"/>
      <c r="O497" s="11"/>
      <c r="P497" s="11"/>
      <c r="Q497" s="11"/>
      <c r="R497" s="11"/>
      <c r="CB497" s="11"/>
      <c r="CE497" s="11"/>
      <c r="CF497" s="11"/>
    </row>
    <row r="498" spans="4:84" x14ac:dyDescent="0.25">
      <c r="D498" s="11"/>
      <c r="E498" s="11"/>
      <c r="F498" s="11"/>
      <c r="G498" s="11"/>
      <c r="H498" s="11"/>
      <c r="I498" s="11"/>
      <c r="J498" s="11"/>
      <c r="N498" s="11"/>
      <c r="O498" s="11"/>
      <c r="P498" s="11"/>
      <c r="Q498" s="11"/>
      <c r="R498" s="11"/>
      <c r="CB498" s="11"/>
      <c r="CE498" s="11"/>
      <c r="CF498" s="11"/>
    </row>
    <row r="499" spans="4:84" x14ac:dyDescent="0.25">
      <c r="D499" s="11"/>
      <c r="E499" s="11"/>
      <c r="F499" s="11"/>
      <c r="G499" s="11"/>
      <c r="H499" s="11"/>
      <c r="I499" s="11"/>
      <c r="J499" s="11"/>
      <c r="N499" s="11"/>
      <c r="O499" s="11"/>
      <c r="P499" s="11"/>
      <c r="Q499" s="11"/>
      <c r="R499" s="11"/>
      <c r="CB499" s="11"/>
      <c r="CE499" s="11"/>
      <c r="CF499" s="11"/>
    </row>
    <row r="500" spans="4:84" x14ac:dyDescent="0.25">
      <c r="D500" s="11"/>
      <c r="E500" s="11"/>
      <c r="F500" s="11"/>
      <c r="G500" s="11"/>
      <c r="H500" s="11"/>
      <c r="I500" s="11"/>
      <c r="J500" s="11"/>
      <c r="N500" s="11"/>
      <c r="O500" s="11"/>
      <c r="P500" s="11"/>
      <c r="Q500" s="11"/>
      <c r="R500" s="11"/>
      <c r="CB500" s="11"/>
      <c r="CE500" s="11"/>
      <c r="CF500" s="11"/>
    </row>
    <row r="501" spans="4:84" x14ac:dyDescent="0.25">
      <c r="D501" s="11"/>
      <c r="E501" s="11"/>
      <c r="F501" s="11"/>
      <c r="G501" s="11"/>
      <c r="H501" s="11"/>
      <c r="I501" s="11"/>
      <c r="J501" s="11"/>
      <c r="N501" s="11"/>
      <c r="O501" s="11"/>
      <c r="P501" s="11"/>
      <c r="Q501" s="11"/>
      <c r="R501" s="11"/>
      <c r="CB501" s="11"/>
      <c r="CE501" s="11"/>
      <c r="CF501" s="11"/>
    </row>
    <row r="502" spans="4:84" x14ac:dyDescent="0.25">
      <c r="D502" s="11"/>
      <c r="E502" s="11"/>
      <c r="F502" s="11"/>
      <c r="G502" s="11"/>
      <c r="H502" s="11"/>
      <c r="I502" s="11"/>
      <c r="J502" s="11"/>
      <c r="N502" s="11"/>
      <c r="O502" s="11"/>
      <c r="P502" s="11"/>
      <c r="Q502" s="11"/>
      <c r="R502" s="11"/>
      <c r="CB502" s="11"/>
      <c r="CE502" s="11"/>
      <c r="CF502" s="11"/>
    </row>
    <row r="503" spans="4:84" x14ac:dyDescent="0.25">
      <c r="D503" s="11"/>
      <c r="E503" s="11"/>
      <c r="F503" s="11"/>
      <c r="G503" s="11"/>
      <c r="H503" s="11"/>
      <c r="I503" s="11"/>
      <c r="J503" s="11"/>
      <c r="N503" s="11"/>
      <c r="O503" s="11"/>
      <c r="P503" s="11"/>
      <c r="Q503" s="11"/>
      <c r="R503" s="11"/>
      <c r="CB503" s="11"/>
      <c r="CE503" s="11"/>
      <c r="CF503" s="11"/>
    </row>
    <row r="504" spans="4:84" x14ac:dyDescent="0.25">
      <c r="D504" s="11"/>
      <c r="E504" s="11"/>
      <c r="F504" s="11"/>
      <c r="G504" s="11"/>
      <c r="H504" s="11"/>
      <c r="I504" s="11"/>
      <c r="J504" s="11"/>
      <c r="N504" s="11"/>
      <c r="O504" s="11"/>
      <c r="P504" s="11"/>
      <c r="Q504" s="11"/>
      <c r="R504" s="11"/>
      <c r="CB504" s="11"/>
      <c r="CE504" s="11"/>
      <c r="CF504" s="11"/>
    </row>
    <row r="505" spans="4:84" x14ac:dyDescent="0.25">
      <c r="D505" s="11"/>
      <c r="E505" s="11"/>
      <c r="F505" s="11"/>
      <c r="G505" s="11"/>
      <c r="H505" s="11"/>
      <c r="I505" s="11"/>
      <c r="J505" s="11"/>
      <c r="N505" s="11"/>
      <c r="O505" s="11"/>
      <c r="P505" s="11"/>
      <c r="Q505" s="11"/>
      <c r="R505" s="11"/>
      <c r="CB505" s="11"/>
      <c r="CE505" s="11"/>
      <c r="CF505" s="11"/>
    </row>
    <row r="506" spans="4:84" x14ac:dyDescent="0.25">
      <c r="D506" s="11"/>
      <c r="E506" s="11"/>
      <c r="F506" s="11"/>
      <c r="G506" s="11"/>
      <c r="H506" s="11"/>
      <c r="I506" s="11"/>
      <c r="J506" s="11"/>
      <c r="N506" s="11"/>
      <c r="O506" s="11"/>
      <c r="P506" s="11"/>
      <c r="Q506" s="11"/>
      <c r="R506" s="11"/>
      <c r="CB506" s="11"/>
      <c r="CE506" s="11"/>
      <c r="CF506" s="11"/>
    </row>
    <row r="507" spans="4:84" x14ac:dyDescent="0.25">
      <c r="D507" s="11"/>
      <c r="E507" s="11"/>
      <c r="F507" s="11"/>
      <c r="G507" s="11"/>
      <c r="H507" s="11"/>
      <c r="I507" s="11"/>
      <c r="J507" s="11"/>
      <c r="N507" s="11"/>
      <c r="O507" s="11"/>
      <c r="P507" s="11"/>
      <c r="Q507" s="11"/>
      <c r="R507" s="11"/>
      <c r="CB507" s="11"/>
      <c r="CE507" s="11"/>
      <c r="CF507" s="11"/>
    </row>
    <row r="508" spans="4:84" x14ac:dyDescent="0.25">
      <c r="D508" s="11"/>
      <c r="E508" s="11"/>
      <c r="F508" s="11"/>
      <c r="G508" s="11"/>
      <c r="H508" s="11"/>
      <c r="I508" s="11"/>
      <c r="J508" s="11"/>
      <c r="N508" s="11"/>
      <c r="O508" s="11"/>
      <c r="P508" s="11"/>
      <c r="Q508" s="11"/>
      <c r="R508" s="11"/>
      <c r="CB508" s="11"/>
      <c r="CE508" s="11"/>
      <c r="CF508" s="11"/>
    </row>
    <row r="509" spans="4:84" x14ac:dyDescent="0.25">
      <c r="D509" s="11"/>
      <c r="E509" s="11"/>
      <c r="F509" s="11"/>
      <c r="G509" s="11"/>
      <c r="H509" s="11"/>
      <c r="I509" s="11"/>
      <c r="J509" s="11"/>
      <c r="N509" s="11"/>
      <c r="O509" s="11"/>
      <c r="P509" s="11"/>
      <c r="Q509" s="11"/>
      <c r="R509" s="11"/>
      <c r="CB509" s="11"/>
      <c r="CE509" s="11"/>
      <c r="CF509" s="11"/>
    </row>
    <row r="510" spans="4:84" x14ac:dyDescent="0.25">
      <c r="D510" s="11"/>
      <c r="E510" s="11"/>
      <c r="F510" s="11"/>
      <c r="G510" s="11"/>
      <c r="H510" s="11"/>
      <c r="I510" s="11"/>
      <c r="J510" s="11"/>
      <c r="N510" s="11"/>
      <c r="O510" s="11"/>
      <c r="P510" s="11"/>
      <c r="Q510" s="11"/>
      <c r="R510" s="11"/>
      <c r="CB510" s="11"/>
      <c r="CE510" s="11"/>
      <c r="CF510" s="11"/>
    </row>
    <row r="511" spans="4:84" x14ac:dyDescent="0.25">
      <c r="D511" s="11"/>
      <c r="E511" s="11"/>
      <c r="F511" s="11"/>
      <c r="G511" s="11"/>
      <c r="H511" s="11"/>
      <c r="I511" s="11"/>
      <c r="J511" s="11"/>
      <c r="N511" s="11"/>
      <c r="O511" s="11"/>
      <c r="P511" s="11"/>
      <c r="Q511" s="11"/>
      <c r="R511" s="11"/>
      <c r="CB511" s="11"/>
      <c r="CE511" s="11"/>
      <c r="CF511" s="11"/>
    </row>
    <row r="512" spans="4:84" x14ac:dyDescent="0.25">
      <c r="D512" s="11"/>
      <c r="E512" s="11"/>
      <c r="F512" s="11"/>
      <c r="G512" s="11"/>
      <c r="H512" s="11"/>
      <c r="I512" s="11"/>
      <c r="J512" s="11"/>
      <c r="N512" s="11"/>
      <c r="O512" s="11"/>
      <c r="P512" s="11"/>
      <c r="Q512" s="11"/>
      <c r="R512" s="11"/>
      <c r="CB512" s="11"/>
      <c r="CE512" s="11"/>
      <c r="CF512" s="11"/>
    </row>
    <row r="513" spans="4:84" x14ac:dyDescent="0.25">
      <c r="D513" s="11"/>
      <c r="E513" s="11"/>
      <c r="F513" s="11"/>
      <c r="G513" s="11"/>
      <c r="H513" s="11"/>
      <c r="I513" s="11"/>
      <c r="J513" s="11"/>
      <c r="N513" s="11"/>
      <c r="O513" s="11"/>
      <c r="P513" s="11"/>
      <c r="Q513" s="11"/>
      <c r="R513" s="11"/>
      <c r="CB513" s="11"/>
      <c r="CE513" s="11"/>
      <c r="CF513" s="11"/>
    </row>
    <row r="514" spans="4:84" x14ac:dyDescent="0.25">
      <c r="D514" s="11"/>
      <c r="E514" s="11"/>
      <c r="F514" s="11"/>
      <c r="G514" s="11"/>
      <c r="H514" s="11"/>
      <c r="I514" s="11"/>
      <c r="J514" s="11"/>
      <c r="N514" s="11"/>
      <c r="O514" s="11"/>
      <c r="P514" s="11"/>
      <c r="Q514" s="11"/>
      <c r="R514" s="11"/>
      <c r="CB514" s="11"/>
      <c r="CE514" s="11"/>
      <c r="CF514" s="11"/>
    </row>
    <row r="515" spans="4:84" x14ac:dyDescent="0.25">
      <c r="D515" s="11"/>
      <c r="E515" s="11"/>
      <c r="F515" s="11"/>
      <c r="G515" s="11"/>
      <c r="H515" s="11"/>
      <c r="I515" s="11"/>
      <c r="J515" s="11"/>
      <c r="N515" s="11"/>
      <c r="O515" s="11"/>
      <c r="P515" s="11"/>
      <c r="Q515" s="11"/>
      <c r="R515" s="11"/>
      <c r="CB515" s="11"/>
      <c r="CE515" s="11"/>
      <c r="CF515" s="11"/>
    </row>
    <row r="516" spans="4:84" x14ac:dyDescent="0.25">
      <c r="D516" s="11"/>
      <c r="E516" s="11"/>
      <c r="F516" s="11"/>
      <c r="G516" s="11"/>
      <c r="H516" s="11"/>
      <c r="I516" s="11"/>
      <c r="J516" s="11"/>
      <c r="N516" s="11"/>
      <c r="O516" s="11"/>
      <c r="P516" s="11"/>
      <c r="Q516" s="11"/>
      <c r="R516" s="11"/>
      <c r="CB516" s="11"/>
      <c r="CE516" s="11"/>
      <c r="CF516" s="11"/>
    </row>
    <row r="517" spans="4:84" x14ac:dyDescent="0.25">
      <c r="D517" s="11"/>
      <c r="E517" s="11"/>
      <c r="F517" s="11"/>
      <c r="G517" s="11"/>
      <c r="H517" s="11"/>
      <c r="I517" s="11"/>
      <c r="J517" s="11"/>
      <c r="N517" s="11"/>
      <c r="O517" s="11"/>
      <c r="P517" s="11"/>
      <c r="Q517" s="11"/>
      <c r="R517" s="11"/>
      <c r="CB517" s="11"/>
      <c r="CE517" s="11"/>
      <c r="CF517" s="11"/>
    </row>
    <row r="518" spans="4:84" x14ac:dyDescent="0.25">
      <c r="D518" s="11"/>
      <c r="E518" s="11"/>
      <c r="F518" s="11"/>
      <c r="G518" s="11"/>
      <c r="H518" s="11"/>
      <c r="I518" s="11"/>
      <c r="J518" s="11"/>
      <c r="N518" s="11"/>
      <c r="O518" s="11"/>
      <c r="P518" s="11"/>
      <c r="Q518" s="11"/>
      <c r="R518" s="11"/>
      <c r="CB518" s="11"/>
      <c r="CE518" s="11"/>
      <c r="CF518" s="11"/>
    </row>
    <row r="519" spans="4:84" x14ac:dyDescent="0.25">
      <c r="D519" s="11"/>
      <c r="E519" s="11"/>
      <c r="F519" s="11"/>
      <c r="G519" s="11"/>
      <c r="H519" s="11"/>
      <c r="I519" s="11"/>
      <c r="J519" s="11"/>
      <c r="N519" s="11"/>
      <c r="O519" s="11"/>
      <c r="P519" s="11"/>
      <c r="Q519" s="11"/>
      <c r="R519" s="11"/>
      <c r="CB519" s="11"/>
      <c r="CE519" s="11"/>
      <c r="CF519" s="11"/>
    </row>
    <row r="520" spans="4:84" x14ac:dyDescent="0.25">
      <c r="D520" s="11"/>
      <c r="E520" s="11"/>
      <c r="F520" s="11"/>
      <c r="G520" s="11"/>
      <c r="H520" s="11"/>
      <c r="I520" s="11"/>
      <c r="J520" s="11"/>
      <c r="N520" s="11"/>
      <c r="O520" s="11"/>
      <c r="P520" s="11"/>
      <c r="Q520" s="11"/>
      <c r="R520" s="11"/>
      <c r="CB520" s="11"/>
      <c r="CE520" s="11"/>
      <c r="CF520" s="11"/>
    </row>
    <row r="521" spans="4:84" x14ac:dyDescent="0.25">
      <c r="D521" s="11"/>
      <c r="E521" s="11"/>
      <c r="F521" s="11"/>
      <c r="G521" s="11"/>
      <c r="H521" s="11"/>
      <c r="I521" s="11"/>
      <c r="J521" s="11"/>
      <c r="N521" s="11"/>
      <c r="O521" s="11"/>
      <c r="P521" s="11"/>
      <c r="Q521" s="11"/>
      <c r="R521" s="11"/>
      <c r="CB521" s="11"/>
      <c r="CE521" s="11"/>
      <c r="CF521" s="11"/>
    </row>
    <row r="522" spans="4:84" x14ac:dyDescent="0.25">
      <c r="D522" s="11"/>
      <c r="E522" s="11"/>
      <c r="F522" s="11"/>
      <c r="G522" s="11"/>
      <c r="H522" s="11"/>
      <c r="I522" s="11"/>
      <c r="J522" s="11"/>
      <c r="N522" s="11"/>
      <c r="O522" s="11"/>
      <c r="P522" s="11"/>
      <c r="Q522" s="11"/>
      <c r="R522" s="11"/>
      <c r="CB522" s="11"/>
      <c r="CE522" s="11"/>
      <c r="CF522" s="11"/>
    </row>
    <row r="523" spans="4:84" x14ac:dyDescent="0.25">
      <c r="D523" s="11"/>
      <c r="E523" s="11"/>
      <c r="F523" s="11"/>
      <c r="G523" s="11"/>
      <c r="H523" s="11"/>
      <c r="I523" s="11"/>
      <c r="J523" s="11"/>
      <c r="N523" s="11"/>
      <c r="O523" s="11"/>
      <c r="P523" s="11"/>
      <c r="Q523" s="11"/>
      <c r="R523" s="11"/>
      <c r="CB523" s="11"/>
      <c r="CE523" s="11"/>
      <c r="CF523" s="11"/>
    </row>
    <row r="524" spans="4:84" x14ac:dyDescent="0.25">
      <c r="D524" s="11"/>
      <c r="E524" s="11"/>
      <c r="F524" s="11"/>
      <c r="G524" s="11"/>
      <c r="H524" s="11"/>
      <c r="I524" s="11"/>
      <c r="J524" s="11"/>
      <c r="N524" s="11"/>
      <c r="O524" s="11"/>
      <c r="P524" s="11"/>
      <c r="Q524" s="11"/>
      <c r="R524" s="11"/>
      <c r="CB524" s="11"/>
      <c r="CE524" s="11"/>
      <c r="CF524" s="11"/>
    </row>
    <row r="525" spans="4:84" x14ac:dyDescent="0.25">
      <c r="D525" s="11"/>
      <c r="E525" s="11"/>
      <c r="F525" s="11"/>
      <c r="G525" s="11"/>
      <c r="H525" s="11"/>
      <c r="I525" s="11"/>
      <c r="J525" s="11"/>
      <c r="N525" s="11"/>
      <c r="O525" s="11"/>
      <c r="P525" s="11"/>
      <c r="Q525" s="11"/>
      <c r="R525" s="11"/>
      <c r="CB525" s="11"/>
      <c r="CE525" s="11"/>
      <c r="CF525" s="11"/>
    </row>
    <row r="526" spans="4:84" x14ac:dyDescent="0.25">
      <c r="D526" s="11"/>
      <c r="E526" s="11"/>
      <c r="F526" s="11"/>
      <c r="G526" s="11"/>
      <c r="H526" s="11"/>
      <c r="I526" s="11"/>
      <c r="J526" s="11"/>
      <c r="N526" s="11"/>
      <c r="O526" s="11"/>
      <c r="P526" s="11"/>
      <c r="Q526" s="11"/>
      <c r="R526" s="11"/>
      <c r="CB526" s="11"/>
      <c r="CE526" s="11"/>
      <c r="CF526" s="11"/>
    </row>
    <row r="527" spans="4:84" x14ac:dyDescent="0.25">
      <c r="D527" s="11"/>
      <c r="E527" s="11"/>
      <c r="F527" s="11"/>
      <c r="G527" s="11"/>
      <c r="H527" s="11"/>
      <c r="I527" s="11"/>
      <c r="J527" s="11"/>
      <c r="N527" s="11"/>
      <c r="O527" s="11"/>
      <c r="P527" s="11"/>
      <c r="Q527" s="11"/>
      <c r="R527" s="11"/>
      <c r="CB527" s="11"/>
      <c r="CE527" s="11"/>
      <c r="CF527" s="11"/>
    </row>
    <row r="528" spans="4:84" x14ac:dyDescent="0.25">
      <c r="D528" s="11"/>
      <c r="E528" s="11"/>
      <c r="F528" s="11"/>
      <c r="G528" s="11"/>
      <c r="H528" s="11"/>
      <c r="I528" s="11"/>
      <c r="J528" s="11"/>
      <c r="N528" s="11"/>
      <c r="O528" s="11"/>
      <c r="P528" s="11"/>
      <c r="Q528" s="11"/>
      <c r="R528" s="11"/>
      <c r="CB528" s="11"/>
      <c r="CE528" s="11"/>
      <c r="CF528" s="11"/>
    </row>
    <row r="529" spans="4:84" x14ac:dyDescent="0.25">
      <c r="D529" s="11"/>
      <c r="E529" s="11"/>
      <c r="F529" s="11"/>
      <c r="G529" s="11"/>
      <c r="H529" s="11"/>
      <c r="I529" s="11"/>
      <c r="J529" s="11"/>
      <c r="N529" s="11"/>
      <c r="O529" s="11"/>
      <c r="P529" s="11"/>
      <c r="Q529" s="11"/>
      <c r="R529" s="11"/>
      <c r="CB529" s="11"/>
      <c r="CE529" s="11"/>
      <c r="CF529" s="11"/>
    </row>
    <row r="530" spans="4:84" x14ac:dyDescent="0.25">
      <c r="D530" s="11"/>
      <c r="E530" s="11"/>
      <c r="F530" s="11"/>
      <c r="G530" s="11"/>
      <c r="H530" s="11"/>
      <c r="I530" s="11"/>
      <c r="J530" s="11"/>
      <c r="N530" s="11"/>
      <c r="O530" s="11"/>
      <c r="P530" s="11"/>
      <c r="Q530" s="11"/>
      <c r="R530" s="11"/>
      <c r="CB530" s="11"/>
      <c r="CE530" s="11"/>
      <c r="CF530" s="11"/>
    </row>
    <row r="531" spans="4:84" x14ac:dyDescent="0.25">
      <c r="D531" s="11"/>
      <c r="E531" s="11"/>
      <c r="F531" s="11"/>
      <c r="G531" s="11"/>
      <c r="H531" s="11"/>
      <c r="I531" s="11"/>
      <c r="J531" s="11"/>
      <c r="N531" s="11"/>
      <c r="O531" s="11"/>
      <c r="P531" s="11"/>
      <c r="Q531" s="11"/>
      <c r="R531" s="11"/>
      <c r="CB531" s="11"/>
      <c r="CE531" s="11"/>
      <c r="CF531" s="11"/>
    </row>
    <row r="532" spans="4:84" x14ac:dyDescent="0.25">
      <c r="D532" s="11"/>
      <c r="E532" s="11"/>
      <c r="F532" s="11"/>
      <c r="G532" s="11"/>
      <c r="H532" s="11"/>
      <c r="I532" s="11"/>
      <c r="J532" s="11"/>
      <c r="N532" s="11"/>
      <c r="O532" s="11"/>
      <c r="P532" s="11"/>
      <c r="Q532" s="11"/>
      <c r="R532" s="11"/>
      <c r="CB532" s="11"/>
      <c r="CE532" s="11"/>
      <c r="CF532" s="11"/>
    </row>
    <row r="533" spans="4:84" x14ac:dyDescent="0.25">
      <c r="D533" s="11"/>
      <c r="E533" s="11"/>
      <c r="F533" s="11"/>
      <c r="G533" s="11"/>
      <c r="H533" s="11"/>
      <c r="I533" s="11"/>
      <c r="J533" s="11"/>
      <c r="N533" s="11"/>
      <c r="O533" s="11"/>
      <c r="P533" s="11"/>
      <c r="Q533" s="11"/>
      <c r="R533" s="11"/>
      <c r="CB533" s="11"/>
      <c r="CE533" s="11"/>
      <c r="CF533" s="11"/>
    </row>
    <row r="534" spans="4:84" x14ac:dyDescent="0.25">
      <c r="D534" s="11"/>
      <c r="E534" s="11"/>
      <c r="F534" s="11"/>
      <c r="G534" s="11"/>
      <c r="H534" s="11"/>
      <c r="I534" s="11"/>
      <c r="J534" s="11"/>
      <c r="N534" s="11"/>
      <c r="O534" s="11"/>
      <c r="P534" s="11"/>
      <c r="Q534" s="11"/>
      <c r="R534" s="11"/>
      <c r="CB534" s="11"/>
      <c r="CE534" s="11"/>
      <c r="CF534" s="11"/>
    </row>
    <row r="535" spans="4:84" x14ac:dyDescent="0.25">
      <c r="D535" s="11"/>
      <c r="E535" s="11"/>
      <c r="F535" s="11"/>
      <c r="G535" s="11"/>
      <c r="H535" s="11"/>
      <c r="I535" s="11"/>
      <c r="J535" s="11"/>
      <c r="N535" s="11"/>
      <c r="O535" s="11"/>
      <c r="P535" s="11"/>
      <c r="Q535" s="11"/>
      <c r="R535" s="11"/>
      <c r="CB535" s="11"/>
      <c r="CE535" s="11"/>
      <c r="CF535" s="11"/>
    </row>
    <row r="536" spans="4:84" x14ac:dyDescent="0.25">
      <c r="D536" s="11"/>
      <c r="E536" s="11"/>
      <c r="F536" s="11"/>
      <c r="G536" s="11"/>
      <c r="H536" s="11"/>
      <c r="I536" s="11"/>
      <c r="J536" s="11"/>
      <c r="N536" s="11"/>
      <c r="O536" s="11"/>
      <c r="P536" s="11"/>
      <c r="Q536" s="11"/>
      <c r="R536" s="11"/>
      <c r="CB536" s="11"/>
      <c r="CE536" s="11"/>
      <c r="CF536" s="11"/>
    </row>
    <row r="537" spans="4:84" x14ac:dyDescent="0.25">
      <c r="D537" s="11"/>
      <c r="E537" s="11"/>
      <c r="F537" s="11"/>
      <c r="G537" s="11"/>
      <c r="H537" s="11"/>
      <c r="I537" s="11"/>
      <c r="J537" s="11"/>
      <c r="N537" s="11"/>
      <c r="O537" s="11"/>
      <c r="P537" s="11"/>
      <c r="Q537" s="11"/>
      <c r="R537" s="11"/>
      <c r="CB537" s="11"/>
      <c r="CE537" s="11"/>
      <c r="CF537" s="11"/>
    </row>
    <row r="538" spans="4:84" x14ac:dyDescent="0.25">
      <c r="D538" s="11"/>
      <c r="E538" s="11"/>
      <c r="F538" s="11"/>
      <c r="G538" s="11"/>
      <c r="H538" s="11"/>
      <c r="I538" s="11"/>
      <c r="J538" s="11"/>
      <c r="N538" s="11"/>
      <c r="O538" s="11"/>
      <c r="P538" s="11"/>
      <c r="Q538" s="11"/>
      <c r="R538" s="11"/>
      <c r="CB538" s="11"/>
      <c r="CE538" s="11"/>
      <c r="CF538" s="11"/>
    </row>
    <row r="539" spans="4:84" x14ac:dyDescent="0.25">
      <c r="D539" s="11"/>
      <c r="E539" s="11"/>
      <c r="F539" s="11"/>
      <c r="G539" s="11"/>
      <c r="H539" s="11"/>
      <c r="I539" s="11"/>
      <c r="J539" s="11"/>
      <c r="N539" s="11"/>
      <c r="O539" s="11"/>
      <c r="P539" s="11"/>
      <c r="Q539" s="11"/>
      <c r="R539" s="11"/>
      <c r="CB539" s="11"/>
      <c r="CE539" s="11"/>
      <c r="CF539" s="11"/>
    </row>
    <row r="540" spans="4:84" x14ac:dyDescent="0.25">
      <c r="D540" s="11"/>
      <c r="E540" s="11"/>
      <c r="F540" s="11"/>
      <c r="G540" s="11"/>
      <c r="H540" s="11"/>
      <c r="I540" s="11"/>
      <c r="J540" s="11"/>
      <c r="N540" s="11"/>
      <c r="O540" s="11"/>
      <c r="P540" s="11"/>
      <c r="Q540" s="11"/>
      <c r="R540" s="11"/>
      <c r="CB540" s="11"/>
      <c r="CE540" s="11"/>
      <c r="CF540" s="11"/>
    </row>
    <row r="541" spans="4:84" x14ac:dyDescent="0.25">
      <c r="D541" s="11"/>
      <c r="E541" s="11"/>
      <c r="F541" s="11"/>
      <c r="G541" s="11"/>
      <c r="H541" s="11"/>
      <c r="I541" s="11"/>
      <c r="J541" s="11"/>
      <c r="N541" s="11"/>
      <c r="O541" s="11"/>
      <c r="P541" s="11"/>
      <c r="Q541" s="11"/>
      <c r="R541" s="11"/>
      <c r="CB541" s="11"/>
      <c r="CE541" s="11"/>
      <c r="CF541" s="11"/>
    </row>
    <row r="542" spans="4:84" x14ac:dyDescent="0.25">
      <c r="D542" s="11"/>
      <c r="E542" s="11"/>
      <c r="F542" s="11"/>
      <c r="G542" s="11"/>
      <c r="H542" s="11"/>
      <c r="I542" s="11"/>
      <c r="J542" s="11"/>
      <c r="N542" s="11"/>
      <c r="O542" s="11"/>
      <c r="P542" s="11"/>
      <c r="Q542" s="11"/>
      <c r="R542" s="11"/>
      <c r="CB542" s="11"/>
      <c r="CE542" s="11"/>
      <c r="CF542" s="11"/>
    </row>
    <row r="543" spans="4:84" x14ac:dyDescent="0.25">
      <c r="D543" s="11"/>
      <c r="E543" s="11"/>
      <c r="F543" s="11"/>
      <c r="G543" s="11"/>
      <c r="H543" s="11"/>
      <c r="I543" s="11"/>
      <c r="J543" s="11"/>
      <c r="N543" s="11"/>
      <c r="O543" s="11"/>
      <c r="P543" s="11"/>
      <c r="Q543" s="11"/>
      <c r="R543" s="11"/>
      <c r="CB543" s="11"/>
      <c r="CE543" s="11"/>
      <c r="CF543" s="11"/>
    </row>
    <row r="544" spans="4:84" x14ac:dyDescent="0.25">
      <c r="D544" s="11"/>
      <c r="E544" s="11"/>
      <c r="F544" s="11"/>
      <c r="G544" s="11"/>
      <c r="H544" s="11"/>
      <c r="I544" s="11"/>
      <c r="J544" s="11"/>
      <c r="N544" s="11"/>
      <c r="O544" s="11"/>
      <c r="P544" s="11"/>
      <c r="Q544" s="11"/>
      <c r="R544" s="11"/>
      <c r="CB544" s="11"/>
      <c r="CE544" s="11"/>
      <c r="CF544" s="11"/>
    </row>
    <row r="545" spans="4:84" x14ac:dyDescent="0.25">
      <c r="D545" s="11"/>
      <c r="E545" s="11"/>
      <c r="F545" s="11"/>
      <c r="G545" s="11"/>
      <c r="H545" s="11"/>
      <c r="I545" s="11"/>
      <c r="J545" s="11"/>
      <c r="N545" s="11"/>
      <c r="O545" s="11"/>
      <c r="P545" s="11"/>
      <c r="Q545" s="11"/>
      <c r="R545" s="11"/>
      <c r="CB545" s="11"/>
      <c r="CE545" s="11"/>
      <c r="CF545" s="11"/>
    </row>
    <row r="546" spans="4:84" x14ac:dyDescent="0.25">
      <c r="D546" s="11"/>
      <c r="E546" s="11"/>
      <c r="F546" s="11"/>
      <c r="G546" s="11"/>
      <c r="H546" s="11"/>
      <c r="I546" s="11"/>
      <c r="J546" s="11"/>
      <c r="N546" s="11"/>
      <c r="O546" s="11"/>
      <c r="P546" s="11"/>
      <c r="Q546" s="11"/>
      <c r="R546" s="11"/>
      <c r="CB546" s="11"/>
      <c r="CE546" s="11"/>
      <c r="CF546" s="11"/>
    </row>
    <row r="547" spans="4:84" x14ac:dyDescent="0.25">
      <c r="D547" s="11"/>
      <c r="E547" s="11"/>
      <c r="F547" s="11"/>
      <c r="G547" s="11"/>
      <c r="H547" s="11"/>
      <c r="I547" s="11"/>
      <c r="J547" s="11"/>
      <c r="N547" s="11"/>
      <c r="O547" s="11"/>
      <c r="P547" s="11"/>
      <c r="Q547" s="11"/>
      <c r="R547" s="11"/>
      <c r="CB547" s="11"/>
      <c r="CE547" s="11"/>
      <c r="CF547" s="11"/>
    </row>
    <row r="548" spans="4:84" x14ac:dyDescent="0.25">
      <c r="D548" s="11"/>
      <c r="E548" s="11"/>
      <c r="F548" s="11"/>
      <c r="G548" s="11"/>
      <c r="H548" s="11"/>
      <c r="I548" s="11"/>
      <c r="J548" s="11"/>
      <c r="N548" s="11"/>
      <c r="O548" s="11"/>
      <c r="P548" s="11"/>
      <c r="Q548" s="11"/>
      <c r="R548" s="11"/>
      <c r="CB548" s="11"/>
      <c r="CE548" s="11"/>
      <c r="CF548" s="11"/>
    </row>
    <row r="549" spans="4:84" x14ac:dyDescent="0.25">
      <c r="D549" s="11"/>
      <c r="E549" s="11"/>
      <c r="F549" s="11"/>
      <c r="G549" s="11"/>
      <c r="H549" s="11"/>
      <c r="I549" s="11"/>
      <c r="J549" s="11"/>
      <c r="N549" s="11"/>
      <c r="O549" s="11"/>
      <c r="P549" s="11"/>
      <c r="Q549" s="11"/>
      <c r="R549" s="11"/>
      <c r="CB549" s="11"/>
      <c r="CE549" s="11"/>
      <c r="CF549" s="11"/>
    </row>
    <row r="550" spans="4:84" x14ac:dyDescent="0.25">
      <c r="D550" s="11"/>
      <c r="E550" s="11"/>
      <c r="F550" s="11"/>
      <c r="G550" s="11"/>
      <c r="H550" s="11"/>
      <c r="I550" s="11"/>
      <c r="J550" s="11"/>
      <c r="N550" s="11"/>
      <c r="O550" s="11"/>
      <c r="P550" s="11"/>
      <c r="Q550" s="11"/>
      <c r="R550" s="11"/>
      <c r="CB550" s="11"/>
      <c r="CE550" s="11"/>
      <c r="CF550" s="11"/>
    </row>
    <row r="551" spans="4:84" x14ac:dyDescent="0.25">
      <c r="D551" s="11"/>
      <c r="E551" s="11"/>
      <c r="F551" s="11"/>
      <c r="G551" s="11"/>
      <c r="H551" s="11"/>
      <c r="I551" s="11"/>
      <c r="J551" s="11"/>
      <c r="N551" s="11"/>
      <c r="O551" s="11"/>
      <c r="P551" s="11"/>
      <c r="Q551" s="11"/>
      <c r="R551" s="11"/>
      <c r="CB551" s="11"/>
      <c r="CE551" s="11"/>
      <c r="CF551" s="11"/>
    </row>
    <row r="552" spans="4:84" x14ac:dyDescent="0.25">
      <c r="D552" s="11"/>
      <c r="E552" s="11"/>
      <c r="F552" s="11"/>
      <c r="G552" s="11"/>
      <c r="H552" s="11"/>
      <c r="I552" s="11"/>
      <c r="J552" s="11"/>
      <c r="N552" s="11"/>
      <c r="O552" s="11"/>
      <c r="P552" s="11"/>
      <c r="Q552" s="11"/>
      <c r="R552" s="11"/>
      <c r="CB552" s="11"/>
      <c r="CE552" s="11"/>
      <c r="CF552" s="11"/>
    </row>
    <row r="553" spans="4:84" x14ac:dyDescent="0.25">
      <c r="D553" s="11"/>
      <c r="E553" s="11"/>
      <c r="F553" s="11"/>
      <c r="G553" s="11"/>
      <c r="H553" s="11"/>
      <c r="I553" s="11"/>
      <c r="J553" s="11"/>
      <c r="N553" s="11"/>
      <c r="O553" s="11"/>
      <c r="P553" s="11"/>
      <c r="Q553" s="11"/>
      <c r="R553" s="11"/>
      <c r="CB553" s="11"/>
      <c r="CE553" s="11"/>
      <c r="CF553" s="11"/>
    </row>
    <row r="554" spans="4:84" x14ac:dyDescent="0.25">
      <c r="D554" s="11"/>
      <c r="E554" s="11"/>
      <c r="F554" s="11"/>
      <c r="G554" s="11"/>
      <c r="H554" s="11"/>
      <c r="I554" s="11"/>
      <c r="J554" s="11"/>
      <c r="N554" s="11"/>
      <c r="O554" s="11"/>
      <c r="P554" s="11"/>
      <c r="Q554" s="11"/>
      <c r="R554" s="11"/>
      <c r="CB554" s="11"/>
      <c r="CE554" s="11"/>
      <c r="CF554" s="11"/>
    </row>
    <row r="555" spans="4:84" x14ac:dyDescent="0.25">
      <c r="D555" s="11"/>
      <c r="E555" s="11"/>
      <c r="F555" s="11"/>
      <c r="G555" s="11"/>
      <c r="H555" s="11"/>
      <c r="I555" s="11"/>
      <c r="J555" s="11"/>
      <c r="N555" s="11"/>
      <c r="O555" s="11"/>
      <c r="P555" s="11"/>
      <c r="Q555" s="11"/>
      <c r="R555" s="11"/>
      <c r="CB555" s="11"/>
      <c r="CE555" s="11"/>
      <c r="CF555" s="11"/>
    </row>
    <row r="556" spans="4:84" x14ac:dyDescent="0.25">
      <c r="D556" s="11"/>
      <c r="E556" s="11"/>
      <c r="F556" s="11"/>
      <c r="G556" s="11"/>
      <c r="H556" s="11"/>
      <c r="I556" s="11"/>
      <c r="J556" s="11"/>
      <c r="N556" s="11"/>
      <c r="O556" s="11"/>
      <c r="P556" s="11"/>
      <c r="Q556" s="11"/>
      <c r="R556" s="11"/>
      <c r="CB556" s="11"/>
      <c r="CE556" s="11"/>
      <c r="CF556" s="11"/>
    </row>
    <row r="557" spans="4:84" x14ac:dyDescent="0.25">
      <c r="D557" s="11"/>
      <c r="E557" s="11"/>
      <c r="F557" s="11"/>
      <c r="G557" s="11"/>
      <c r="H557" s="11"/>
      <c r="I557" s="11"/>
      <c r="J557" s="11"/>
      <c r="N557" s="11"/>
      <c r="O557" s="11"/>
      <c r="P557" s="11"/>
      <c r="Q557" s="11"/>
      <c r="R557" s="11"/>
      <c r="CB557" s="11"/>
      <c r="CE557" s="11"/>
      <c r="CF557" s="11"/>
    </row>
    <row r="558" spans="4:84" x14ac:dyDescent="0.25">
      <c r="D558" s="11"/>
      <c r="E558" s="11"/>
      <c r="F558" s="11"/>
      <c r="G558" s="11"/>
      <c r="H558" s="11"/>
      <c r="I558" s="11"/>
      <c r="J558" s="11"/>
      <c r="N558" s="11"/>
      <c r="O558" s="11"/>
      <c r="P558" s="11"/>
      <c r="Q558" s="11"/>
      <c r="R558" s="11"/>
      <c r="CB558" s="11"/>
      <c r="CE558" s="11"/>
      <c r="CF558" s="11"/>
    </row>
    <row r="559" spans="4:84" x14ac:dyDescent="0.25">
      <c r="D559" s="11"/>
      <c r="E559" s="11"/>
      <c r="F559" s="11"/>
      <c r="G559" s="11"/>
      <c r="H559" s="11"/>
      <c r="I559" s="11"/>
      <c r="J559" s="11"/>
      <c r="N559" s="11"/>
      <c r="O559" s="11"/>
      <c r="P559" s="11"/>
      <c r="Q559" s="11"/>
      <c r="R559" s="11"/>
      <c r="CB559" s="11"/>
      <c r="CE559" s="11"/>
      <c r="CF559" s="11"/>
    </row>
    <row r="560" spans="4:84" x14ac:dyDescent="0.25">
      <c r="D560" s="11"/>
      <c r="E560" s="11"/>
      <c r="F560" s="11"/>
      <c r="G560" s="11"/>
      <c r="H560" s="11"/>
      <c r="I560" s="11"/>
      <c r="J560" s="11"/>
      <c r="N560" s="11"/>
      <c r="O560" s="11"/>
      <c r="P560" s="11"/>
      <c r="Q560" s="11"/>
      <c r="R560" s="11"/>
      <c r="CB560" s="11"/>
      <c r="CE560" s="11"/>
      <c r="CF560" s="11"/>
    </row>
    <row r="561" spans="4:84" x14ac:dyDescent="0.25">
      <c r="D561" s="11"/>
      <c r="E561" s="11"/>
      <c r="F561" s="11"/>
      <c r="G561" s="11"/>
      <c r="H561" s="11"/>
      <c r="I561" s="11"/>
      <c r="J561" s="11"/>
      <c r="N561" s="11"/>
      <c r="O561" s="11"/>
      <c r="P561" s="11"/>
      <c r="Q561" s="11"/>
      <c r="R561" s="11"/>
      <c r="CB561" s="11"/>
      <c r="CE561" s="11"/>
      <c r="CF561" s="11"/>
    </row>
    <row r="562" spans="4:84" x14ac:dyDescent="0.25">
      <c r="D562" s="11"/>
      <c r="E562" s="11"/>
      <c r="F562" s="11"/>
      <c r="G562" s="11"/>
      <c r="H562" s="11"/>
      <c r="I562" s="11"/>
      <c r="J562" s="11"/>
      <c r="N562" s="11"/>
      <c r="O562" s="11"/>
      <c r="P562" s="11"/>
      <c r="Q562" s="11"/>
      <c r="R562" s="11"/>
      <c r="CB562" s="11"/>
      <c r="CE562" s="11"/>
      <c r="CF562" s="11"/>
    </row>
    <row r="563" spans="4:84" x14ac:dyDescent="0.25">
      <c r="D563" s="11"/>
      <c r="E563" s="11"/>
      <c r="F563" s="11"/>
      <c r="G563" s="11"/>
      <c r="H563" s="11"/>
      <c r="I563" s="11"/>
      <c r="J563" s="11"/>
      <c r="N563" s="11"/>
      <c r="O563" s="11"/>
      <c r="P563" s="11"/>
      <c r="Q563" s="11"/>
      <c r="R563" s="11"/>
      <c r="CB563" s="11"/>
      <c r="CE563" s="11"/>
      <c r="CF563" s="11"/>
    </row>
    <row r="564" spans="4:84" x14ac:dyDescent="0.25">
      <c r="D564" s="11"/>
      <c r="E564" s="11"/>
      <c r="F564" s="11"/>
      <c r="G564" s="11"/>
      <c r="H564" s="11"/>
      <c r="I564" s="11"/>
      <c r="J564" s="11"/>
      <c r="N564" s="11"/>
      <c r="O564" s="11"/>
      <c r="P564" s="11"/>
      <c r="Q564" s="11"/>
      <c r="R564" s="11"/>
      <c r="CB564" s="11"/>
      <c r="CE564" s="11"/>
      <c r="CF564" s="11"/>
    </row>
    <row r="565" spans="4:84" x14ac:dyDescent="0.25">
      <c r="D565" s="11"/>
      <c r="E565" s="11"/>
      <c r="F565" s="11"/>
      <c r="G565" s="11"/>
      <c r="H565" s="11"/>
      <c r="I565" s="11"/>
      <c r="J565" s="11"/>
      <c r="N565" s="11"/>
      <c r="O565" s="11"/>
      <c r="P565" s="11"/>
      <c r="Q565" s="11"/>
      <c r="R565" s="11"/>
      <c r="CB565" s="11"/>
      <c r="CE565" s="11"/>
      <c r="CF565" s="11"/>
    </row>
    <row r="566" spans="4:84" x14ac:dyDescent="0.25">
      <c r="D566" s="11"/>
      <c r="E566" s="11"/>
      <c r="F566" s="11"/>
      <c r="G566" s="11"/>
      <c r="H566" s="11"/>
      <c r="I566" s="11"/>
      <c r="J566" s="11"/>
      <c r="N566" s="11"/>
      <c r="O566" s="11"/>
      <c r="P566" s="11"/>
      <c r="Q566" s="11"/>
      <c r="R566" s="11"/>
      <c r="CB566" s="11"/>
      <c r="CE566" s="11"/>
      <c r="CF566" s="11"/>
    </row>
    <row r="567" spans="4:84" x14ac:dyDescent="0.25">
      <c r="D567" s="11"/>
      <c r="E567" s="11"/>
      <c r="F567" s="11"/>
      <c r="G567" s="11"/>
      <c r="H567" s="11"/>
      <c r="I567" s="11"/>
      <c r="J567" s="11"/>
      <c r="N567" s="11"/>
      <c r="O567" s="11"/>
      <c r="P567" s="11"/>
      <c r="Q567" s="11"/>
      <c r="R567" s="11"/>
      <c r="CB567" s="11"/>
      <c r="CE567" s="11"/>
      <c r="CF567" s="11"/>
    </row>
    <row r="568" spans="4:84" x14ac:dyDescent="0.25">
      <c r="D568" s="11"/>
      <c r="E568" s="11"/>
      <c r="F568" s="11"/>
      <c r="G568" s="11"/>
      <c r="H568" s="11"/>
      <c r="I568" s="11"/>
      <c r="J568" s="11"/>
      <c r="N568" s="11"/>
      <c r="O568" s="11"/>
      <c r="P568" s="11"/>
      <c r="Q568" s="11"/>
      <c r="R568" s="11"/>
      <c r="CB568" s="11"/>
      <c r="CE568" s="11"/>
      <c r="CF568" s="11"/>
    </row>
    <row r="569" spans="4:84" x14ac:dyDescent="0.25">
      <c r="D569" s="11"/>
      <c r="E569" s="11"/>
      <c r="F569" s="11"/>
      <c r="G569" s="11"/>
      <c r="H569" s="11"/>
      <c r="I569" s="11"/>
      <c r="J569" s="11"/>
      <c r="N569" s="11"/>
      <c r="O569" s="11"/>
      <c r="P569" s="11"/>
      <c r="Q569" s="11"/>
      <c r="R569" s="11"/>
      <c r="CB569" s="11"/>
      <c r="CE569" s="11"/>
      <c r="CF569" s="11"/>
    </row>
    <row r="570" spans="4:84" x14ac:dyDescent="0.25">
      <c r="D570" s="11"/>
      <c r="E570" s="11"/>
      <c r="F570" s="11"/>
      <c r="G570" s="11"/>
      <c r="H570" s="11"/>
      <c r="I570" s="11"/>
      <c r="J570" s="11"/>
      <c r="N570" s="11"/>
      <c r="O570" s="11"/>
      <c r="P570" s="11"/>
      <c r="Q570" s="11"/>
      <c r="R570" s="11"/>
      <c r="CB570" s="11"/>
      <c r="CE570" s="11"/>
      <c r="CF570" s="11"/>
    </row>
    <row r="571" spans="4:84" x14ac:dyDescent="0.25">
      <c r="D571" s="11"/>
      <c r="E571" s="11"/>
      <c r="F571" s="11"/>
      <c r="G571" s="11"/>
      <c r="H571" s="11"/>
      <c r="I571" s="11"/>
      <c r="J571" s="11"/>
      <c r="N571" s="11"/>
      <c r="O571" s="11"/>
      <c r="P571" s="11"/>
      <c r="Q571" s="11"/>
      <c r="R571" s="11"/>
      <c r="CB571" s="11"/>
      <c r="CE571" s="11"/>
      <c r="CF571" s="11"/>
    </row>
    <row r="572" spans="4:84" x14ac:dyDescent="0.25">
      <c r="D572" s="11"/>
      <c r="E572" s="11"/>
      <c r="F572" s="11"/>
      <c r="G572" s="11"/>
      <c r="H572" s="11"/>
      <c r="I572" s="11"/>
      <c r="J572" s="11"/>
      <c r="N572" s="11"/>
      <c r="O572" s="11"/>
      <c r="P572" s="11"/>
      <c r="Q572" s="11"/>
      <c r="R572" s="11"/>
      <c r="CB572" s="11"/>
      <c r="CE572" s="11"/>
      <c r="CF572" s="11"/>
    </row>
    <row r="573" spans="4:84" x14ac:dyDescent="0.25">
      <c r="D573" s="11"/>
      <c r="E573" s="11"/>
      <c r="F573" s="11"/>
      <c r="G573" s="11"/>
      <c r="H573" s="11"/>
      <c r="I573" s="11"/>
      <c r="J573" s="11"/>
      <c r="N573" s="11"/>
      <c r="O573" s="11"/>
      <c r="P573" s="11"/>
      <c r="Q573" s="11"/>
      <c r="R573" s="11"/>
      <c r="CB573" s="11"/>
      <c r="CE573" s="11"/>
      <c r="CF573" s="11"/>
    </row>
    <row r="574" spans="4:84" x14ac:dyDescent="0.25">
      <c r="D574" s="11"/>
      <c r="E574" s="11"/>
      <c r="F574" s="11"/>
      <c r="G574" s="11"/>
      <c r="H574" s="11"/>
      <c r="I574" s="11"/>
      <c r="J574" s="11"/>
      <c r="N574" s="11"/>
      <c r="O574" s="11"/>
      <c r="P574" s="11"/>
      <c r="Q574" s="11"/>
      <c r="R574" s="11"/>
      <c r="CB574" s="11"/>
      <c r="CE574" s="11"/>
      <c r="CF574" s="11"/>
    </row>
    <row r="575" spans="4:84" x14ac:dyDescent="0.25">
      <c r="D575" s="11"/>
      <c r="E575" s="11"/>
      <c r="F575" s="11"/>
      <c r="G575" s="11"/>
      <c r="H575" s="11"/>
      <c r="I575" s="11"/>
      <c r="J575" s="11"/>
      <c r="N575" s="11"/>
      <c r="O575" s="11"/>
      <c r="P575" s="11"/>
      <c r="Q575" s="11"/>
      <c r="R575" s="11"/>
      <c r="CB575" s="11"/>
      <c r="CE575" s="11"/>
      <c r="CF575" s="11"/>
    </row>
    <row r="576" spans="4:84" x14ac:dyDescent="0.25">
      <c r="D576" s="11"/>
      <c r="E576" s="11"/>
      <c r="F576" s="11"/>
      <c r="G576" s="11"/>
      <c r="H576" s="11"/>
      <c r="I576" s="11"/>
      <c r="J576" s="11"/>
      <c r="N576" s="11"/>
      <c r="O576" s="11"/>
      <c r="P576" s="11"/>
      <c r="Q576" s="11"/>
      <c r="R576" s="11"/>
      <c r="CB576" s="11"/>
      <c r="CE576" s="11"/>
      <c r="CF576" s="11"/>
    </row>
    <row r="577" spans="4:84" x14ac:dyDescent="0.25">
      <c r="D577" s="11"/>
      <c r="E577" s="11"/>
      <c r="F577" s="11"/>
      <c r="G577" s="11"/>
      <c r="H577" s="11"/>
      <c r="I577" s="11"/>
      <c r="J577" s="11"/>
      <c r="N577" s="11"/>
      <c r="O577" s="11"/>
      <c r="P577" s="11"/>
      <c r="Q577" s="11"/>
      <c r="R577" s="11"/>
      <c r="CB577" s="11"/>
      <c r="CE577" s="11"/>
      <c r="CF577" s="11"/>
    </row>
    <row r="578" spans="4:84" x14ac:dyDescent="0.25">
      <c r="D578" s="11"/>
      <c r="E578" s="11"/>
      <c r="F578" s="11"/>
      <c r="G578" s="11"/>
      <c r="H578" s="11"/>
      <c r="I578" s="11"/>
      <c r="J578" s="11"/>
      <c r="N578" s="11"/>
      <c r="O578" s="11"/>
      <c r="P578" s="11"/>
      <c r="Q578" s="11"/>
      <c r="R578" s="11"/>
      <c r="CB578" s="11"/>
      <c r="CE578" s="11"/>
      <c r="CF578" s="11"/>
    </row>
    <row r="579" spans="4:84" x14ac:dyDescent="0.25">
      <c r="D579" s="11"/>
      <c r="E579" s="11"/>
      <c r="F579" s="11"/>
      <c r="G579" s="11"/>
      <c r="H579" s="11"/>
      <c r="I579" s="11"/>
      <c r="J579" s="11"/>
      <c r="N579" s="11"/>
      <c r="O579" s="11"/>
      <c r="P579" s="11"/>
      <c r="Q579" s="11"/>
      <c r="R579" s="11"/>
      <c r="CB579" s="11"/>
      <c r="CE579" s="11"/>
      <c r="CF579" s="11"/>
    </row>
    <row r="580" spans="4:84" x14ac:dyDescent="0.25">
      <c r="D580" s="11"/>
      <c r="E580" s="11"/>
      <c r="F580" s="11"/>
      <c r="G580" s="11"/>
      <c r="H580" s="11"/>
      <c r="I580" s="11"/>
      <c r="J580" s="11"/>
      <c r="N580" s="11"/>
      <c r="O580" s="11"/>
      <c r="P580" s="11"/>
      <c r="Q580" s="11"/>
      <c r="R580" s="11"/>
      <c r="CB580" s="11"/>
      <c r="CE580" s="11"/>
      <c r="CF580" s="11"/>
    </row>
    <row r="581" spans="4:84" x14ac:dyDescent="0.25">
      <c r="D581" s="11"/>
      <c r="E581" s="11"/>
      <c r="F581" s="11"/>
      <c r="G581" s="11"/>
      <c r="H581" s="11"/>
      <c r="I581" s="11"/>
      <c r="J581" s="11"/>
      <c r="N581" s="11"/>
      <c r="O581" s="11"/>
      <c r="P581" s="11"/>
      <c r="Q581" s="11"/>
      <c r="R581" s="11"/>
      <c r="CB581" s="11"/>
      <c r="CE581" s="11"/>
      <c r="CF581" s="11"/>
    </row>
    <row r="582" spans="4:84" x14ac:dyDescent="0.25">
      <c r="D582" s="11"/>
      <c r="E582" s="11"/>
      <c r="F582" s="11"/>
      <c r="G582" s="11"/>
      <c r="H582" s="11"/>
      <c r="I582" s="11"/>
      <c r="J582" s="11"/>
      <c r="N582" s="11"/>
      <c r="O582" s="11"/>
      <c r="P582" s="11"/>
      <c r="Q582" s="11"/>
      <c r="R582" s="11"/>
      <c r="CB582" s="11"/>
      <c r="CE582" s="11"/>
      <c r="CF582" s="11"/>
    </row>
    <row r="583" spans="4:84" x14ac:dyDescent="0.25">
      <c r="D583" s="11"/>
      <c r="E583" s="11"/>
      <c r="F583" s="11"/>
      <c r="G583" s="11"/>
      <c r="H583" s="11"/>
      <c r="I583" s="11"/>
      <c r="J583" s="11"/>
      <c r="N583" s="11"/>
      <c r="O583" s="11"/>
      <c r="P583" s="11"/>
      <c r="Q583" s="11"/>
      <c r="R583" s="11"/>
      <c r="CB583" s="11"/>
      <c r="CE583" s="11"/>
      <c r="CF583" s="11"/>
    </row>
    <row r="584" spans="4:84" x14ac:dyDescent="0.25">
      <c r="D584" s="11"/>
      <c r="E584" s="11"/>
      <c r="F584" s="11"/>
      <c r="G584" s="11"/>
      <c r="H584" s="11"/>
      <c r="I584" s="11"/>
      <c r="J584" s="11"/>
      <c r="N584" s="11"/>
      <c r="O584" s="11"/>
      <c r="P584" s="11"/>
      <c r="Q584" s="11"/>
      <c r="R584" s="11"/>
      <c r="CB584" s="11"/>
      <c r="CE584" s="11"/>
      <c r="CF584" s="11"/>
    </row>
    <row r="585" spans="4:84" x14ac:dyDescent="0.25">
      <c r="D585" s="11"/>
      <c r="E585" s="11"/>
      <c r="F585" s="11"/>
      <c r="G585" s="11"/>
      <c r="H585" s="11"/>
      <c r="I585" s="11"/>
      <c r="J585" s="11"/>
      <c r="N585" s="11"/>
      <c r="O585" s="11"/>
      <c r="P585" s="11"/>
      <c r="Q585" s="11"/>
      <c r="R585" s="11"/>
      <c r="CB585" s="11"/>
      <c r="CE585" s="11"/>
      <c r="CF585" s="11"/>
    </row>
    <row r="586" spans="4:84" x14ac:dyDescent="0.25">
      <c r="D586" s="11"/>
      <c r="E586" s="11"/>
      <c r="F586" s="11"/>
      <c r="G586" s="11"/>
      <c r="H586" s="11"/>
      <c r="I586" s="11"/>
      <c r="J586" s="11"/>
      <c r="N586" s="11"/>
      <c r="O586" s="11"/>
      <c r="P586" s="11"/>
      <c r="Q586" s="11"/>
      <c r="R586" s="11"/>
      <c r="CB586" s="11"/>
      <c r="CE586" s="11"/>
      <c r="CF586" s="11"/>
    </row>
    <row r="587" spans="4:84" x14ac:dyDescent="0.25">
      <c r="D587" s="11"/>
      <c r="E587" s="11"/>
      <c r="F587" s="11"/>
      <c r="G587" s="11"/>
      <c r="H587" s="11"/>
      <c r="I587" s="11"/>
      <c r="J587" s="11"/>
      <c r="N587" s="11"/>
      <c r="O587" s="11"/>
      <c r="P587" s="11"/>
      <c r="Q587" s="11"/>
      <c r="R587" s="11"/>
      <c r="CB587" s="11"/>
      <c r="CE587" s="11"/>
      <c r="CF587" s="11"/>
    </row>
    <row r="588" spans="4:84" x14ac:dyDescent="0.25">
      <c r="D588" s="11"/>
      <c r="E588" s="11"/>
      <c r="F588" s="11"/>
      <c r="G588" s="11"/>
      <c r="H588" s="11"/>
      <c r="I588" s="11"/>
      <c r="J588" s="11"/>
      <c r="N588" s="11"/>
      <c r="O588" s="11"/>
      <c r="P588" s="11"/>
      <c r="Q588" s="11"/>
      <c r="R588" s="11"/>
      <c r="CB588" s="11"/>
      <c r="CE588" s="11"/>
      <c r="CF588" s="11"/>
    </row>
    <row r="589" spans="4:84" x14ac:dyDescent="0.25">
      <c r="D589" s="11"/>
      <c r="E589" s="11"/>
      <c r="F589" s="11"/>
      <c r="G589" s="11"/>
      <c r="H589" s="11"/>
      <c r="I589" s="11"/>
      <c r="J589" s="11"/>
      <c r="N589" s="11"/>
      <c r="O589" s="11"/>
      <c r="P589" s="11"/>
      <c r="Q589" s="11"/>
      <c r="R589" s="11"/>
      <c r="CB589" s="11"/>
      <c r="CE589" s="11"/>
      <c r="CF589" s="11"/>
    </row>
    <row r="590" spans="4:84" x14ac:dyDescent="0.25">
      <c r="D590" s="11"/>
      <c r="E590" s="11"/>
      <c r="F590" s="11"/>
      <c r="G590" s="11"/>
      <c r="H590" s="11"/>
      <c r="I590" s="11"/>
      <c r="J590" s="11"/>
      <c r="N590" s="11"/>
      <c r="O590" s="11"/>
      <c r="P590" s="11"/>
      <c r="Q590" s="11"/>
      <c r="R590" s="11"/>
      <c r="CB590" s="11"/>
      <c r="CE590" s="11"/>
      <c r="CF590" s="11"/>
    </row>
    <row r="591" spans="4:84" x14ac:dyDescent="0.25">
      <c r="D591" s="11"/>
      <c r="E591" s="11"/>
      <c r="F591" s="11"/>
      <c r="G591" s="11"/>
      <c r="H591" s="11"/>
      <c r="I591" s="11"/>
      <c r="J591" s="11"/>
      <c r="N591" s="11"/>
      <c r="O591" s="11"/>
      <c r="P591" s="11"/>
      <c r="Q591" s="11"/>
      <c r="R591" s="11"/>
      <c r="CB591" s="11"/>
      <c r="CE591" s="11"/>
      <c r="CF591" s="11"/>
    </row>
    <row r="592" spans="4:84" x14ac:dyDescent="0.25">
      <c r="D592" s="11"/>
      <c r="E592" s="11"/>
      <c r="F592" s="11"/>
      <c r="G592" s="11"/>
      <c r="H592" s="11"/>
      <c r="I592" s="11"/>
      <c r="J592" s="11"/>
      <c r="N592" s="11"/>
      <c r="O592" s="11"/>
      <c r="P592" s="11"/>
      <c r="Q592" s="11"/>
      <c r="R592" s="11"/>
      <c r="CB592" s="11"/>
      <c r="CE592" s="11"/>
      <c r="CF592" s="11"/>
    </row>
    <row r="593" spans="4:84" x14ac:dyDescent="0.25">
      <c r="D593" s="11"/>
      <c r="E593" s="11"/>
      <c r="F593" s="11"/>
      <c r="G593" s="11"/>
      <c r="H593" s="11"/>
      <c r="I593" s="11"/>
      <c r="J593" s="11"/>
      <c r="N593" s="11"/>
      <c r="O593" s="11"/>
      <c r="P593" s="11"/>
      <c r="Q593" s="11"/>
      <c r="R593" s="11"/>
      <c r="CB593" s="11"/>
      <c r="CE593" s="11"/>
      <c r="CF593" s="11"/>
    </row>
    <row r="594" spans="4:84" x14ac:dyDescent="0.25">
      <c r="D594" s="11"/>
      <c r="E594" s="11"/>
      <c r="F594" s="11"/>
      <c r="G594" s="11"/>
      <c r="H594" s="11"/>
      <c r="I594" s="11"/>
      <c r="J594" s="11"/>
      <c r="N594" s="11"/>
      <c r="O594" s="11"/>
      <c r="P594" s="11"/>
      <c r="Q594" s="11"/>
      <c r="R594" s="11"/>
      <c r="CB594" s="11"/>
      <c r="CE594" s="11"/>
      <c r="CF594" s="11"/>
    </row>
    <row r="595" spans="4:84" x14ac:dyDescent="0.25">
      <c r="D595" s="11"/>
      <c r="E595" s="11"/>
      <c r="F595" s="11"/>
      <c r="G595" s="11"/>
      <c r="H595" s="11"/>
      <c r="I595" s="11"/>
      <c r="J595" s="11"/>
      <c r="N595" s="11"/>
      <c r="O595" s="11"/>
      <c r="P595" s="11"/>
      <c r="Q595" s="11"/>
      <c r="R595" s="11"/>
      <c r="CB595" s="11"/>
      <c r="CE595" s="11"/>
      <c r="CF595" s="11"/>
    </row>
    <row r="596" spans="4:84" x14ac:dyDescent="0.25">
      <c r="D596" s="11"/>
      <c r="E596" s="11"/>
      <c r="F596" s="11"/>
      <c r="G596" s="11"/>
      <c r="H596" s="11"/>
      <c r="I596" s="11"/>
      <c r="J596" s="11"/>
      <c r="N596" s="11"/>
      <c r="O596" s="11"/>
      <c r="P596" s="11"/>
      <c r="Q596" s="11"/>
      <c r="R596" s="11"/>
      <c r="CB596" s="11"/>
      <c r="CE596" s="11"/>
      <c r="CF596" s="11"/>
    </row>
    <row r="597" spans="4:84" x14ac:dyDescent="0.25">
      <c r="D597" s="11"/>
      <c r="E597" s="11"/>
      <c r="F597" s="11"/>
      <c r="G597" s="11"/>
      <c r="H597" s="11"/>
      <c r="I597" s="11"/>
      <c r="J597" s="11"/>
      <c r="N597" s="11"/>
      <c r="O597" s="11"/>
      <c r="P597" s="11"/>
      <c r="Q597" s="11"/>
      <c r="R597" s="11"/>
      <c r="CB597" s="11"/>
      <c r="CE597" s="11"/>
      <c r="CF597" s="11"/>
    </row>
    <row r="598" spans="4:84" x14ac:dyDescent="0.25">
      <c r="D598" s="11"/>
      <c r="E598" s="11"/>
      <c r="F598" s="11"/>
      <c r="G598" s="11"/>
      <c r="H598" s="11"/>
      <c r="I598" s="11"/>
      <c r="J598" s="11"/>
      <c r="N598" s="11"/>
      <c r="O598" s="11"/>
      <c r="P598" s="11"/>
      <c r="Q598" s="11"/>
      <c r="R598" s="11"/>
      <c r="CB598" s="11"/>
      <c r="CE598" s="11"/>
      <c r="CF598" s="11"/>
    </row>
    <row r="599" spans="4:84" x14ac:dyDescent="0.25">
      <c r="D599" s="11"/>
      <c r="E599" s="11"/>
      <c r="F599" s="11"/>
      <c r="G599" s="11"/>
      <c r="H599" s="11"/>
      <c r="I599" s="11"/>
      <c r="J599" s="11"/>
      <c r="N599" s="11"/>
      <c r="O599" s="11"/>
      <c r="P599" s="11"/>
      <c r="Q599" s="11"/>
      <c r="R599" s="11"/>
      <c r="CB599" s="11"/>
      <c r="CE599" s="11"/>
      <c r="CF599" s="11"/>
    </row>
    <row r="600" spans="4:84" x14ac:dyDescent="0.25">
      <c r="D600" s="11"/>
      <c r="E600" s="11"/>
      <c r="F600" s="11"/>
      <c r="G600" s="11"/>
      <c r="H600" s="11"/>
      <c r="I600" s="11"/>
      <c r="J600" s="11"/>
      <c r="N600" s="11"/>
      <c r="O600" s="11"/>
      <c r="P600" s="11"/>
      <c r="Q600" s="11"/>
      <c r="R600" s="11"/>
      <c r="CB600" s="11"/>
      <c r="CE600" s="11"/>
      <c r="CF600" s="11"/>
    </row>
    <row r="601" spans="4:84" x14ac:dyDescent="0.25">
      <c r="D601" s="11"/>
      <c r="E601" s="11"/>
      <c r="F601" s="11"/>
      <c r="G601" s="11"/>
      <c r="H601" s="11"/>
      <c r="I601" s="11"/>
      <c r="J601" s="11"/>
      <c r="N601" s="11"/>
      <c r="O601" s="11"/>
      <c r="P601" s="11"/>
      <c r="Q601" s="11"/>
      <c r="R601" s="11"/>
      <c r="CB601" s="11"/>
      <c r="CE601" s="11"/>
      <c r="CF601" s="11"/>
    </row>
    <row r="602" spans="4:84" x14ac:dyDescent="0.25">
      <c r="D602" s="11"/>
      <c r="E602" s="11"/>
      <c r="F602" s="11"/>
      <c r="G602" s="11"/>
      <c r="H602" s="11"/>
      <c r="I602" s="11"/>
      <c r="J602" s="11"/>
      <c r="N602" s="11"/>
      <c r="O602" s="11"/>
      <c r="P602" s="11"/>
      <c r="Q602" s="11"/>
      <c r="R602" s="11"/>
      <c r="CB602" s="11"/>
      <c r="CE602" s="11"/>
      <c r="CF602" s="11"/>
    </row>
    <row r="603" spans="4:84" x14ac:dyDescent="0.25">
      <c r="D603" s="11"/>
      <c r="E603" s="11"/>
      <c r="F603" s="11"/>
      <c r="G603" s="11"/>
      <c r="H603" s="11"/>
      <c r="I603" s="11"/>
      <c r="J603" s="11"/>
      <c r="N603" s="11"/>
      <c r="O603" s="11"/>
      <c r="P603" s="11"/>
      <c r="Q603" s="11"/>
      <c r="R603" s="11"/>
      <c r="CB603" s="11"/>
      <c r="CE603" s="11"/>
      <c r="CF603" s="11"/>
    </row>
    <row r="604" spans="4:84" x14ac:dyDescent="0.25">
      <c r="D604" s="11"/>
      <c r="E604" s="11"/>
      <c r="F604" s="11"/>
      <c r="G604" s="11"/>
      <c r="H604" s="11"/>
      <c r="I604" s="11"/>
      <c r="J604" s="11"/>
      <c r="N604" s="11"/>
      <c r="O604" s="11"/>
      <c r="P604" s="11"/>
      <c r="Q604" s="11"/>
      <c r="R604" s="11"/>
      <c r="CB604" s="11"/>
      <c r="CE604" s="11"/>
      <c r="CF604" s="11"/>
    </row>
    <row r="605" spans="4:84" x14ac:dyDescent="0.25">
      <c r="D605" s="11"/>
      <c r="E605" s="11"/>
      <c r="F605" s="11"/>
      <c r="G605" s="11"/>
      <c r="H605" s="11"/>
      <c r="I605" s="11"/>
      <c r="J605" s="11"/>
      <c r="N605" s="11"/>
      <c r="O605" s="11"/>
      <c r="P605" s="11"/>
      <c r="Q605" s="11"/>
      <c r="R605" s="11"/>
      <c r="CB605" s="11"/>
      <c r="CE605" s="11"/>
      <c r="CF605" s="11"/>
    </row>
    <row r="606" spans="4:84" x14ac:dyDescent="0.25">
      <c r="D606" s="11"/>
      <c r="E606" s="11"/>
      <c r="F606" s="11"/>
      <c r="G606" s="11"/>
      <c r="H606" s="11"/>
      <c r="I606" s="11"/>
      <c r="J606" s="11"/>
      <c r="N606" s="11"/>
      <c r="O606" s="11"/>
      <c r="P606" s="11"/>
      <c r="Q606" s="11"/>
      <c r="R606" s="11"/>
      <c r="CB606" s="11"/>
      <c r="CE606" s="11"/>
      <c r="CF606" s="11"/>
    </row>
    <row r="607" spans="4:84" x14ac:dyDescent="0.25">
      <c r="D607" s="11"/>
      <c r="E607" s="11"/>
      <c r="F607" s="11"/>
      <c r="G607" s="11"/>
      <c r="H607" s="11"/>
      <c r="I607" s="11"/>
      <c r="J607" s="11"/>
      <c r="N607" s="11"/>
      <c r="O607" s="11"/>
      <c r="P607" s="11"/>
      <c r="Q607" s="11"/>
      <c r="R607" s="11"/>
      <c r="CB607" s="11"/>
      <c r="CE607" s="11"/>
      <c r="CF607" s="11"/>
    </row>
    <row r="608" spans="4:84" x14ac:dyDescent="0.25">
      <c r="D608" s="11"/>
      <c r="E608" s="11"/>
      <c r="F608" s="11"/>
      <c r="G608" s="11"/>
      <c r="H608" s="11"/>
      <c r="I608" s="11"/>
      <c r="J608" s="11"/>
      <c r="N608" s="11"/>
      <c r="O608" s="11"/>
      <c r="P608" s="11"/>
      <c r="Q608" s="11"/>
      <c r="R608" s="11"/>
      <c r="CB608" s="11"/>
      <c r="CE608" s="11"/>
      <c r="CF608" s="11"/>
    </row>
    <row r="609" spans="4:84" x14ac:dyDescent="0.25">
      <c r="D609" s="11"/>
      <c r="E609" s="11"/>
      <c r="F609" s="11"/>
      <c r="G609" s="11"/>
      <c r="H609" s="11"/>
      <c r="I609" s="11"/>
      <c r="J609" s="11"/>
      <c r="N609" s="11"/>
      <c r="O609" s="11"/>
      <c r="P609" s="11"/>
      <c r="Q609" s="11"/>
      <c r="R609" s="11"/>
      <c r="CB609" s="11"/>
      <c r="CE609" s="11"/>
      <c r="CF609" s="11"/>
    </row>
    <row r="610" spans="4:84" x14ac:dyDescent="0.25">
      <c r="D610" s="11"/>
      <c r="E610" s="11"/>
      <c r="F610" s="11"/>
      <c r="G610" s="11"/>
      <c r="H610" s="11"/>
      <c r="I610" s="11"/>
      <c r="J610" s="11"/>
      <c r="N610" s="11"/>
      <c r="O610" s="11"/>
      <c r="P610" s="11"/>
      <c r="Q610" s="11"/>
      <c r="R610" s="11"/>
      <c r="CB610" s="11"/>
      <c r="CE610" s="11"/>
      <c r="CF610" s="11"/>
    </row>
    <row r="611" spans="4:84" x14ac:dyDescent="0.25">
      <c r="D611" s="11"/>
      <c r="E611" s="11"/>
      <c r="F611" s="11"/>
      <c r="G611" s="11"/>
      <c r="H611" s="11"/>
      <c r="I611" s="11"/>
      <c r="J611" s="11"/>
      <c r="N611" s="11"/>
      <c r="O611" s="11"/>
      <c r="P611" s="11"/>
      <c r="Q611" s="11"/>
      <c r="R611" s="11"/>
      <c r="CB611" s="11"/>
      <c r="CE611" s="11"/>
      <c r="CF611" s="11"/>
    </row>
    <row r="612" spans="4:84" x14ac:dyDescent="0.25">
      <c r="D612" s="11"/>
      <c r="E612" s="11"/>
      <c r="F612" s="11"/>
      <c r="G612" s="11"/>
      <c r="H612" s="11"/>
      <c r="I612" s="11"/>
      <c r="J612" s="11"/>
      <c r="N612" s="11"/>
      <c r="O612" s="11"/>
      <c r="P612" s="11"/>
      <c r="Q612" s="11"/>
      <c r="R612" s="11"/>
      <c r="CB612" s="11"/>
      <c r="CE612" s="11"/>
      <c r="CF612" s="11"/>
    </row>
    <row r="613" spans="4:84" x14ac:dyDescent="0.25">
      <c r="D613" s="11"/>
      <c r="E613" s="11"/>
      <c r="F613" s="11"/>
      <c r="G613" s="11"/>
      <c r="H613" s="11"/>
      <c r="I613" s="11"/>
      <c r="J613" s="11"/>
      <c r="N613" s="11"/>
      <c r="O613" s="11"/>
      <c r="P613" s="11"/>
      <c r="Q613" s="11"/>
      <c r="R613" s="11"/>
      <c r="CB613" s="11"/>
      <c r="CE613" s="11"/>
      <c r="CF613" s="11"/>
    </row>
    <row r="614" spans="4:84" x14ac:dyDescent="0.25">
      <c r="D614" s="11"/>
      <c r="E614" s="11"/>
      <c r="F614" s="11"/>
      <c r="G614" s="11"/>
      <c r="H614" s="11"/>
      <c r="I614" s="11"/>
      <c r="J614" s="11"/>
      <c r="N614" s="11"/>
      <c r="O614" s="11"/>
      <c r="P614" s="11"/>
      <c r="Q614" s="11"/>
      <c r="R614" s="11"/>
      <c r="CB614" s="11"/>
      <c r="CE614" s="11"/>
      <c r="CF614" s="11"/>
    </row>
    <row r="615" spans="4:84" x14ac:dyDescent="0.25">
      <c r="D615" s="11"/>
      <c r="E615" s="11"/>
      <c r="F615" s="11"/>
      <c r="G615" s="11"/>
      <c r="H615" s="11"/>
      <c r="I615" s="11"/>
      <c r="J615" s="11"/>
      <c r="N615" s="11"/>
      <c r="O615" s="11"/>
      <c r="P615" s="11"/>
      <c r="Q615" s="11"/>
      <c r="R615" s="11"/>
      <c r="CB615" s="11"/>
      <c r="CE615" s="11"/>
      <c r="CF615" s="11"/>
    </row>
    <row r="616" spans="4:84" x14ac:dyDescent="0.25">
      <c r="D616" s="11"/>
      <c r="E616" s="11"/>
      <c r="F616" s="11"/>
      <c r="G616" s="11"/>
      <c r="H616" s="11"/>
      <c r="I616" s="11"/>
      <c r="J616" s="11"/>
      <c r="N616" s="11"/>
      <c r="O616" s="11"/>
      <c r="P616" s="11"/>
      <c r="Q616" s="11"/>
      <c r="R616" s="11"/>
      <c r="CB616" s="11"/>
      <c r="CE616" s="11"/>
      <c r="CF616" s="11"/>
    </row>
    <row r="617" spans="4:84" x14ac:dyDescent="0.25">
      <c r="D617" s="11"/>
      <c r="E617" s="11"/>
      <c r="F617" s="11"/>
      <c r="G617" s="11"/>
      <c r="H617" s="11"/>
      <c r="I617" s="11"/>
      <c r="J617" s="11"/>
      <c r="N617" s="11"/>
      <c r="O617" s="11"/>
      <c r="P617" s="11"/>
      <c r="Q617" s="11"/>
      <c r="R617" s="11"/>
      <c r="CB617" s="11"/>
      <c r="CE617" s="11"/>
      <c r="CF617" s="11"/>
    </row>
    <row r="618" spans="4:84" x14ac:dyDescent="0.25">
      <c r="D618" s="11"/>
      <c r="E618" s="11"/>
      <c r="F618" s="11"/>
      <c r="G618" s="11"/>
      <c r="H618" s="11"/>
      <c r="I618" s="11"/>
      <c r="J618" s="11"/>
      <c r="N618" s="11"/>
      <c r="O618" s="11"/>
      <c r="P618" s="11"/>
      <c r="Q618" s="11"/>
      <c r="R618" s="11"/>
      <c r="CB618" s="11"/>
      <c r="CE618" s="11"/>
      <c r="CF618" s="11"/>
    </row>
    <row r="619" spans="4:84" x14ac:dyDescent="0.25">
      <c r="D619" s="11"/>
      <c r="E619" s="11"/>
      <c r="F619" s="11"/>
      <c r="G619" s="11"/>
      <c r="H619" s="11"/>
      <c r="I619" s="11"/>
      <c r="J619" s="11"/>
      <c r="N619" s="11"/>
      <c r="O619" s="11"/>
      <c r="P619" s="11"/>
      <c r="Q619" s="11"/>
      <c r="R619" s="11"/>
      <c r="CB619" s="11"/>
      <c r="CE619" s="11"/>
      <c r="CF619" s="11"/>
    </row>
    <row r="620" spans="4:84" x14ac:dyDescent="0.25">
      <c r="D620" s="11"/>
      <c r="E620" s="11"/>
      <c r="F620" s="11"/>
      <c r="G620" s="11"/>
      <c r="H620" s="11"/>
      <c r="I620" s="11"/>
      <c r="J620" s="11"/>
      <c r="N620" s="11"/>
      <c r="O620" s="11"/>
      <c r="P620" s="11"/>
      <c r="Q620" s="11"/>
      <c r="R620" s="11"/>
      <c r="CB620" s="11"/>
      <c r="CE620" s="11"/>
      <c r="CF620" s="11"/>
    </row>
    <row r="621" spans="4:84" x14ac:dyDescent="0.25">
      <c r="D621" s="11"/>
      <c r="E621" s="11"/>
      <c r="F621" s="11"/>
      <c r="G621" s="11"/>
      <c r="H621" s="11"/>
      <c r="I621" s="11"/>
      <c r="J621" s="11"/>
      <c r="N621" s="11"/>
      <c r="O621" s="11"/>
      <c r="P621" s="11"/>
      <c r="Q621" s="11"/>
      <c r="R621" s="11"/>
      <c r="CB621" s="11"/>
      <c r="CE621" s="11"/>
      <c r="CF621" s="11"/>
    </row>
    <row r="622" spans="4:84" x14ac:dyDescent="0.25">
      <c r="D622" s="11"/>
      <c r="E622" s="11"/>
      <c r="F622" s="11"/>
      <c r="G622" s="11"/>
      <c r="H622" s="11"/>
      <c r="I622" s="11"/>
      <c r="J622" s="11"/>
      <c r="N622" s="11"/>
      <c r="O622" s="11"/>
      <c r="P622" s="11"/>
      <c r="Q622" s="11"/>
      <c r="R622" s="11"/>
      <c r="CB622" s="11"/>
      <c r="CE622" s="11"/>
      <c r="CF622" s="11"/>
    </row>
    <row r="623" spans="4:84" x14ac:dyDescent="0.25">
      <c r="D623" s="11"/>
      <c r="E623" s="11"/>
      <c r="F623" s="11"/>
      <c r="G623" s="11"/>
      <c r="H623" s="11"/>
      <c r="I623" s="11"/>
      <c r="J623" s="11"/>
      <c r="N623" s="11"/>
      <c r="O623" s="11"/>
      <c r="P623" s="11"/>
      <c r="Q623" s="11"/>
      <c r="R623" s="11"/>
      <c r="CB623" s="11"/>
      <c r="CE623" s="11"/>
      <c r="CF623" s="11"/>
    </row>
    <row r="624" spans="4:84" x14ac:dyDescent="0.25">
      <c r="D624" s="11"/>
      <c r="E624" s="11"/>
      <c r="F624" s="11"/>
      <c r="G624" s="11"/>
      <c r="H624" s="11"/>
      <c r="I624" s="11"/>
      <c r="J624" s="11"/>
      <c r="N624" s="11"/>
      <c r="O624" s="11"/>
      <c r="P624" s="11"/>
      <c r="Q624" s="11"/>
      <c r="R624" s="11"/>
      <c r="CB624" s="11"/>
      <c r="CE624" s="11"/>
      <c r="CF624" s="11"/>
    </row>
    <row r="625" spans="4:84" x14ac:dyDescent="0.25">
      <c r="D625" s="11"/>
      <c r="E625" s="11"/>
      <c r="F625" s="11"/>
      <c r="G625" s="11"/>
      <c r="H625" s="11"/>
      <c r="I625" s="11"/>
      <c r="J625" s="11"/>
      <c r="N625" s="11"/>
      <c r="O625" s="11"/>
      <c r="P625" s="11"/>
      <c r="Q625" s="11"/>
      <c r="R625" s="11"/>
      <c r="CB625" s="11"/>
      <c r="CE625" s="11"/>
      <c r="CF625" s="11"/>
    </row>
    <row r="626" spans="4:84" x14ac:dyDescent="0.25">
      <c r="D626" s="11"/>
      <c r="E626" s="11"/>
      <c r="F626" s="11"/>
      <c r="G626" s="11"/>
      <c r="H626" s="11"/>
      <c r="I626" s="11"/>
      <c r="J626" s="11"/>
      <c r="N626" s="11"/>
      <c r="O626" s="11"/>
      <c r="P626" s="11"/>
      <c r="Q626" s="11"/>
      <c r="R626" s="11"/>
      <c r="CB626" s="11"/>
      <c r="CE626" s="11"/>
      <c r="CF626" s="11"/>
    </row>
    <row r="627" spans="4:84" x14ac:dyDescent="0.25">
      <c r="D627" s="11"/>
      <c r="E627" s="11"/>
      <c r="F627" s="11"/>
      <c r="G627" s="11"/>
      <c r="H627" s="11"/>
      <c r="I627" s="11"/>
      <c r="J627" s="11"/>
      <c r="N627" s="11"/>
      <c r="O627" s="11"/>
      <c r="P627" s="11"/>
      <c r="Q627" s="11"/>
      <c r="R627" s="11"/>
      <c r="CB627" s="11"/>
      <c r="CE627" s="11"/>
      <c r="CF627" s="11"/>
    </row>
    <row r="628" spans="4:84" x14ac:dyDescent="0.25">
      <c r="D628" s="11"/>
      <c r="E628" s="11"/>
      <c r="F628" s="11"/>
      <c r="G628" s="11"/>
      <c r="H628" s="11"/>
      <c r="I628" s="11"/>
      <c r="J628" s="11"/>
      <c r="N628" s="11"/>
      <c r="O628" s="11"/>
      <c r="P628" s="11"/>
      <c r="Q628" s="11"/>
      <c r="R628" s="11"/>
      <c r="CB628" s="11"/>
      <c r="CE628" s="11"/>
      <c r="CF628" s="11"/>
    </row>
    <row r="629" spans="4:84" x14ac:dyDescent="0.25">
      <c r="D629" s="11"/>
      <c r="E629" s="11"/>
      <c r="F629" s="11"/>
      <c r="G629" s="11"/>
      <c r="H629" s="11"/>
      <c r="I629" s="11"/>
      <c r="J629" s="11"/>
      <c r="N629" s="11"/>
      <c r="O629" s="11"/>
      <c r="P629" s="11"/>
      <c r="Q629" s="11"/>
      <c r="R629" s="11"/>
      <c r="CB629" s="11"/>
      <c r="CE629" s="11"/>
      <c r="CF629" s="11"/>
    </row>
    <row r="630" spans="4:84" x14ac:dyDescent="0.25">
      <c r="D630" s="11"/>
      <c r="E630" s="11"/>
      <c r="F630" s="11"/>
      <c r="G630" s="11"/>
      <c r="H630" s="11"/>
      <c r="I630" s="11"/>
      <c r="J630" s="11"/>
      <c r="N630" s="11"/>
      <c r="O630" s="11"/>
      <c r="P630" s="11"/>
      <c r="Q630" s="11"/>
      <c r="R630" s="11"/>
      <c r="CB630" s="11"/>
      <c r="CE630" s="11"/>
      <c r="CF630" s="11"/>
    </row>
    <row r="631" spans="4:84" x14ac:dyDescent="0.25">
      <c r="D631" s="11"/>
      <c r="E631" s="11"/>
      <c r="F631" s="11"/>
      <c r="G631" s="11"/>
      <c r="H631" s="11"/>
      <c r="I631" s="11"/>
      <c r="J631" s="11"/>
      <c r="N631" s="11"/>
      <c r="O631" s="11"/>
      <c r="P631" s="11"/>
      <c r="Q631" s="11"/>
      <c r="R631" s="11"/>
      <c r="CB631" s="11"/>
      <c r="CE631" s="11"/>
      <c r="CF631" s="11"/>
    </row>
    <row r="632" spans="4:84" x14ac:dyDescent="0.25">
      <c r="D632" s="11"/>
      <c r="E632" s="11"/>
      <c r="F632" s="11"/>
      <c r="G632" s="11"/>
      <c r="H632" s="11"/>
      <c r="I632" s="11"/>
      <c r="J632" s="11"/>
      <c r="N632" s="11"/>
      <c r="O632" s="11"/>
      <c r="P632" s="11"/>
      <c r="Q632" s="11"/>
      <c r="R632" s="11"/>
      <c r="CB632" s="11"/>
      <c r="CE632" s="11"/>
      <c r="CF632" s="11"/>
    </row>
    <row r="633" spans="4:84" x14ac:dyDescent="0.25">
      <c r="D633" s="11"/>
      <c r="E633" s="11"/>
      <c r="F633" s="11"/>
      <c r="G633" s="11"/>
      <c r="H633" s="11"/>
      <c r="I633" s="11"/>
      <c r="J633" s="11"/>
      <c r="N633" s="11"/>
      <c r="O633" s="11"/>
      <c r="P633" s="11"/>
      <c r="Q633" s="11"/>
      <c r="R633" s="11"/>
      <c r="CB633" s="11"/>
      <c r="CE633" s="11"/>
      <c r="CF633" s="11"/>
    </row>
    <row r="634" spans="4:84" x14ac:dyDescent="0.25">
      <c r="D634" s="11"/>
      <c r="E634" s="11"/>
      <c r="F634" s="11"/>
      <c r="G634" s="11"/>
      <c r="H634" s="11"/>
      <c r="I634" s="11"/>
      <c r="J634" s="11"/>
      <c r="N634" s="11"/>
      <c r="O634" s="11"/>
      <c r="P634" s="11"/>
      <c r="Q634" s="11"/>
      <c r="R634" s="11"/>
      <c r="CB634" s="11"/>
      <c r="CE634" s="11"/>
      <c r="CF634" s="11"/>
    </row>
    <row r="635" spans="4:84" x14ac:dyDescent="0.25">
      <c r="D635" s="11"/>
      <c r="E635" s="11"/>
      <c r="F635" s="11"/>
      <c r="G635" s="11"/>
      <c r="H635" s="11"/>
      <c r="I635" s="11"/>
      <c r="J635" s="11"/>
      <c r="N635" s="11"/>
      <c r="O635" s="11"/>
      <c r="P635" s="11"/>
      <c r="Q635" s="11"/>
      <c r="R635" s="11"/>
      <c r="CB635" s="11"/>
      <c r="CE635" s="11"/>
      <c r="CF635" s="11"/>
    </row>
    <row r="636" spans="4:84" x14ac:dyDescent="0.25">
      <c r="D636" s="11"/>
      <c r="E636" s="11"/>
      <c r="F636" s="11"/>
      <c r="G636" s="11"/>
      <c r="H636" s="11"/>
      <c r="I636" s="11"/>
      <c r="J636" s="11"/>
      <c r="N636" s="11"/>
      <c r="O636" s="11"/>
      <c r="P636" s="11"/>
      <c r="Q636" s="11"/>
      <c r="R636" s="11"/>
      <c r="CB636" s="11"/>
      <c r="CE636" s="11"/>
      <c r="CF636" s="11"/>
    </row>
    <row r="637" spans="4:84" x14ac:dyDescent="0.25">
      <c r="D637" s="11"/>
      <c r="E637" s="11"/>
      <c r="F637" s="11"/>
      <c r="G637" s="11"/>
      <c r="H637" s="11"/>
      <c r="I637" s="11"/>
      <c r="J637" s="11"/>
      <c r="N637" s="11"/>
      <c r="O637" s="11"/>
      <c r="P637" s="11"/>
      <c r="Q637" s="11"/>
      <c r="R637" s="11"/>
      <c r="CB637" s="11"/>
      <c r="CE637" s="11"/>
      <c r="CF637" s="11"/>
    </row>
    <row r="638" spans="4:84" x14ac:dyDescent="0.25">
      <c r="D638" s="11"/>
      <c r="E638" s="11"/>
      <c r="F638" s="11"/>
      <c r="G638" s="11"/>
      <c r="H638" s="11"/>
      <c r="I638" s="11"/>
      <c r="J638" s="11"/>
      <c r="N638" s="11"/>
      <c r="O638" s="11"/>
      <c r="P638" s="11"/>
      <c r="Q638" s="11"/>
      <c r="R638" s="11"/>
      <c r="CB638" s="11"/>
      <c r="CE638" s="11"/>
      <c r="CF638" s="11"/>
    </row>
    <row r="639" spans="4:84" x14ac:dyDescent="0.25">
      <c r="D639" s="11"/>
      <c r="E639" s="11"/>
      <c r="F639" s="11"/>
      <c r="G639" s="11"/>
      <c r="H639" s="11"/>
      <c r="I639" s="11"/>
      <c r="J639" s="11"/>
      <c r="N639" s="11"/>
      <c r="O639" s="11"/>
      <c r="P639" s="11"/>
      <c r="Q639" s="11"/>
      <c r="R639" s="11"/>
      <c r="CB639" s="11"/>
      <c r="CE639" s="11"/>
      <c r="CF639" s="11"/>
    </row>
    <row r="640" spans="4:84" x14ac:dyDescent="0.25">
      <c r="D640" s="11"/>
      <c r="E640" s="11"/>
      <c r="F640" s="11"/>
      <c r="G640" s="11"/>
      <c r="H640" s="11"/>
      <c r="I640" s="11"/>
      <c r="J640" s="11"/>
      <c r="N640" s="11"/>
      <c r="O640" s="11"/>
      <c r="P640" s="11"/>
      <c r="Q640" s="11"/>
      <c r="R640" s="11"/>
      <c r="CB640" s="11"/>
      <c r="CE640" s="11"/>
      <c r="CF640" s="11"/>
    </row>
    <row r="641" spans="4:84" x14ac:dyDescent="0.25">
      <c r="D641" s="11"/>
      <c r="E641" s="11"/>
      <c r="F641" s="11"/>
      <c r="G641" s="11"/>
      <c r="H641" s="11"/>
      <c r="I641" s="11"/>
      <c r="J641" s="11"/>
      <c r="N641" s="11"/>
      <c r="O641" s="11"/>
      <c r="P641" s="11"/>
      <c r="Q641" s="11"/>
      <c r="R641" s="11"/>
      <c r="CB641" s="11"/>
      <c r="CE641" s="11"/>
      <c r="CF641" s="11"/>
    </row>
    <row r="642" spans="4:84" x14ac:dyDescent="0.25">
      <c r="D642" s="11"/>
      <c r="E642" s="11"/>
      <c r="F642" s="11"/>
      <c r="G642" s="11"/>
      <c r="H642" s="11"/>
      <c r="I642" s="11"/>
      <c r="J642" s="11"/>
      <c r="N642" s="11"/>
      <c r="O642" s="11"/>
      <c r="P642" s="11"/>
      <c r="Q642" s="11"/>
      <c r="R642" s="11"/>
      <c r="CB642" s="11"/>
      <c r="CE642" s="11"/>
      <c r="CF642" s="11"/>
    </row>
    <row r="643" spans="4:84" x14ac:dyDescent="0.25">
      <c r="D643" s="11"/>
      <c r="E643" s="11"/>
      <c r="F643" s="11"/>
      <c r="G643" s="11"/>
      <c r="H643" s="11"/>
      <c r="I643" s="11"/>
      <c r="J643" s="11"/>
      <c r="N643" s="11"/>
      <c r="O643" s="11"/>
      <c r="P643" s="11"/>
      <c r="Q643" s="11"/>
      <c r="R643" s="11"/>
      <c r="CB643" s="11"/>
      <c r="CE643" s="11"/>
      <c r="CF643" s="11"/>
    </row>
    <row r="644" spans="4:84" x14ac:dyDescent="0.25">
      <c r="D644" s="11"/>
      <c r="E644" s="11"/>
      <c r="F644" s="11"/>
      <c r="G644" s="11"/>
      <c r="H644" s="11"/>
      <c r="I644" s="11"/>
      <c r="J644" s="11"/>
      <c r="N644" s="11"/>
      <c r="O644" s="11"/>
      <c r="P644" s="11"/>
      <c r="Q644" s="11"/>
      <c r="R644" s="11"/>
      <c r="CB644" s="11"/>
      <c r="CE644" s="11"/>
      <c r="CF644" s="11"/>
    </row>
    <row r="645" spans="4:84" x14ac:dyDescent="0.25">
      <c r="D645" s="11"/>
      <c r="E645" s="11"/>
      <c r="F645" s="11"/>
      <c r="G645" s="11"/>
      <c r="H645" s="11"/>
      <c r="I645" s="11"/>
      <c r="J645" s="11"/>
      <c r="N645" s="11"/>
      <c r="O645" s="11"/>
      <c r="P645" s="11"/>
      <c r="Q645" s="11"/>
      <c r="R645" s="11"/>
      <c r="CB645" s="11"/>
      <c r="CE645" s="11"/>
      <c r="CF645" s="11"/>
    </row>
    <row r="646" spans="4:84" x14ac:dyDescent="0.25">
      <c r="D646" s="11"/>
      <c r="E646" s="11"/>
      <c r="F646" s="11"/>
      <c r="G646" s="11"/>
      <c r="H646" s="11"/>
      <c r="I646" s="11"/>
      <c r="J646" s="11"/>
      <c r="N646" s="11"/>
      <c r="O646" s="11"/>
      <c r="P646" s="11"/>
      <c r="Q646" s="11"/>
      <c r="R646" s="11"/>
      <c r="CB646" s="11"/>
      <c r="CE646" s="11"/>
      <c r="CF646" s="11"/>
    </row>
    <row r="647" spans="4:84" x14ac:dyDescent="0.25">
      <c r="D647" s="11"/>
      <c r="E647" s="11"/>
      <c r="F647" s="11"/>
      <c r="G647" s="11"/>
      <c r="H647" s="11"/>
      <c r="I647" s="11"/>
      <c r="J647" s="11"/>
      <c r="N647" s="11"/>
      <c r="O647" s="11"/>
      <c r="P647" s="11"/>
      <c r="Q647" s="11"/>
      <c r="R647" s="11"/>
      <c r="CB647" s="11"/>
      <c r="CE647" s="11"/>
      <c r="CF647" s="11"/>
    </row>
    <row r="648" spans="4:84" x14ac:dyDescent="0.25">
      <c r="D648" s="11"/>
      <c r="E648" s="11"/>
      <c r="F648" s="11"/>
      <c r="G648" s="11"/>
      <c r="H648" s="11"/>
      <c r="I648" s="11"/>
      <c r="J648" s="11"/>
      <c r="N648" s="11"/>
      <c r="O648" s="11"/>
      <c r="P648" s="11"/>
      <c r="Q648" s="11"/>
      <c r="R648" s="11"/>
      <c r="CB648" s="11"/>
      <c r="CE648" s="11"/>
      <c r="CF648" s="11"/>
    </row>
    <row r="649" spans="4:84" x14ac:dyDescent="0.25">
      <c r="D649" s="11"/>
      <c r="E649" s="11"/>
      <c r="F649" s="11"/>
      <c r="G649" s="11"/>
      <c r="H649" s="11"/>
      <c r="I649" s="11"/>
      <c r="J649" s="11"/>
      <c r="N649" s="11"/>
      <c r="O649" s="11"/>
      <c r="P649" s="11"/>
      <c r="Q649" s="11"/>
      <c r="R649" s="11"/>
      <c r="CB649" s="11"/>
      <c r="CE649" s="11"/>
      <c r="CF649" s="11"/>
    </row>
    <row r="650" spans="4:84" x14ac:dyDescent="0.25">
      <c r="D650" s="11"/>
      <c r="E650" s="11"/>
      <c r="F650" s="11"/>
      <c r="G650" s="11"/>
      <c r="H650" s="11"/>
      <c r="I650" s="11"/>
      <c r="J650" s="11"/>
      <c r="N650" s="11"/>
      <c r="O650" s="11"/>
      <c r="P650" s="11"/>
      <c r="Q650" s="11"/>
      <c r="R650" s="11"/>
      <c r="CB650" s="11"/>
      <c r="CE650" s="11"/>
      <c r="CF650" s="11"/>
    </row>
    <row r="651" spans="4:84" x14ac:dyDescent="0.25">
      <c r="D651" s="11"/>
      <c r="E651" s="11"/>
      <c r="F651" s="11"/>
      <c r="G651" s="11"/>
      <c r="H651" s="11"/>
      <c r="I651" s="11"/>
      <c r="J651" s="11"/>
      <c r="N651" s="11"/>
      <c r="O651" s="11"/>
      <c r="P651" s="11"/>
      <c r="Q651" s="11"/>
      <c r="R651" s="11"/>
      <c r="CB651" s="11"/>
      <c r="CE651" s="11"/>
      <c r="CF651" s="11"/>
    </row>
    <row r="652" spans="4:84" x14ac:dyDescent="0.25">
      <c r="D652" s="11"/>
      <c r="E652" s="11"/>
      <c r="F652" s="11"/>
      <c r="G652" s="11"/>
      <c r="H652" s="11"/>
      <c r="I652" s="11"/>
      <c r="J652" s="11"/>
      <c r="N652" s="11"/>
      <c r="O652" s="11"/>
      <c r="P652" s="11"/>
      <c r="Q652" s="11"/>
      <c r="R652" s="11"/>
      <c r="CB652" s="11"/>
      <c r="CE652" s="11"/>
      <c r="CF652" s="11"/>
    </row>
    <row r="653" spans="4:84" x14ac:dyDescent="0.25">
      <c r="D653" s="11"/>
      <c r="E653" s="11"/>
      <c r="F653" s="11"/>
      <c r="G653" s="11"/>
      <c r="H653" s="11"/>
      <c r="I653" s="11"/>
      <c r="J653" s="11"/>
      <c r="N653" s="11"/>
      <c r="O653" s="11"/>
      <c r="P653" s="11"/>
      <c r="Q653" s="11"/>
      <c r="R653" s="11"/>
      <c r="CB653" s="11"/>
      <c r="CE653" s="11"/>
      <c r="CF653" s="11"/>
    </row>
    <row r="654" spans="4:84" x14ac:dyDescent="0.25">
      <c r="D654" s="11"/>
      <c r="E654" s="11"/>
      <c r="F654" s="11"/>
      <c r="G654" s="11"/>
      <c r="H654" s="11"/>
      <c r="I654" s="11"/>
      <c r="J654" s="11"/>
      <c r="N654" s="11"/>
      <c r="O654" s="11"/>
      <c r="P654" s="11"/>
      <c r="Q654" s="11"/>
      <c r="R654" s="11"/>
      <c r="CB654" s="11"/>
      <c r="CE654" s="11"/>
      <c r="CF654" s="11"/>
    </row>
    <row r="655" spans="4:84" x14ac:dyDescent="0.25">
      <c r="D655" s="11"/>
      <c r="E655" s="11"/>
      <c r="F655" s="11"/>
      <c r="G655" s="11"/>
      <c r="H655" s="11"/>
      <c r="I655" s="11"/>
      <c r="J655" s="11"/>
      <c r="N655" s="11"/>
      <c r="O655" s="11"/>
      <c r="P655" s="11"/>
      <c r="Q655" s="11"/>
      <c r="R655" s="11"/>
      <c r="CB655" s="11"/>
      <c r="CE655" s="11"/>
      <c r="CF655" s="11"/>
    </row>
    <row r="656" spans="4:84" x14ac:dyDescent="0.25">
      <c r="D656" s="11"/>
      <c r="E656" s="11"/>
      <c r="F656" s="11"/>
      <c r="G656" s="11"/>
      <c r="H656" s="11"/>
      <c r="I656" s="11"/>
      <c r="J656" s="11"/>
      <c r="N656" s="11"/>
      <c r="O656" s="11"/>
      <c r="P656" s="11"/>
      <c r="Q656" s="11"/>
      <c r="R656" s="11"/>
      <c r="CB656" s="11"/>
      <c r="CE656" s="11"/>
      <c r="CF656" s="11"/>
    </row>
    <row r="657" spans="4:84" x14ac:dyDescent="0.25">
      <c r="D657" s="11"/>
      <c r="E657" s="11"/>
      <c r="F657" s="11"/>
      <c r="G657" s="11"/>
      <c r="H657" s="11"/>
      <c r="I657" s="11"/>
      <c r="J657" s="11"/>
      <c r="N657" s="11"/>
      <c r="O657" s="11"/>
      <c r="P657" s="11"/>
      <c r="Q657" s="11"/>
      <c r="R657" s="11"/>
      <c r="CB657" s="11"/>
      <c r="CE657" s="11"/>
      <c r="CF657" s="11"/>
    </row>
    <row r="658" spans="4:84" x14ac:dyDescent="0.25">
      <c r="D658" s="11"/>
      <c r="E658" s="11"/>
      <c r="F658" s="11"/>
      <c r="G658" s="11"/>
      <c r="H658" s="11"/>
      <c r="I658" s="11"/>
      <c r="J658" s="11"/>
      <c r="N658" s="11"/>
      <c r="O658" s="11"/>
      <c r="P658" s="11"/>
      <c r="Q658" s="11"/>
      <c r="R658" s="11"/>
      <c r="CB658" s="11"/>
      <c r="CE658" s="11"/>
      <c r="CF658" s="11"/>
    </row>
    <row r="659" spans="4:84" x14ac:dyDescent="0.25">
      <c r="D659" s="11"/>
      <c r="E659" s="11"/>
      <c r="F659" s="11"/>
      <c r="G659" s="11"/>
      <c r="H659" s="11"/>
      <c r="I659" s="11"/>
      <c r="J659" s="11"/>
      <c r="N659" s="11"/>
      <c r="O659" s="11"/>
      <c r="P659" s="11"/>
      <c r="Q659" s="11"/>
      <c r="R659" s="11"/>
      <c r="CB659" s="11"/>
      <c r="CE659" s="11"/>
      <c r="CF659" s="11"/>
    </row>
    <row r="660" spans="4:84" x14ac:dyDescent="0.25">
      <c r="D660" s="11"/>
      <c r="E660" s="11"/>
      <c r="F660" s="11"/>
      <c r="G660" s="11"/>
      <c r="H660" s="11"/>
      <c r="I660" s="11"/>
      <c r="J660" s="11"/>
      <c r="N660" s="11"/>
      <c r="O660" s="11"/>
      <c r="P660" s="11"/>
      <c r="Q660" s="11"/>
      <c r="R660" s="11"/>
      <c r="CB660" s="11"/>
      <c r="CE660" s="11"/>
      <c r="CF660" s="11"/>
    </row>
    <row r="661" spans="4:84" x14ac:dyDescent="0.25">
      <c r="D661" s="11"/>
      <c r="E661" s="11"/>
      <c r="F661" s="11"/>
      <c r="G661" s="11"/>
      <c r="H661" s="11"/>
      <c r="I661" s="11"/>
      <c r="J661" s="11"/>
      <c r="N661" s="11"/>
      <c r="O661" s="11"/>
      <c r="P661" s="11"/>
      <c r="Q661" s="11"/>
      <c r="R661" s="11"/>
      <c r="CB661" s="11"/>
      <c r="CE661" s="11"/>
      <c r="CF661" s="11"/>
    </row>
    <row r="662" spans="4:84" x14ac:dyDescent="0.25">
      <c r="D662" s="11"/>
      <c r="E662" s="11"/>
      <c r="F662" s="11"/>
      <c r="G662" s="11"/>
      <c r="H662" s="11"/>
      <c r="I662" s="11"/>
      <c r="J662" s="11"/>
      <c r="N662" s="11"/>
      <c r="O662" s="11"/>
      <c r="P662" s="11"/>
      <c r="Q662" s="11"/>
      <c r="R662" s="11"/>
      <c r="CB662" s="11"/>
      <c r="CE662" s="11"/>
      <c r="CF662" s="11"/>
    </row>
    <row r="663" spans="4:84" x14ac:dyDescent="0.25">
      <c r="D663" s="11"/>
      <c r="E663" s="11"/>
      <c r="F663" s="11"/>
      <c r="G663" s="11"/>
      <c r="H663" s="11"/>
      <c r="I663" s="11"/>
      <c r="J663" s="11"/>
      <c r="N663" s="11"/>
      <c r="O663" s="11"/>
      <c r="P663" s="11"/>
      <c r="Q663" s="11"/>
      <c r="R663" s="11"/>
      <c r="CB663" s="11"/>
      <c r="CE663" s="11"/>
      <c r="CF663" s="11"/>
    </row>
    <row r="664" spans="4:84" x14ac:dyDescent="0.25">
      <c r="D664" s="11"/>
      <c r="E664" s="11"/>
      <c r="F664" s="11"/>
      <c r="G664" s="11"/>
      <c r="H664" s="11"/>
      <c r="I664" s="11"/>
      <c r="J664" s="11"/>
      <c r="N664" s="11"/>
      <c r="O664" s="11"/>
      <c r="P664" s="11"/>
      <c r="Q664" s="11"/>
      <c r="R664" s="11"/>
      <c r="CB664" s="11"/>
      <c r="CE664" s="11"/>
      <c r="CF664" s="11"/>
    </row>
    <row r="665" spans="4:84" x14ac:dyDescent="0.25">
      <c r="D665" s="11"/>
      <c r="E665" s="11"/>
      <c r="F665" s="11"/>
      <c r="G665" s="11"/>
      <c r="H665" s="11"/>
      <c r="I665" s="11"/>
      <c r="J665" s="11"/>
      <c r="N665" s="11"/>
      <c r="O665" s="11"/>
      <c r="P665" s="11"/>
      <c r="Q665" s="11"/>
      <c r="R665" s="11"/>
      <c r="CB665" s="11"/>
      <c r="CE665" s="11"/>
      <c r="CF665" s="11"/>
    </row>
    <row r="666" spans="4:84" x14ac:dyDescent="0.25">
      <c r="D666" s="11"/>
      <c r="E666" s="11"/>
      <c r="F666" s="11"/>
      <c r="G666" s="11"/>
      <c r="H666" s="11"/>
      <c r="I666" s="11"/>
      <c r="J666" s="11"/>
      <c r="N666" s="11"/>
      <c r="O666" s="11"/>
      <c r="P666" s="11"/>
      <c r="Q666" s="11"/>
      <c r="R666" s="11"/>
      <c r="CB666" s="11"/>
      <c r="CE666" s="11"/>
      <c r="CF666" s="11"/>
    </row>
    <row r="667" spans="4:84" x14ac:dyDescent="0.25">
      <c r="D667" s="11"/>
      <c r="E667" s="11"/>
      <c r="F667" s="11"/>
      <c r="G667" s="11"/>
      <c r="H667" s="11"/>
      <c r="I667" s="11"/>
      <c r="J667" s="11"/>
      <c r="N667" s="11"/>
      <c r="O667" s="11"/>
      <c r="P667" s="11"/>
      <c r="Q667" s="11"/>
      <c r="R667" s="11"/>
      <c r="CB667" s="11"/>
      <c r="CE667" s="11"/>
      <c r="CF667" s="11"/>
    </row>
    <row r="668" spans="4:84" x14ac:dyDescent="0.25">
      <c r="D668" s="11"/>
      <c r="E668" s="11"/>
      <c r="F668" s="11"/>
      <c r="G668" s="11"/>
      <c r="H668" s="11"/>
      <c r="I668" s="11"/>
      <c r="J668" s="11"/>
      <c r="N668" s="11"/>
      <c r="O668" s="11"/>
      <c r="P668" s="11"/>
      <c r="Q668" s="11"/>
      <c r="R668" s="11"/>
      <c r="CB668" s="11"/>
      <c r="CE668" s="11"/>
      <c r="CF668" s="11"/>
    </row>
    <row r="669" spans="4:84" x14ac:dyDescent="0.25">
      <c r="D669" s="11"/>
      <c r="E669" s="11"/>
      <c r="F669" s="11"/>
      <c r="G669" s="11"/>
      <c r="H669" s="11"/>
      <c r="I669" s="11"/>
      <c r="J669" s="11"/>
      <c r="N669" s="11"/>
      <c r="O669" s="11"/>
      <c r="P669" s="11"/>
      <c r="Q669" s="11"/>
      <c r="R669" s="11"/>
      <c r="CB669" s="11"/>
      <c r="CE669" s="11"/>
      <c r="CF669" s="11"/>
    </row>
    <row r="670" spans="4:84" x14ac:dyDescent="0.25">
      <c r="D670" s="11"/>
      <c r="E670" s="11"/>
      <c r="F670" s="11"/>
      <c r="G670" s="11"/>
      <c r="H670" s="11"/>
      <c r="I670" s="11"/>
      <c r="J670" s="11"/>
      <c r="N670" s="11"/>
      <c r="O670" s="11"/>
      <c r="P670" s="11"/>
      <c r="Q670" s="11"/>
      <c r="R670" s="11"/>
      <c r="CB670" s="11"/>
      <c r="CE670" s="11"/>
      <c r="CF670" s="11"/>
    </row>
    <row r="671" spans="4:84" x14ac:dyDescent="0.25">
      <c r="D671" s="11"/>
      <c r="E671" s="11"/>
      <c r="F671" s="11"/>
      <c r="G671" s="11"/>
      <c r="H671" s="11"/>
      <c r="I671" s="11"/>
      <c r="J671" s="11"/>
      <c r="N671" s="11"/>
      <c r="O671" s="11"/>
      <c r="P671" s="11"/>
      <c r="Q671" s="11"/>
      <c r="R671" s="11"/>
      <c r="CB671" s="11"/>
      <c r="CE671" s="11"/>
      <c r="CF671" s="11"/>
    </row>
    <row r="672" spans="4:84" x14ac:dyDescent="0.25">
      <c r="D672" s="11"/>
      <c r="E672" s="11"/>
      <c r="F672" s="11"/>
      <c r="G672" s="11"/>
      <c r="H672" s="11"/>
      <c r="I672" s="11"/>
      <c r="J672" s="11"/>
      <c r="N672" s="11"/>
      <c r="O672" s="11"/>
      <c r="P672" s="11"/>
      <c r="Q672" s="11"/>
      <c r="R672" s="11"/>
      <c r="CB672" s="11"/>
      <c r="CE672" s="11"/>
      <c r="CF672" s="11"/>
    </row>
    <row r="673" spans="4:84" x14ac:dyDescent="0.25">
      <c r="D673" s="11"/>
      <c r="E673" s="11"/>
      <c r="F673" s="11"/>
      <c r="G673" s="11"/>
      <c r="H673" s="11"/>
      <c r="I673" s="11"/>
      <c r="J673" s="11"/>
      <c r="N673" s="11"/>
      <c r="O673" s="11"/>
      <c r="P673" s="11"/>
      <c r="Q673" s="11"/>
      <c r="R673" s="11"/>
      <c r="CB673" s="11"/>
      <c r="CE673" s="11"/>
      <c r="CF673" s="11"/>
    </row>
    <row r="674" spans="4:84" x14ac:dyDescent="0.25">
      <c r="D674" s="11"/>
      <c r="E674" s="11"/>
      <c r="F674" s="11"/>
      <c r="G674" s="11"/>
      <c r="H674" s="11"/>
      <c r="I674" s="11"/>
      <c r="J674" s="11"/>
      <c r="N674" s="11"/>
      <c r="O674" s="11"/>
      <c r="P674" s="11"/>
      <c r="Q674" s="11"/>
      <c r="R674" s="11"/>
      <c r="CB674" s="11"/>
      <c r="CE674" s="11"/>
      <c r="CF674" s="11"/>
    </row>
    <row r="675" spans="4:84" x14ac:dyDescent="0.25">
      <c r="D675" s="11"/>
      <c r="E675" s="11"/>
      <c r="F675" s="11"/>
      <c r="G675" s="11"/>
      <c r="H675" s="11"/>
      <c r="I675" s="11"/>
      <c r="J675" s="11"/>
      <c r="N675" s="11"/>
      <c r="O675" s="11"/>
      <c r="P675" s="11"/>
      <c r="Q675" s="11"/>
      <c r="R675" s="11"/>
      <c r="CB675" s="11"/>
      <c r="CE675" s="11"/>
      <c r="CF675" s="11"/>
    </row>
    <row r="676" spans="4:84" x14ac:dyDescent="0.25">
      <c r="D676" s="11"/>
      <c r="E676" s="11"/>
      <c r="F676" s="11"/>
      <c r="G676" s="11"/>
      <c r="H676" s="11"/>
      <c r="I676" s="11"/>
      <c r="J676" s="11"/>
      <c r="N676" s="11"/>
      <c r="O676" s="11"/>
      <c r="P676" s="11"/>
      <c r="Q676" s="11"/>
      <c r="R676" s="11"/>
      <c r="CB676" s="11"/>
      <c r="CE676" s="11"/>
      <c r="CF676" s="11"/>
    </row>
    <row r="677" spans="4:84" x14ac:dyDescent="0.25">
      <c r="D677" s="11"/>
      <c r="E677" s="11"/>
      <c r="F677" s="11"/>
      <c r="G677" s="11"/>
      <c r="H677" s="11"/>
      <c r="I677" s="11"/>
      <c r="J677" s="11"/>
      <c r="N677" s="11"/>
      <c r="O677" s="11"/>
      <c r="P677" s="11"/>
      <c r="Q677" s="11"/>
      <c r="R677" s="11"/>
      <c r="CB677" s="11"/>
      <c r="CE677" s="11"/>
      <c r="CF677" s="11"/>
    </row>
    <row r="678" spans="4:84" x14ac:dyDescent="0.25">
      <c r="D678" s="11"/>
      <c r="E678" s="11"/>
      <c r="F678" s="11"/>
      <c r="G678" s="11"/>
      <c r="H678" s="11"/>
      <c r="I678" s="11"/>
      <c r="J678" s="11"/>
      <c r="N678" s="11"/>
      <c r="O678" s="11"/>
      <c r="P678" s="11"/>
      <c r="Q678" s="11"/>
      <c r="R678" s="11"/>
      <c r="CB678" s="11"/>
      <c r="CE678" s="11"/>
      <c r="CF678" s="11"/>
    </row>
    <row r="679" spans="4:84" x14ac:dyDescent="0.25">
      <c r="D679" s="11"/>
      <c r="E679" s="11"/>
      <c r="F679" s="11"/>
      <c r="G679" s="11"/>
      <c r="H679" s="11"/>
      <c r="I679" s="11"/>
      <c r="J679" s="11"/>
      <c r="N679" s="11"/>
      <c r="O679" s="11"/>
      <c r="P679" s="11"/>
      <c r="Q679" s="11"/>
      <c r="R679" s="11"/>
      <c r="CB679" s="11"/>
      <c r="CE679" s="11"/>
      <c r="CF679" s="11"/>
    </row>
    <row r="680" spans="4:84" x14ac:dyDescent="0.25">
      <c r="D680" s="11"/>
      <c r="E680" s="11"/>
      <c r="F680" s="11"/>
      <c r="G680" s="11"/>
      <c r="H680" s="11"/>
      <c r="I680" s="11"/>
      <c r="J680" s="11"/>
      <c r="N680" s="11"/>
      <c r="O680" s="11"/>
      <c r="P680" s="11"/>
      <c r="Q680" s="11"/>
      <c r="R680" s="11"/>
      <c r="CB680" s="11"/>
      <c r="CE680" s="11"/>
      <c r="CF680" s="11"/>
    </row>
    <row r="681" spans="4:84" x14ac:dyDescent="0.25">
      <c r="D681" s="11"/>
      <c r="E681" s="11"/>
      <c r="F681" s="11"/>
      <c r="G681" s="11"/>
      <c r="H681" s="11"/>
      <c r="I681" s="11"/>
      <c r="J681" s="11"/>
      <c r="N681" s="11"/>
      <c r="O681" s="11"/>
      <c r="P681" s="11"/>
      <c r="Q681" s="11"/>
      <c r="R681" s="11"/>
      <c r="CB681" s="11"/>
      <c r="CE681" s="11"/>
      <c r="CF681" s="11"/>
    </row>
    <row r="682" spans="4:84" x14ac:dyDescent="0.25">
      <c r="D682" s="11"/>
      <c r="E682" s="11"/>
      <c r="F682" s="11"/>
      <c r="G682" s="11"/>
      <c r="H682" s="11"/>
      <c r="I682" s="11"/>
      <c r="J682" s="11"/>
      <c r="N682" s="11"/>
      <c r="O682" s="11"/>
      <c r="P682" s="11"/>
      <c r="Q682" s="11"/>
      <c r="R682" s="11"/>
      <c r="CB682" s="11"/>
      <c r="CE682" s="11"/>
      <c r="CF682" s="11"/>
    </row>
    <row r="683" spans="4:84" x14ac:dyDescent="0.25">
      <c r="D683" s="11"/>
      <c r="E683" s="11"/>
      <c r="F683" s="11"/>
      <c r="G683" s="11"/>
      <c r="H683" s="11"/>
      <c r="I683" s="11"/>
      <c r="J683" s="11"/>
      <c r="N683" s="11"/>
      <c r="O683" s="11"/>
      <c r="P683" s="11"/>
      <c r="Q683" s="11"/>
      <c r="R683" s="11"/>
      <c r="CB683" s="11"/>
      <c r="CE683" s="11"/>
      <c r="CF683" s="11"/>
    </row>
    <row r="684" spans="4:84" x14ac:dyDescent="0.25">
      <c r="D684" s="11"/>
      <c r="E684" s="11"/>
      <c r="F684" s="11"/>
      <c r="G684" s="11"/>
      <c r="H684" s="11"/>
      <c r="I684" s="11"/>
      <c r="J684" s="11"/>
      <c r="N684" s="11"/>
      <c r="O684" s="11"/>
      <c r="P684" s="11"/>
      <c r="Q684" s="11"/>
      <c r="R684" s="11"/>
      <c r="CB684" s="11"/>
      <c r="CE684" s="11"/>
      <c r="CF684" s="11"/>
    </row>
    <row r="685" spans="4:84" x14ac:dyDescent="0.25">
      <c r="D685" s="11"/>
      <c r="E685" s="11"/>
      <c r="F685" s="11"/>
      <c r="G685" s="11"/>
      <c r="H685" s="11"/>
      <c r="I685" s="11"/>
      <c r="J685" s="11"/>
      <c r="N685" s="11"/>
      <c r="O685" s="11"/>
      <c r="P685" s="11"/>
      <c r="Q685" s="11"/>
      <c r="R685" s="11"/>
      <c r="CB685" s="11"/>
      <c r="CE685" s="11"/>
      <c r="CF685" s="11"/>
    </row>
    <row r="686" spans="4:84" x14ac:dyDescent="0.25">
      <c r="D686" s="11"/>
      <c r="E686" s="11"/>
      <c r="F686" s="11"/>
      <c r="G686" s="11"/>
      <c r="H686" s="11"/>
      <c r="I686" s="11"/>
      <c r="J686" s="11"/>
      <c r="N686" s="11"/>
      <c r="O686" s="11"/>
      <c r="P686" s="11"/>
      <c r="Q686" s="11"/>
      <c r="R686" s="11"/>
      <c r="CB686" s="11"/>
      <c r="CE686" s="11"/>
      <c r="CF686" s="11"/>
    </row>
    <row r="687" spans="4:84" x14ac:dyDescent="0.25">
      <c r="D687" s="11"/>
      <c r="E687" s="11"/>
      <c r="F687" s="11"/>
      <c r="G687" s="11"/>
      <c r="H687" s="11"/>
      <c r="I687" s="11"/>
      <c r="J687" s="11"/>
      <c r="N687" s="11"/>
      <c r="O687" s="11"/>
      <c r="P687" s="11"/>
      <c r="Q687" s="11"/>
      <c r="R687" s="11"/>
      <c r="CB687" s="11"/>
      <c r="CE687" s="11"/>
      <c r="CF687" s="11"/>
    </row>
    <row r="688" spans="4:84" x14ac:dyDescent="0.25">
      <c r="D688" s="11"/>
      <c r="E688" s="11"/>
      <c r="F688" s="11"/>
      <c r="G688" s="11"/>
      <c r="H688" s="11"/>
      <c r="I688" s="11"/>
      <c r="J688" s="11"/>
      <c r="N688" s="11"/>
      <c r="O688" s="11"/>
      <c r="P688" s="11"/>
      <c r="Q688" s="11"/>
      <c r="R688" s="11"/>
      <c r="CB688" s="11"/>
      <c r="CE688" s="11"/>
      <c r="CF688" s="11"/>
    </row>
    <row r="689" spans="4:84" x14ac:dyDescent="0.25">
      <c r="D689" s="11"/>
      <c r="E689" s="11"/>
      <c r="F689" s="11"/>
      <c r="G689" s="11"/>
      <c r="H689" s="11"/>
      <c r="I689" s="11"/>
      <c r="J689" s="11"/>
      <c r="N689" s="11"/>
      <c r="O689" s="11"/>
      <c r="P689" s="11"/>
      <c r="Q689" s="11"/>
      <c r="R689" s="11"/>
      <c r="CB689" s="11"/>
      <c r="CE689" s="11"/>
      <c r="CF689" s="11"/>
    </row>
    <row r="690" spans="4:84" x14ac:dyDescent="0.25">
      <c r="D690" s="11"/>
      <c r="E690" s="11"/>
      <c r="F690" s="11"/>
      <c r="G690" s="11"/>
      <c r="H690" s="11"/>
      <c r="I690" s="11"/>
      <c r="J690" s="11"/>
      <c r="N690" s="11"/>
      <c r="O690" s="11"/>
      <c r="P690" s="11"/>
      <c r="Q690" s="11"/>
      <c r="R690" s="11"/>
      <c r="CB690" s="11"/>
      <c r="CE690" s="11"/>
      <c r="CF690" s="11"/>
    </row>
    <row r="691" spans="4:84" x14ac:dyDescent="0.25">
      <c r="D691" s="11"/>
      <c r="E691" s="11"/>
      <c r="F691" s="11"/>
      <c r="G691" s="11"/>
      <c r="H691" s="11"/>
      <c r="I691" s="11"/>
      <c r="J691" s="11"/>
      <c r="N691" s="11"/>
      <c r="O691" s="11"/>
      <c r="P691" s="11"/>
      <c r="Q691" s="11"/>
      <c r="R691" s="11"/>
      <c r="CB691" s="11"/>
      <c r="CE691" s="11"/>
      <c r="CF691" s="11"/>
    </row>
    <row r="692" spans="4:84" x14ac:dyDescent="0.25">
      <c r="D692" s="11"/>
      <c r="E692" s="11"/>
      <c r="F692" s="11"/>
      <c r="G692" s="11"/>
      <c r="H692" s="11"/>
      <c r="I692" s="11"/>
      <c r="J692" s="11"/>
      <c r="N692" s="11"/>
      <c r="O692" s="11"/>
      <c r="P692" s="11"/>
      <c r="Q692" s="11"/>
      <c r="R692" s="11"/>
      <c r="CB692" s="11"/>
      <c r="CE692" s="11"/>
      <c r="CF692" s="11"/>
    </row>
    <row r="693" spans="4:84" x14ac:dyDescent="0.25">
      <c r="D693" s="11"/>
      <c r="E693" s="11"/>
      <c r="F693" s="11"/>
      <c r="G693" s="11"/>
      <c r="H693" s="11"/>
      <c r="I693" s="11"/>
      <c r="J693" s="11"/>
      <c r="N693" s="11"/>
      <c r="O693" s="11"/>
      <c r="P693" s="11"/>
      <c r="Q693" s="11"/>
      <c r="R693" s="11"/>
      <c r="CB693" s="11"/>
      <c r="CE693" s="11"/>
      <c r="CF693" s="11"/>
    </row>
    <row r="694" spans="4:84" x14ac:dyDescent="0.25">
      <c r="D694" s="11"/>
      <c r="E694" s="11"/>
      <c r="F694" s="11"/>
      <c r="G694" s="11"/>
      <c r="H694" s="11"/>
      <c r="I694" s="11"/>
      <c r="J694" s="11"/>
      <c r="N694" s="11"/>
      <c r="O694" s="11"/>
      <c r="P694" s="11"/>
      <c r="Q694" s="11"/>
      <c r="R694" s="11"/>
      <c r="CB694" s="11"/>
      <c r="CE694" s="11"/>
      <c r="CF694" s="11"/>
    </row>
    <row r="695" spans="4:84" x14ac:dyDescent="0.25">
      <c r="D695" s="11"/>
      <c r="E695" s="11"/>
      <c r="F695" s="11"/>
      <c r="G695" s="11"/>
      <c r="H695" s="11"/>
      <c r="I695" s="11"/>
      <c r="J695" s="11"/>
      <c r="N695" s="11"/>
      <c r="O695" s="11"/>
      <c r="P695" s="11"/>
      <c r="Q695" s="11"/>
      <c r="R695" s="11"/>
      <c r="CB695" s="11"/>
      <c r="CE695" s="11"/>
      <c r="CF695" s="11"/>
    </row>
    <row r="696" spans="4:84" x14ac:dyDescent="0.25">
      <c r="D696" s="11"/>
      <c r="E696" s="11"/>
      <c r="F696" s="11"/>
      <c r="G696" s="11"/>
      <c r="H696" s="11"/>
      <c r="I696" s="11"/>
      <c r="J696" s="11"/>
      <c r="N696" s="11"/>
      <c r="O696" s="11"/>
      <c r="P696" s="11"/>
      <c r="Q696" s="11"/>
      <c r="R696" s="11"/>
      <c r="CB696" s="11"/>
      <c r="CE696" s="11"/>
      <c r="CF696" s="11"/>
    </row>
    <row r="697" spans="4:84" x14ac:dyDescent="0.25">
      <c r="D697" s="11"/>
      <c r="E697" s="11"/>
      <c r="F697" s="11"/>
      <c r="G697" s="11"/>
      <c r="H697" s="11"/>
      <c r="I697" s="11"/>
      <c r="J697" s="11"/>
      <c r="N697" s="11"/>
      <c r="O697" s="11"/>
      <c r="P697" s="11"/>
      <c r="Q697" s="11"/>
      <c r="R697" s="11"/>
      <c r="CB697" s="11"/>
      <c r="CE697" s="11"/>
      <c r="CF697" s="11"/>
    </row>
    <row r="698" spans="4:84" x14ac:dyDescent="0.25">
      <c r="D698" s="11"/>
      <c r="E698" s="11"/>
      <c r="F698" s="11"/>
      <c r="G698" s="11"/>
      <c r="H698" s="11"/>
      <c r="I698" s="11"/>
      <c r="J698" s="11"/>
      <c r="N698" s="11"/>
      <c r="O698" s="11"/>
      <c r="P698" s="11"/>
      <c r="Q698" s="11"/>
      <c r="R698" s="11"/>
      <c r="CB698" s="11"/>
      <c r="CE698" s="11"/>
      <c r="CF698" s="11"/>
    </row>
    <row r="699" spans="4:84" x14ac:dyDescent="0.25">
      <c r="D699" s="11"/>
      <c r="E699" s="11"/>
      <c r="F699" s="11"/>
      <c r="G699" s="11"/>
      <c r="H699" s="11"/>
      <c r="I699" s="11"/>
      <c r="J699" s="11"/>
      <c r="N699" s="11"/>
      <c r="O699" s="11"/>
      <c r="P699" s="11"/>
      <c r="Q699" s="11"/>
      <c r="R699" s="11"/>
      <c r="CB699" s="11"/>
      <c r="CE699" s="11"/>
      <c r="CF699" s="11"/>
    </row>
    <row r="700" spans="4:84" x14ac:dyDescent="0.25">
      <c r="D700" s="11"/>
      <c r="E700" s="11"/>
      <c r="F700" s="11"/>
      <c r="G700" s="11"/>
      <c r="H700" s="11"/>
      <c r="I700" s="11"/>
      <c r="J700" s="11"/>
      <c r="N700" s="11"/>
      <c r="O700" s="11"/>
      <c r="P700" s="11"/>
      <c r="Q700" s="11"/>
      <c r="R700" s="11"/>
      <c r="CB700" s="11"/>
      <c r="CE700" s="11"/>
      <c r="CF700" s="11"/>
    </row>
    <row r="701" spans="4:84" x14ac:dyDescent="0.25">
      <c r="D701" s="11"/>
      <c r="E701" s="11"/>
      <c r="F701" s="11"/>
      <c r="G701" s="11"/>
      <c r="H701" s="11"/>
      <c r="I701" s="11"/>
      <c r="J701" s="11"/>
      <c r="N701" s="11"/>
      <c r="O701" s="11"/>
      <c r="P701" s="11"/>
      <c r="Q701" s="11"/>
      <c r="R701" s="11"/>
      <c r="CB701" s="11"/>
      <c r="CE701" s="11"/>
      <c r="CF701" s="11"/>
    </row>
    <row r="702" spans="4:84" x14ac:dyDescent="0.25">
      <c r="D702" s="11"/>
      <c r="E702" s="11"/>
      <c r="F702" s="11"/>
      <c r="G702" s="11"/>
      <c r="H702" s="11"/>
      <c r="I702" s="11"/>
      <c r="J702" s="11"/>
      <c r="N702" s="11"/>
      <c r="O702" s="11"/>
      <c r="P702" s="11"/>
      <c r="Q702" s="11"/>
      <c r="R702" s="11"/>
      <c r="CB702" s="11"/>
      <c r="CE702" s="11"/>
      <c r="CF702" s="11"/>
    </row>
    <row r="703" spans="4:84" x14ac:dyDescent="0.25">
      <c r="D703" s="11"/>
      <c r="E703" s="11"/>
      <c r="F703" s="11"/>
      <c r="G703" s="11"/>
      <c r="H703" s="11"/>
      <c r="I703" s="11"/>
      <c r="J703" s="11"/>
      <c r="N703" s="11"/>
      <c r="O703" s="11"/>
      <c r="P703" s="11"/>
      <c r="Q703" s="11"/>
      <c r="R703" s="11"/>
      <c r="CB703" s="11"/>
      <c r="CE703" s="11"/>
      <c r="CF703" s="11"/>
    </row>
    <row r="704" spans="4:84" x14ac:dyDescent="0.25">
      <c r="D704" s="11"/>
      <c r="E704" s="11"/>
      <c r="F704" s="11"/>
      <c r="G704" s="11"/>
      <c r="H704" s="11"/>
      <c r="I704" s="11"/>
      <c r="J704" s="11"/>
      <c r="N704" s="11"/>
      <c r="O704" s="11"/>
      <c r="P704" s="11"/>
      <c r="Q704" s="11"/>
      <c r="R704" s="11"/>
      <c r="CB704" s="11"/>
      <c r="CE704" s="11"/>
      <c r="CF704" s="11"/>
    </row>
    <row r="705" spans="4:84" x14ac:dyDescent="0.25">
      <c r="D705" s="11"/>
      <c r="E705" s="11"/>
      <c r="F705" s="11"/>
      <c r="G705" s="11"/>
      <c r="H705" s="11"/>
      <c r="I705" s="11"/>
      <c r="J705" s="11"/>
      <c r="N705" s="11"/>
      <c r="O705" s="11"/>
      <c r="P705" s="11"/>
      <c r="Q705" s="11"/>
      <c r="R705" s="11"/>
      <c r="CB705" s="11"/>
      <c r="CE705" s="11"/>
      <c r="CF705" s="11"/>
    </row>
    <row r="706" spans="4:84" x14ac:dyDescent="0.25">
      <c r="D706" s="11"/>
      <c r="E706" s="11"/>
      <c r="F706" s="11"/>
      <c r="G706" s="11"/>
      <c r="H706" s="11"/>
      <c r="I706" s="11"/>
      <c r="J706" s="11"/>
      <c r="N706" s="11"/>
      <c r="O706" s="11"/>
      <c r="P706" s="11"/>
      <c r="Q706" s="11"/>
      <c r="R706" s="11"/>
      <c r="CB706" s="11"/>
      <c r="CE706" s="11"/>
      <c r="CF706" s="11"/>
    </row>
    <row r="707" spans="4:84" x14ac:dyDescent="0.25">
      <c r="D707" s="11"/>
      <c r="E707" s="11"/>
      <c r="F707" s="11"/>
      <c r="G707" s="11"/>
      <c r="H707" s="11"/>
      <c r="I707" s="11"/>
      <c r="J707" s="11"/>
      <c r="N707" s="11"/>
      <c r="O707" s="11"/>
      <c r="P707" s="11"/>
      <c r="Q707" s="11"/>
      <c r="R707" s="11"/>
      <c r="CB707" s="11"/>
      <c r="CE707" s="11"/>
      <c r="CF707" s="11"/>
    </row>
    <row r="708" spans="4:84" x14ac:dyDescent="0.25">
      <c r="D708" s="11"/>
      <c r="E708" s="11"/>
      <c r="F708" s="11"/>
      <c r="G708" s="11"/>
      <c r="H708" s="11"/>
      <c r="I708" s="11"/>
      <c r="J708" s="11"/>
      <c r="N708" s="11"/>
      <c r="O708" s="11"/>
      <c r="P708" s="11"/>
      <c r="Q708" s="11"/>
      <c r="R708" s="11"/>
      <c r="CB708" s="11"/>
      <c r="CE708" s="11"/>
      <c r="CF708" s="11"/>
    </row>
    <row r="709" spans="4:84" x14ac:dyDescent="0.25">
      <c r="D709" s="11"/>
      <c r="E709" s="11"/>
      <c r="F709" s="11"/>
      <c r="G709" s="11"/>
      <c r="H709" s="11"/>
      <c r="I709" s="11"/>
      <c r="J709" s="11"/>
      <c r="N709" s="11"/>
      <c r="O709" s="11"/>
      <c r="P709" s="11"/>
      <c r="Q709" s="11"/>
      <c r="R709" s="11"/>
      <c r="CB709" s="11"/>
      <c r="CE709" s="11"/>
      <c r="CF709" s="11"/>
    </row>
    <row r="710" spans="4:84" x14ac:dyDescent="0.25">
      <c r="D710" s="11"/>
      <c r="E710" s="11"/>
      <c r="F710" s="11"/>
      <c r="G710" s="11"/>
      <c r="H710" s="11"/>
      <c r="I710" s="11"/>
      <c r="J710" s="11"/>
      <c r="N710" s="11"/>
      <c r="O710" s="11"/>
      <c r="P710" s="11"/>
      <c r="Q710" s="11"/>
      <c r="R710" s="11"/>
      <c r="CB710" s="11"/>
      <c r="CE710" s="11"/>
      <c r="CF710" s="11"/>
    </row>
    <row r="711" spans="4:84" x14ac:dyDescent="0.25">
      <c r="D711" s="11"/>
      <c r="E711" s="11"/>
      <c r="F711" s="11"/>
      <c r="G711" s="11"/>
      <c r="H711" s="11"/>
      <c r="I711" s="11"/>
      <c r="J711" s="11"/>
      <c r="N711" s="11"/>
      <c r="O711" s="11"/>
      <c r="P711" s="11"/>
      <c r="Q711" s="11"/>
      <c r="R711" s="11"/>
      <c r="CB711" s="11"/>
      <c r="CE711" s="11"/>
      <c r="CF711" s="11"/>
    </row>
    <row r="712" spans="4:84" x14ac:dyDescent="0.25">
      <c r="D712" s="11"/>
      <c r="E712" s="11"/>
      <c r="F712" s="11"/>
      <c r="G712" s="11"/>
      <c r="H712" s="11"/>
      <c r="I712" s="11"/>
      <c r="J712" s="11"/>
      <c r="N712" s="11"/>
      <c r="O712" s="11"/>
      <c r="P712" s="11"/>
      <c r="Q712" s="11"/>
      <c r="R712" s="11"/>
      <c r="CB712" s="11"/>
      <c r="CE712" s="11"/>
      <c r="CF712" s="11"/>
    </row>
    <row r="713" spans="4:84" x14ac:dyDescent="0.25">
      <c r="D713" s="11"/>
      <c r="E713" s="11"/>
      <c r="F713" s="11"/>
      <c r="G713" s="11"/>
      <c r="H713" s="11"/>
      <c r="I713" s="11"/>
      <c r="J713" s="11"/>
      <c r="N713" s="11"/>
      <c r="O713" s="11"/>
      <c r="P713" s="11"/>
      <c r="Q713" s="11"/>
      <c r="R713" s="11"/>
      <c r="CB713" s="11"/>
      <c r="CE713" s="11"/>
      <c r="CF713" s="11"/>
    </row>
    <row r="714" spans="4:84" x14ac:dyDescent="0.25">
      <c r="D714" s="11"/>
      <c r="E714" s="11"/>
      <c r="F714" s="11"/>
      <c r="G714" s="11"/>
      <c r="H714" s="11"/>
      <c r="I714" s="11"/>
      <c r="J714" s="11"/>
      <c r="N714" s="11"/>
      <c r="O714" s="11"/>
      <c r="P714" s="11"/>
      <c r="Q714" s="11"/>
      <c r="R714" s="11"/>
      <c r="CB714" s="11"/>
      <c r="CE714" s="11"/>
      <c r="CF714" s="11"/>
    </row>
    <row r="715" spans="4:84" x14ac:dyDescent="0.25">
      <c r="D715" s="11"/>
      <c r="E715" s="11"/>
      <c r="F715" s="11"/>
      <c r="G715" s="11"/>
      <c r="H715" s="11"/>
      <c r="I715" s="11"/>
      <c r="J715" s="11"/>
      <c r="N715" s="11"/>
      <c r="O715" s="11"/>
      <c r="P715" s="11"/>
      <c r="Q715" s="11"/>
      <c r="R715" s="11"/>
      <c r="CB715" s="11"/>
      <c r="CE715" s="11"/>
      <c r="CF715" s="11"/>
    </row>
    <row r="716" spans="4:84" x14ac:dyDescent="0.25">
      <c r="D716" s="11"/>
      <c r="E716" s="11"/>
      <c r="F716" s="11"/>
      <c r="G716" s="11"/>
      <c r="H716" s="11"/>
      <c r="I716" s="11"/>
      <c r="J716" s="11"/>
      <c r="N716" s="11"/>
      <c r="O716" s="11"/>
      <c r="P716" s="11"/>
      <c r="Q716" s="11"/>
      <c r="R716" s="11"/>
      <c r="CB716" s="11"/>
      <c r="CE716" s="11"/>
      <c r="CF716" s="11"/>
    </row>
    <row r="717" spans="4:84" x14ac:dyDescent="0.25">
      <c r="D717" s="11"/>
      <c r="E717" s="11"/>
      <c r="F717" s="11"/>
      <c r="G717" s="11"/>
      <c r="H717" s="11"/>
      <c r="I717" s="11"/>
      <c r="J717" s="11"/>
      <c r="N717" s="11"/>
      <c r="O717" s="11"/>
      <c r="P717" s="11"/>
      <c r="Q717" s="11"/>
      <c r="R717" s="11"/>
      <c r="CB717" s="11"/>
      <c r="CE717" s="11"/>
      <c r="CF717" s="11"/>
    </row>
    <row r="718" spans="4:84" x14ac:dyDescent="0.25">
      <c r="D718" s="11"/>
      <c r="E718" s="11"/>
      <c r="F718" s="11"/>
      <c r="G718" s="11"/>
      <c r="H718" s="11"/>
      <c r="I718" s="11"/>
      <c r="J718" s="11"/>
      <c r="N718" s="11"/>
      <c r="O718" s="11"/>
      <c r="P718" s="11"/>
      <c r="Q718" s="11"/>
      <c r="R718" s="11"/>
      <c r="CB718" s="11"/>
      <c r="CE718" s="11"/>
      <c r="CF718" s="11"/>
    </row>
    <row r="719" spans="4:84" x14ac:dyDescent="0.25">
      <c r="D719" s="11"/>
      <c r="E719" s="11"/>
      <c r="F719" s="11"/>
      <c r="G719" s="11"/>
      <c r="H719" s="11"/>
      <c r="I719" s="11"/>
      <c r="J719" s="11"/>
      <c r="N719" s="11"/>
      <c r="O719" s="11"/>
      <c r="P719" s="11"/>
      <c r="Q719" s="11"/>
      <c r="R719" s="11"/>
      <c r="CB719" s="11"/>
      <c r="CE719" s="11"/>
      <c r="CF719" s="11"/>
    </row>
    <row r="720" spans="4:84" x14ac:dyDescent="0.25">
      <c r="D720" s="11"/>
      <c r="E720" s="11"/>
      <c r="F720" s="11"/>
      <c r="G720" s="11"/>
      <c r="H720" s="11"/>
      <c r="I720" s="11"/>
      <c r="J720" s="11"/>
      <c r="N720" s="11"/>
      <c r="O720" s="11"/>
      <c r="P720" s="11"/>
      <c r="Q720" s="11"/>
      <c r="R720" s="11"/>
      <c r="CB720" s="11"/>
      <c r="CE720" s="11"/>
      <c r="CF720" s="11"/>
    </row>
    <row r="721" spans="4:84" x14ac:dyDescent="0.25">
      <c r="D721" s="11"/>
      <c r="E721" s="11"/>
      <c r="F721" s="11"/>
      <c r="G721" s="11"/>
      <c r="H721" s="11"/>
      <c r="I721" s="11"/>
      <c r="J721" s="11"/>
      <c r="N721" s="11"/>
      <c r="O721" s="11"/>
      <c r="P721" s="11"/>
      <c r="Q721" s="11"/>
      <c r="R721" s="11"/>
      <c r="CB721" s="11"/>
      <c r="CE721" s="11"/>
      <c r="CF721" s="11"/>
    </row>
    <row r="722" spans="4:84" x14ac:dyDescent="0.25">
      <c r="D722" s="11"/>
      <c r="E722" s="11"/>
      <c r="F722" s="11"/>
      <c r="G722" s="11"/>
      <c r="H722" s="11"/>
      <c r="I722" s="11"/>
      <c r="J722" s="11"/>
      <c r="N722" s="11"/>
      <c r="O722" s="11"/>
      <c r="P722" s="11"/>
      <c r="Q722" s="11"/>
      <c r="R722" s="11"/>
      <c r="CB722" s="11"/>
      <c r="CE722" s="11"/>
      <c r="CF722" s="11"/>
    </row>
    <row r="723" spans="4:84" x14ac:dyDescent="0.25">
      <c r="D723" s="11"/>
      <c r="E723" s="11"/>
      <c r="F723" s="11"/>
      <c r="G723" s="11"/>
      <c r="H723" s="11"/>
      <c r="I723" s="11"/>
      <c r="J723" s="11"/>
      <c r="N723" s="11"/>
      <c r="O723" s="11"/>
      <c r="P723" s="11"/>
      <c r="Q723" s="11"/>
      <c r="R723" s="11"/>
      <c r="CB723" s="11"/>
      <c r="CE723" s="11"/>
      <c r="CF723" s="11"/>
    </row>
    <row r="724" spans="4:84" x14ac:dyDescent="0.25">
      <c r="D724" s="11"/>
      <c r="E724" s="11"/>
      <c r="F724" s="11"/>
      <c r="G724" s="11"/>
      <c r="H724" s="11"/>
      <c r="I724" s="11"/>
      <c r="J724" s="11"/>
      <c r="N724" s="11"/>
      <c r="O724" s="11"/>
      <c r="P724" s="11"/>
      <c r="Q724" s="11"/>
      <c r="R724" s="11"/>
      <c r="CB724" s="11"/>
      <c r="CE724" s="11"/>
      <c r="CF724" s="11"/>
    </row>
    <row r="725" spans="4:84" x14ac:dyDescent="0.25">
      <c r="D725" s="11"/>
      <c r="E725" s="11"/>
      <c r="F725" s="11"/>
      <c r="G725" s="11"/>
      <c r="H725" s="11"/>
      <c r="I725" s="11"/>
      <c r="J725" s="11"/>
      <c r="N725" s="11"/>
      <c r="O725" s="11"/>
      <c r="P725" s="11"/>
      <c r="Q725" s="11"/>
      <c r="R725" s="11"/>
      <c r="CB725" s="11"/>
      <c r="CE725" s="11"/>
      <c r="CF725" s="11"/>
    </row>
    <row r="726" spans="4:84" x14ac:dyDescent="0.25">
      <c r="D726" s="11"/>
      <c r="E726" s="11"/>
      <c r="F726" s="11"/>
      <c r="G726" s="11"/>
      <c r="H726" s="11"/>
      <c r="I726" s="11"/>
      <c r="J726" s="11"/>
      <c r="N726" s="11"/>
      <c r="O726" s="11"/>
      <c r="P726" s="11"/>
      <c r="Q726" s="11"/>
      <c r="R726" s="11"/>
      <c r="CB726" s="11"/>
      <c r="CE726" s="11"/>
      <c r="CF726" s="11"/>
    </row>
    <row r="727" spans="4:84" x14ac:dyDescent="0.25">
      <c r="D727" s="11"/>
      <c r="E727" s="11"/>
      <c r="F727" s="11"/>
      <c r="G727" s="11"/>
      <c r="H727" s="11"/>
      <c r="I727" s="11"/>
      <c r="J727" s="11"/>
      <c r="N727" s="11"/>
      <c r="O727" s="11"/>
      <c r="P727" s="11"/>
      <c r="Q727" s="11"/>
      <c r="R727" s="11"/>
      <c r="CB727" s="11"/>
      <c r="CE727" s="11"/>
      <c r="CF727" s="11"/>
    </row>
    <row r="728" spans="4:84" x14ac:dyDescent="0.25">
      <c r="D728" s="11"/>
      <c r="E728" s="11"/>
      <c r="F728" s="11"/>
      <c r="G728" s="11"/>
      <c r="H728" s="11"/>
      <c r="I728" s="11"/>
      <c r="J728" s="11"/>
      <c r="N728" s="11"/>
      <c r="O728" s="11"/>
      <c r="P728" s="11"/>
      <c r="Q728" s="11"/>
      <c r="R728" s="11"/>
      <c r="CB728" s="11"/>
      <c r="CE728" s="11"/>
      <c r="CF728" s="11"/>
    </row>
    <row r="729" spans="4:84" x14ac:dyDescent="0.25">
      <c r="D729" s="11"/>
      <c r="E729" s="11"/>
      <c r="F729" s="11"/>
      <c r="G729" s="11"/>
      <c r="H729" s="11"/>
      <c r="I729" s="11"/>
      <c r="J729" s="11"/>
      <c r="N729" s="11"/>
      <c r="O729" s="11"/>
      <c r="P729" s="11"/>
      <c r="Q729" s="11"/>
      <c r="R729" s="11"/>
      <c r="CB729" s="11"/>
      <c r="CE729" s="11"/>
      <c r="CF729" s="11"/>
    </row>
    <row r="730" spans="4:84" x14ac:dyDescent="0.25">
      <c r="D730" s="11"/>
      <c r="E730" s="11"/>
      <c r="F730" s="11"/>
      <c r="G730" s="11"/>
      <c r="H730" s="11"/>
      <c r="I730" s="11"/>
      <c r="J730" s="11"/>
      <c r="N730" s="11"/>
      <c r="O730" s="11"/>
      <c r="P730" s="11"/>
      <c r="Q730" s="11"/>
      <c r="R730" s="11"/>
      <c r="CB730" s="11"/>
      <c r="CE730" s="11"/>
      <c r="CF730" s="11"/>
    </row>
    <row r="731" spans="4:84" x14ac:dyDescent="0.25">
      <c r="D731" s="11"/>
      <c r="E731" s="11"/>
      <c r="F731" s="11"/>
      <c r="G731" s="11"/>
      <c r="H731" s="11"/>
      <c r="I731" s="11"/>
      <c r="J731" s="11"/>
      <c r="N731" s="11"/>
      <c r="O731" s="11"/>
      <c r="P731" s="11"/>
      <c r="Q731" s="11"/>
      <c r="R731" s="11"/>
      <c r="CB731" s="11"/>
      <c r="CE731" s="11"/>
      <c r="CF731" s="11"/>
    </row>
    <row r="732" spans="4:84" x14ac:dyDescent="0.25">
      <c r="D732" s="11"/>
      <c r="E732" s="11"/>
      <c r="F732" s="11"/>
      <c r="G732" s="11"/>
      <c r="H732" s="11"/>
      <c r="I732" s="11"/>
      <c r="J732" s="11"/>
      <c r="N732" s="11"/>
      <c r="O732" s="11"/>
      <c r="P732" s="11"/>
      <c r="Q732" s="11"/>
      <c r="R732" s="11"/>
      <c r="CB732" s="11"/>
      <c r="CE732" s="11"/>
      <c r="CF732" s="11"/>
    </row>
    <row r="733" spans="4:84" x14ac:dyDescent="0.25">
      <c r="D733" s="11"/>
      <c r="E733" s="11"/>
      <c r="F733" s="11"/>
      <c r="G733" s="11"/>
      <c r="H733" s="11"/>
      <c r="I733" s="11"/>
      <c r="J733" s="11"/>
      <c r="N733" s="11"/>
      <c r="O733" s="11"/>
      <c r="P733" s="11"/>
      <c r="Q733" s="11"/>
      <c r="R733" s="11"/>
      <c r="CB733" s="11"/>
      <c r="CE733" s="11"/>
      <c r="CF733" s="11"/>
    </row>
    <row r="734" spans="4:84" x14ac:dyDescent="0.25">
      <c r="D734" s="11"/>
      <c r="E734" s="11"/>
      <c r="F734" s="11"/>
      <c r="G734" s="11"/>
      <c r="H734" s="11"/>
      <c r="I734" s="11"/>
      <c r="J734" s="11"/>
      <c r="N734" s="11"/>
      <c r="O734" s="11"/>
      <c r="P734" s="11"/>
      <c r="Q734" s="11"/>
      <c r="R734" s="11"/>
      <c r="CB734" s="11"/>
      <c r="CE734" s="11"/>
      <c r="CF734" s="11"/>
    </row>
    <row r="735" spans="4:84" x14ac:dyDescent="0.25">
      <c r="D735" s="11"/>
      <c r="E735" s="11"/>
      <c r="F735" s="11"/>
      <c r="G735" s="11"/>
      <c r="H735" s="11"/>
      <c r="I735" s="11"/>
      <c r="J735" s="11"/>
      <c r="N735" s="11"/>
      <c r="O735" s="11"/>
      <c r="P735" s="11"/>
      <c r="Q735" s="11"/>
      <c r="R735" s="11"/>
      <c r="CB735" s="11"/>
      <c r="CE735" s="11"/>
      <c r="CF735" s="11"/>
    </row>
    <row r="736" spans="4:84" x14ac:dyDescent="0.25">
      <c r="D736" s="11"/>
      <c r="E736" s="11"/>
      <c r="F736" s="11"/>
      <c r="G736" s="11"/>
      <c r="H736" s="11"/>
      <c r="I736" s="11"/>
      <c r="J736" s="11"/>
      <c r="N736" s="11"/>
      <c r="O736" s="11"/>
      <c r="P736" s="11"/>
      <c r="Q736" s="11"/>
      <c r="R736" s="11"/>
      <c r="CB736" s="11"/>
      <c r="CE736" s="11"/>
      <c r="CF736" s="11"/>
    </row>
    <row r="737" spans="4:84" x14ac:dyDescent="0.25">
      <c r="D737" s="11"/>
      <c r="E737" s="11"/>
      <c r="F737" s="11"/>
      <c r="G737" s="11"/>
      <c r="H737" s="11"/>
      <c r="I737" s="11"/>
      <c r="J737" s="11"/>
      <c r="N737" s="11"/>
      <c r="O737" s="11"/>
      <c r="P737" s="11"/>
      <c r="Q737" s="11"/>
      <c r="R737" s="11"/>
      <c r="CB737" s="11"/>
      <c r="CE737" s="11"/>
      <c r="CF737" s="11"/>
    </row>
    <row r="738" spans="4:84" x14ac:dyDescent="0.25">
      <c r="D738" s="11"/>
      <c r="E738" s="11"/>
      <c r="F738" s="11"/>
      <c r="G738" s="11"/>
      <c r="H738" s="11"/>
      <c r="I738" s="11"/>
      <c r="J738" s="11"/>
      <c r="N738" s="11"/>
      <c r="O738" s="11"/>
      <c r="P738" s="11"/>
      <c r="Q738" s="11"/>
      <c r="R738" s="11"/>
      <c r="CB738" s="11"/>
      <c r="CE738" s="11"/>
      <c r="CF738" s="11"/>
    </row>
    <row r="739" spans="4:84" x14ac:dyDescent="0.25">
      <c r="D739" s="11"/>
      <c r="E739" s="11"/>
      <c r="F739" s="11"/>
      <c r="G739" s="11"/>
      <c r="H739" s="11"/>
      <c r="I739" s="11"/>
      <c r="J739" s="11"/>
      <c r="N739" s="11"/>
      <c r="O739" s="11"/>
      <c r="P739" s="11"/>
      <c r="Q739" s="11"/>
      <c r="R739" s="11"/>
      <c r="CB739" s="11"/>
      <c r="CE739" s="11"/>
      <c r="CF739" s="11"/>
    </row>
    <row r="740" spans="4:84" x14ac:dyDescent="0.25">
      <c r="D740" s="11"/>
      <c r="E740" s="11"/>
      <c r="F740" s="11"/>
      <c r="G740" s="11"/>
      <c r="H740" s="11"/>
      <c r="I740" s="11"/>
      <c r="J740" s="11"/>
      <c r="N740" s="11"/>
      <c r="O740" s="11"/>
      <c r="P740" s="11"/>
      <c r="Q740" s="11"/>
      <c r="R740" s="11"/>
      <c r="CB740" s="11"/>
      <c r="CE740" s="11"/>
      <c r="CF740" s="11"/>
    </row>
    <row r="741" spans="4:84" x14ac:dyDescent="0.25">
      <c r="D741" s="11"/>
      <c r="E741" s="11"/>
      <c r="F741" s="11"/>
      <c r="G741" s="11"/>
      <c r="H741" s="11"/>
      <c r="I741" s="11"/>
      <c r="J741" s="11"/>
      <c r="N741" s="11"/>
      <c r="O741" s="11"/>
      <c r="P741" s="11"/>
      <c r="Q741" s="11"/>
      <c r="R741" s="11"/>
      <c r="CB741" s="11"/>
      <c r="CE741" s="11"/>
      <c r="CF741" s="11"/>
    </row>
    <row r="742" spans="4:84" x14ac:dyDescent="0.25">
      <c r="D742" s="11"/>
      <c r="E742" s="11"/>
      <c r="F742" s="11"/>
      <c r="G742" s="11"/>
      <c r="H742" s="11"/>
      <c r="I742" s="11"/>
      <c r="J742" s="11"/>
      <c r="N742" s="11"/>
      <c r="O742" s="11"/>
      <c r="P742" s="11"/>
      <c r="Q742" s="11"/>
      <c r="R742" s="11"/>
      <c r="CB742" s="11"/>
      <c r="CE742" s="11"/>
      <c r="CF742" s="11"/>
    </row>
    <row r="743" spans="4:84" x14ac:dyDescent="0.25">
      <c r="D743" s="11"/>
      <c r="E743" s="11"/>
      <c r="F743" s="11"/>
      <c r="G743" s="11"/>
      <c r="H743" s="11"/>
      <c r="I743" s="11"/>
      <c r="J743" s="11"/>
      <c r="N743" s="11"/>
      <c r="O743" s="11"/>
      <c r="P743" s="11"/>
      <c r="Q743" s="11"/>
      <c r="R743" s="11"/>
      <c r="CB743" s="11"/>
      <c r="CE743" s="11"/>
      <c r="CF743" s="11"/>
    </row>
    <row r="744" spans="4:84" x14ac:dyDescent="0.25">
      <c r="D744" s="11"/>
      <c r="E744" s="11"/>
      <c r="F744" s="11"/>
      <c r="G744" s="11"/>
      <c r="H744" s="11"/>
      <c r="I744" s="11"/>
      <c r="J744" s="11"/>
      <c r="N744" s="11"/>
      <c r="O744" s="11"/>
      <c r="P744" s="11"/>
      <c r="Q744" s="11"/>
      <c r="R744" s="11"/>
      <c r="CB744" s="11"/>
      <c r="CE744" s="11"/>
      <c r="CF744" s="11"/>
    </row>
    <row r="745" spans="4:84" x14ac:dyDescent="0.25">
      <c r="D745" s="11"/>
      <c r="E745" s="11"/>
      <c r="F745" s="11"/>
      <c r="G745" s="11"/>
      <c r="H745" s="11"/>
      <c r="I745" s="11"/>
      <c r="J745" s="11"/>
      <c r="N745" s="11"/>
      <c r="O745" s="11"/>
      <c r="P745" s="11"/>
      <c r="Q745" s="11"/>
      <c r="R745" s="11"/>
      <c r="CB745" s="11"/>
      <c r="CE745" s="11"/>
      <c r="CF745" s="11"/>
    </row>
    <row r="746" spans="4:84" x14ac:dyDescent="0.25">
      <c r="D746" s="11"/>
      <c r="E746" s="11"/>
      <c r="F746" s="11"/>
      <c r="G746" s="11"/>
      <c r="H746" s="11"/>
      <c r="I746" s="11"/>
      <c r="J746" s="11"/>
      <c r="N746" s="11"/>
      <c r="O746" s="11"/>
      <c r="P746" s="11"/>
      <c r="Q746" s="11"/>
      <c r="R746" s="11"/>
      <c r="CB746" s="11"/>
      <c r="CE746" s="11"/>
      <c r="CF746" s="11"/>
    </row>
    <row r="747" spans="4:84" x14ac:dyDescent="0.25">
      <c r="D747" s="11"/>
      <c r="E747" s="11"/>
      <c r="F747" s="11"/>
      <c r="G747" s="11"/>
      <c r="H747" s="11"/>
      <c r="I747" s="11"/>
      <c r="J747" s="11"/>
      <c r="N747" s="11"/>
      <c r="O747" s="11"/>
      <c r="P747" s="11"/>
      <c r="Q747" s="11"/>
      <c r="R747" s="11"/>
      <c r="CB747" s="11"/>
      <c r="CE747" s="11"/>
      <c r="CF747" s="11"/>
    </row>
    <row r="748" spans="4:84" x14ac:dyDescent="0.25">
      <c r="D748" s="11"/>
      <c r="E748" s="11"/>
      <c r="F748" s="11"/>
      <c r="G748" s="11"/>
      <c r="H748" s="11"/>
      <c r="I748" s="11"/>
      <c r="J748" s="11"/>
      <c r="N748" s="11"/>
      <c r="O748" s="11"/>
      <c r="P748" s="11"/>
      <c r="Q748" s="11"/>
      <c r="R748" s="11"/>
      <c r="CB748" s="11"/>
      <c r="CE748" s="11"/>
      <c r="CF748" s="11"/>
    </row>
    <row r="749" spans="4:84" x14ac:dyDescent="0.25">
      <c r="D749" s="11"/>
      <c r="E749" s="11"/>
      <c r="F749" s="11"/>
      <c r="G749" s="11"/>
      <c r="H749" s="11"/>
      <c r="I749" s="11"/>
      <c r="J749" s="11"/>
      <c r="N749" s="11"/>
      <c r="O749" s="11"/>
      <c r="P749" s="11"/>
      <c r="Q749" s="11"/>
      <c r="R749" s="11"/>
      <c r="CB749" s="11"/>
      <c r="CE749" s="11"/>
      <c r="CF749" s="11"/>
    </row>
    <row r="750" spans="4:84" x14ac:dyDescent="0.25">
      <c r="D750" s="11"/>
      <c r="E750" s="11"/>
      <c r="F750" s="11"/>
      <c r="G750" s="11"/>
      <c r="H750" s="11"/>
      <c r="I750" s="11"/>
      <c r="J750" s="11"/>
      <c r="N750" s="11"/>
      <c r="O750" s="11"/>
      <c r="P750" s="11"/>
      <c r="Q750" s="11"/>
      <c r="R750" s="11"/>
      <c r="CB750" s="11"/>
      <c r="CE750" s="11"/>
      <c r="CF750" s="11"/>
    </row>
    <row r="751" spans="4:84" x14ac:dyDescent="0.25">
      <c r="D751" s="11"/>
      <c r="E751" s="11"/>
      <c r="F751" s="11"/>
      <c r="G751" s="11"/>
      <c r="H751" s="11"/>
      <c r="I751" s="11"/>
      <c r="J751" s="11"/>
      <c r="N751" s="11"/>
      <c r="O751" s="11"/>
      <c r="P751" s="11"/>
      <c r="Q751" s="11"/>
      <c r="R751" s="11"/>
      <c r="CB751" s="11"/>
      <c r="CE751" s="11"/>
      <c r="CF751" s="11"/>
    </row>
    <row r="752" spans="4:84" x14ac:dyDescent="0.25">
      <c r="D752" s="11"/>
      <c r="E752" s="11"/>
      <c r="F752" s="11"/>
      <c r="G752" s="11"/>
      <c r="H752" s="11"/>
      <c r="I752" s="11"/>
      <c r="J752" s="11"/>
      <c r="N752" s="11"/>
      <c r="O752" s="11"/>
      <c r="P752" s="11"/>
      <c r="Q752" s="11"/>
      <c r="R752" s="11"/>
      <c r="CB752" s="11"/>
      <c r="CE752" s="11"/>
      <c r="CF752" s="11"/>
    </row>
    <row r="753" spans="4:84" x14ac:dyDescent="0.25">
      <c r="D753" s="11"/>
      <c r="E753" s="11"/>
      <c r="F753" s="11"/>
      <c r="G753" s="11"/>
      <c r="H753" s="11"/>
      <c r="I753" s="11"/>
      <c r="J753" s="11"/>
      <c r="N753" s="11"/>
      <c r="O753" s="11"/>
      <c r="P753" s="11"/>
      <c r="Q753" s="11"/>
      <c r="R753" s="11"/>
      <c r="CB753" s="11"/>
      <c r="CE753" s="11"/>
      <c r="CF753" s="11"/>
    </row>
    <row r="754" spans="4:84" x14ac:dyDescent="0.25">
      <c r="D754" s="11"/>
      <c r="E754" s="11"/>
      <c r="F754" s="11"/>
      <c r="G754" s="11"/>
      <c r="H754" s="11"/>
      <c r="I754" s="11"/>
      <c r="J754" s="11"/>
      <c r="N754" s="11"/>
      <c r="O754" s="11"/>
      <c r="P754" s="11"/>
      <c r="Q754" s="11"/>
      <c r="R754" s="11"/>
      <c r="CB754" s="11"/>
      <c r="CE754" s="11"/>
      <c r="CF754" s="11"/>
    </row>
    <row r="755" spans="4:84" x14ac:dyDescent="0.25">
      <c r="D755" s="11"/>
      <c r="E755" s="11"/>
      <c r="F755" s="11"/>
      <c r="G755" s="11"/>
      <c r="H755" s="11"/>
      <c r="I755" s="11"/>
      <c r="J755" s="11"/>
      <c r="N755" s="11"/>
      <c r="O755" s="11"/>
      <c r="P755" s="11"/>
      <c r="Q755" s="11"/>
      <c r="R755" s="11"/>
      <c r="CB755" s="11"/>
      <c r="CE755" s="11"/>
      <c r="CF755" s="11"/>
    </row>
    <row r="756" spans="4:84" x14ac:dyDescent="0.25">
      <c r="D756" s="11"/>
      <c r="E756" s="11"/>
      <c r="F756" s="11"/>
      <c r="G756" s="11"/>
      <c r="H756" s="11"/>
      <c r="I756" s="11"/>
      <c r="J756" s="11"/>
      <c r="N756" s="11"/>
      <c r="O756" s="11"/>
      <c r="P756" s="11"/>
      <c r="Q756" s="11"/>
      <c r="R756" s="11"/>
      <c r="CB756" s="11"/>
      <c r="CE756" s="11"/>
      <c r="CF756" s="11"/>
    </row>
    <row r="757" spans="4:84" x14ac:dyDescent="0.25">
      <c r="D757" s="11"/>
      <c r="E757" s="11"/>
      <c r="F757" s="11"/>
      <c r="G757" s="11"/>
      <c r="H757" s="11"/>
      <c r="I757" s="11"/>
      <c r="J757" s="11"/>
      <c r="N757" s="11"/>
      <c r="O757" s="11"/>
      <c r="P757" s="11"/>
      <c r="Q757" s="11"/>
      <c r="R757" s="11"/>
      <c r="CB757" s="11"/>
      <c r="CE757" s="11"/>
      <c r="CF757" s="11"/>
    </row>
    <row r="758" spans="4:84" x14ac:dyDescent="0.25">
      <c r="D758" s="11"/>
      <c r="E758" s="11"/>
      <c r="F758" s="11"/>
      <c r="G758" s="11"/>
      <c r="H758" s="11"/>
      <c r="I758" s="11"/>
      <c r="J758" s="11"/>
      <c r="N758" s="11"/>
      <c r="O758" s="11"/>
      <c r="P758" s="11"/>
      <c r="Q758" s="11"/>
      <c r="R758" s="11"/>
      <c r="CB758" s="11"/>
      <c r="CE758" s="11"/>
      <c r="CF758" s="11"/>
    </row>
    <row r="759" spans="4:84" x14ac:dyDescent="0.25">
      <c r="D759" s="11"/>
      <c r="E759" s="11"/>
      <c r="F759" s="11"/>
      <c r="G759" s="11"/>
      <c r="H759" s="11"/>
      <c r="I759" s="11"/>
      <c r="J759" s="11"/>
      <c r="N759" s="11"/>
      <c r="O759" s="11"/>
      <c r="P759" s="11"/>
      <c r="Q759" s="11"/>
      <c r="R759" s="11"/>
      <c r="CB759" s="11"/>
      <c r="CE759" s="11"/>
      <c r="CF759" s="11"/>
    </row>
    <row r="760" spans="4:84" x14ac:dyDescent="0.25">
      <c r="D760" s="11"/>
      <c r="E760" s="11"/>
      <c r="F760" s="11"/>
      <c r="G760" s="11"/>
      <c r="H760" s="11"/>
      <c r="I760" s="11"/>
      <c r="J760" s="11"/>
      <c r="N760" s="11"/>
      <c r="O760" s="11"/>
      <c r="P760" s="11"/>
      <c r="Q760" s="11"/>
      <c r="R760" s="11"/>
      <c r="CB760" s="11"/>
      <c r="CE760" s="11"/>
      <c r="CF760" s="11"/>
    </row>
    <row r="761" spans="4:84" x14ac:dyDescent="0.25">
      <c r="D761" s="11"/>
      <c r="E761" s="11"/>
      <c r="F761" s="11"/>
      <c r="G761" s="11"/>
      <c r="H761" s="11"/>
      <c r="I761" s="11"/>
      <c r="J761" s="11"/>
      <c r="N761" s="11"/>
      <c r="O761" s="11"/>
      <c r="P761" s="11"/>
      <c r="Q761" s="11"/>
      <c r="R761" s="11"/>
      <c r="CB761" s="11"/>
      <c r="CE761" s="11"/>
      <c r="CF761" s="11"/>
    </row>
    <row r="762" spans="4:84" x14ac:dyDescent="0.25">
      <c r="D762" s="11"/>
      <c r="E762" s="11"/>
      <c r="F762" s="11"/>
      <c r="G762" s="11"/>
      <c r="H762" s="11"/>
      <c r="I762" s="11"/>
      <c r="J762" s="11"/>
      <c r="N762" s="11"/>
      <c r="O762" s="11"/>
      <c r="P762" s="11"/>
      <c r="Q762" s="11"/>
      <c r="R762" s="11"/>
      <c r="CB762" s="11"/>
      <c r="CE762" s="11"/>
      <c r="CF762" s="11"/>
    </row>
    <row r="763" spans="4:84" x14ac:dyDescent="0.25">
      <c r="D763" s="11"/>
      <c r="E763" s="11"/>
      <c r="F763" s="11"/>
      <c r="G763" s="11"/>
      <c r="H763" s="11"/>
      <c r="I763" s="11"/>
      <c r="J763" s="11"/>
      <c r="N763" s="11"/>
      <c r="O763" s="11"/>
      <c r="P763" s="11"/>
      <c r="Q763" s="11"/>
      <c r="R763" s="11"/>
      <c r="CB763" s="11"/>
      <c r="CE763" s="11"/>
      <c r="CF763" s="11"/>
    </row>
    <row r="764" spans="4:84" x14ac:dyDescent="0.25">
      <c r="D764" s="11"/>
      <c r="E764" s="11"/>
      <c r="F764" s="11"/>
      <c r="G764" s="11"/>
      <c r="H764" s="11"/>
      <c r="I764" s="11"/>
      <c r="J764" s="11"/>
      <c r="N764" s="11"/>
      <c r="O764" s="11"/>
      <c r="P764" s="11"/>
      <c r="Q764" s="11"/>
      <c r="R764" s="11"/>
      <c r="CB764" s="11"/>
      <c r="CE764" s="11"/>
      <c r="CF764" s="11"/>
    </row>
    <row r="765" spans="4:84" x14ac:dyDescent="0.25">
      <c r="D765" s="11"/>
      <c r="E765" s="11"/>
      <c r="F765" s="11"/>
      <c r="G765" s="11"/>
      <c r="H765" s="11"/>
      <c r="I765" s="11"/>
      <c r="J765" s="11"/>
      <c r="N765" s="11"/>
      <c r="O765" s="11"/>
      <c r="P765" s="11"/>
      <c r="Q765" s="11"/>
      <c r="R765" s="11"/>
      <c r="CB765" s="11"/>
      <c r="CE765" s="11"/>
      <c r="CF765" s="11"/>
    </row>
    <row r="766" spans="4:84" x14ac:dyDescent="0.25">
      <c r="D766" s="11"/>
      <c r="E766" s="11"/>
      <c r="F766" s="11"/>
      <c r="G766" s="11"/>
      <c r="H766" s="11"/>
      <c r="I766" s="11"/>
      <c r="J766" s="11"/>
      <c r="N766" s="11"/>
      <c r="O766" s="11"/>
      <c r="P766" s="11"/>
      <c r="Q766" s="11"/>
      <c r="R766" s="11"/>
      <c r="CB766" s="11"/>
      <c r="CE766" s="11"/>
      <c r="CF766" s="11"/>
    </row>
    <row r="767" spans="4:84" x14ac:dyDescent="0.25">
      <c r="D767" s="11"/>
      <c r="E767" s="11"/>
      <c r="F767" s="11"/>
      <c r="G767" s="11"/>
      <c r="H767" s="11"/>
      <c r="I767" s="11"/>
      <c r="J767" s="11"/>
      <c r="N767" s="11"/>
      <c r="O767" s="11"/>
      <c r="P767" s="11"/>
      <c r="Q767" s="11"/>
      <c r="R767" s="11"/>
      <c r="CB767" s="11"/>
      <c r="CE767" s="11"/>
      <c r="CF767" s="11"/>
    </row>
    <row r="768" spans="4:84" x14ac:dyDescent="0.25">
      <c r="D768" s="11"/>
      <c r="E768" s="11"/>
      <c r="F768" s="11"/>
      <c r="G768" s="11"/>
      <c r="H768" s="11"/>
      <c r="I768" s="11"/>
      <c r="J768" s="11"/>
      <c r="N768" s="11"/>
      <c r="O768" s="11"/>
      <c r="P768" s="11"/>
      <c r="Q768" s="11"/>
      <c r="R768" s="11"/>
      <c r="CB768" s="11"/>
      <c r="CE768" s="11"/>
      <c r="CF768" s="11"/>
    </row>
    <row r="769" spans="4:84" x14ac:dyDescent="0.25">
      <c r="D769" s="11"/>
      <c r="E769" s="11"/>
      <c r="F769" s="11"/>
      <c r="G769" s="11"/>
      <c r="H769" s="11"/>
      <c r="I769" s="11"/>
      <c r="J769" s="11"/>
      <c r="N769" s="11"/>
      <c r="O769" s="11"/>
      <c r="P769" s="11"/>
      <c r="Q769" s="11"/>
      <c r="R769" s="11"/>
      <c r="CB769" s="11"/>
      <c r="CE769" s="11"/>
      <c r="CF769" s="11"/>
    </row>
    <row r="770" spans="4:84" x14ac:dyDescent="0.25">
      <c r="D770" s="11"/>
      <c r="E770" s="11"/>
      <c r="F770" s="11"/>
      <c r="G770" s="11"/>
      <c r="H770" s="11"/>
      <c r="I770" s="11"/>
      <c r="J770" s="11"/>
      <c r="N770" s="11"/>
      <c r="O770" s="11"/>
      <c r="P770" s="11"/>
      <c r="Q770" s="11"/>
      <c r="R770" s="11"/>
      <c r="CB770" s="11"/>
      <c r="CE770" s="11"/>
      <c r="CF770" s="11"/>
    </row>
    <row r="771" spans="4:84" x14ac:dyDescent="0.25">
      <c r="D771" s="11"/>
      <c r="E771" s="11"/>
      <c r="F771" s="11"/>
      <c r="G771" s="11"/>
      <c r="H771" s="11"/>
      <c r="I771" s="11"/>
      <c r="J771" s="11"/>
      <c r="N771" s="11"/>
      <c r="O771" s="11"/>
      <c r="P771" s="11"/>
      <c r="Q771" s="11"/>
      <c r="R771" s="11"/>
      <c r="CB771" s="11"/>
      <c r="CE771" s="11"/>
      <c r="CF771" s="11"/>
    </row>
    <row r="772" spans="4:84" x14ac:dyDescent="0.25">
      <c r="D772" s="11"/>
      <c r="E772" s="11"/>
      <c r="F772" s="11"/>
      <c r="G772" s="11"/>
      <c r="H772" s="11"/>
      <c r="I772" s="11"/>
      <c r="J772" s="11"/>
      <c r="N772" s="11"/>
      <c r="O772" s="11"/>
      <c r="P772" s="11"/>
      <c r="Q772" s="11"/>
      <c r="R772" s="11"/>
      <c r="CB772" s="11"/>
      <c r="CE772" s="11"/>
      <c r="CF772" s="11"/>
    </row>
    <row r="773" spans="4:84" x14ac:dyDescent="0.25">
      <c r="D773" s="11"/>
      <c r="E773" s="11"/>
      <c r="F773" s="11"/>
      <c r="G773" s="11"/>
      <c r="H773" s="11"/>
      <c r="I773" s="11"/>
      <c r="J773" s="11"/>
      <c r="N773" s="11"/>
      <c r="O773" s="11"/>
      <c r="P773" s="11"/>
      <c r="Q773" s="11"/>
      <c r="R773" s="11"/>
      <c r="CB773" s="11"/>
      <c r="CE773" s="11"/>
      <c r="CF773" s="11"/>
    </row>
    <row r="774" spans="4:84" x14ac:dyDescent="0.25">
      <c r="D774" s="11"/>
      <c r="E774" s="11"/>
      <c r="F774" s="11"/>
      <c r="G774" s="11"/>
      <c r="H774" s="11"/>
      <c r="I774" s="11"/>
      <c r="J774" s="11"/>
      <c r="N774" s="11"/>
      <c r="O774" s="11"/>
      <c r="P774" s="11"/>
      <c r="Q774" s="11"/>
      <c r="R774" s="11"/>
      <c r="CB774" s="11"/>
      <c r="CE774" s="11"/>
      <c r="CF774" s="11"/>
    </row>
    <row r="775" spans="4:84" x14ac:dyDescent="0.25">
      <c r="D775" s="11"/>
      <c r="E775" s="11"/>
      <c r="F775" s="11"/>
      <c r="G775" s="11"/>
      <c r="H775" s="11"/>
      <c r="I775" s="11"/>
      <c r="J775" s="11"/>
      <c r="N775" s="11"/>
      <c r="O775" s="11"/>
      <c r="P775" s="11"/>
      <c r="Q775" s="11"/>
      <c r="R775" s="11"/>
      <c r="CB775" s="11"/>
      <c r="CE775" s="11"/>
      <c r="CF775" s="11"/>
    </row>
    <row r="776" spans="4:84" x14ac:dyDescent="0.25">
      <c r="D776" s="11"/>
      <c r="E776" s="11"/>
      <c r="F776" s="11"/>
      <c r="G776" s="11"/>
      <c r="H776" s="11"/>
      <c r="I776" s="11"/>
      <c r="J776" s="11"/>
      <c r="N776" s="11"/>
      <c r="O776" s="11"/>
      <c r="P776" s="11"/>
      <c r="Q776" s="11"/>
      <c r="R776" s="11"/>
      <c r="CB776" s="11"/>
      <c r="CE776" s="11"/>
      <c r="CF776" s="11"/>
    </row>
    <row r="777" spans="4:84" x14ac:dyDescent="0.25">
      <c r="D777" s="11"/>
      <c r="E777" s="11"/>
      <c r="F777" s="11"/>
      <c r="G777" s="11"/>
      <c r="H777" s="11"/>
      <c r="I777" s="11"/>
      <c r="J777" s="11"/>
      <c r="N777" s="11"/>
      <c r="O777" s="11"/>
      <c r="P777" s="11"/>
      <c r="Q777" s="11"/>
      <c r="R777" s="11"/>
      <c r="CB777" s="11"/>
      <c r="CE777" s="11"/>
      <c r="CF777" s="11"/>
    </row>
    <row r="778" spans="4:84" x14ac:dyDescent="0.25">
      <c r="D778" s="11"/>
      <c r="E778" s="11"/>
      <c r="F778" s="11"/>
      <c r="G778" s="11"/>
      <c r="H778" s="11"/>
      <c r="I778" s="11"/>
      <c r="J778" s="11"/>
      <c r="N778" s="11"/>
      <c r="O778" s="11"/>
      <c r="P778" s="11"/>
      <c r="Q778" s="11"/>
      <c r="R778" s="11"/>
      <c r="CB778" s="11"/>
      <c r="CE778" s="11"/>
      <c r="CF778" s="11"/>
    </row>
    <row r="779" spans="4:84" x14ac:dyDescent="0.25">
      <c r="D779" s="11"/>
      <c r="E779" s="11"/>
      <c r="F779" s="11"/>
      <c r="G779" s="11"/>
      <c r="H779" s="11"/>
      <c r="I779" s="11"/>
      <c r="J779" s="11"/>
      <c r="N779" s="11"/>
      <c r="O779" s="11"/>
      <c r="P779" s="11"/>
      <c r="Q779" s="11"/>
      <c r="R779" s="11"/>
      <c r="CB779" s="11"/>
      <c r="CE779" s="11"/>
      <c r="CF779" s="11"/>
    </row>
    <row r="780" spans="4:84" x14ac:dyDescent="0.25">
      <c r="D780" s="11"/>
      <c r="E780" s="11"/>
      <c r="F780" s="11"/>
      <c r="G780" s="11"/>
      <c r="H780" s="11"/>
      <c r="I780" s="11"/>
      <c r="J780" s="11"/>
      <c r="N780" s="11"/>
      <c r="O780" s="11"/>
      <c r="P780" s="11"/>
      <c r="Q780" s="11"/>
      <c r="R780" s="11"/>
      <c r="CB780" s="11"/>
      <c r="CE780" s="11"/>
      <c r="CF780" s="11"/>
    </row>
    <row r="781" spans="4:84" x14ac:dyDescent="0.25">
      <c r="D781" s="11"/>
      <c r="E781" s="11"/>
      <c r="F781" s="11"/>
      <c r="G781" s="11"/>
      <c r="H781" s="11"/>
      <c r="I781" s="11"/>
      <c r="J781" s="11"/>
      <c r="N781" s="11"/>
      <c r="O781" s="11"/>
      <c r="P781" s="11"/>
      <c r="Q781" s="11"/>
      <c r="R781" s="11"/>
      <c r="CB781" s="11"/>
      <c r="CE781" s="11"/>
      <c r="CF781" s="11"/>
    </row>
    <row r="782" spans="4:84" x14ac:dyDescent="0.25">
      <c r="D782" s="11"/>
      <c r="E782" s="11"/>
      <c r="F782" s="11"/>
      <c r="G782" s="11"/>
      <c r="H782" s="11"/>
      <c r="I782" s="11"/>
      <c r="J782" s="11"/>
      <c r="N782" s="11"/>
      <c r="O782" s="11"/>
      <c r="P782" s="11"/>
      <c r="Q782" s="11"/>
      <c r="R782" s="11"/>
      <c r="CB782" s="11"/>
      <c r="CE782" s="11"/>
      <c r="CF782" s="11"/>
    </row>
    <row r="783" spans="4:84" x14ac:dyDescent="0.25">
      <c r="D783" s="11"/>
      <c r="E783" s="11"/>
      <c r="F783" s="11"/>
      <c r="G783" s="11"/>
      <c r="H783" s="11"/>
      <c r="I783" s="11"/>
      <c r="J783" s="11"/>
      <c r="N783" s="11"/>
      <c r="O783" s="11"/>
      <c r="P783" s="11"/>
      <c r="Q783" s="11"/>
      <c r="R783" s="11"/>
      <c r="CB783" s="11"/>
      <c r="CE783" s="11"/>
      <c r="CF783" s="11"/>
    </row>
    <row r="784" spans="4:84" x14ac:dyDescent="0.25">
      <c r="D784" s="11"/>
      <c r="E784" s="11"/>
      <c r="F784" s="11"/>
      <c r="G784" s="11"/>
      <c r="H784" s="11"/>
      <c r="I784" s="11"/>
      <c r="J784" s="11"/>
      <c r="N784" s="11"/>
      <c r="O784" s="11"/>
      <c r="P784" s="11"/>
      <c r="Q784" s="11"/>
      <c r="R784" s="11"/>
      <c r="CB784" s="11"/>
      <c r="CE784" s="11"/>
      <c r="CF784" s="11"/>
    </row>
    <row r="785" spans="4:84" x14ac:dyDescent="0.25">
      <c r="D785" s="11"/>
      <c r="E785" s="11"/>
      <c r="F785" s="11"/>
      <c r="G785" s="11"/>
      <c r="H785" s="11"/>
      <c r="I785" s="11"/>
      <c r="J785" s="11"/>
      <c r="N785" s="11"/>
      <c r="O785" s="11"/>
      <c r="P785" s="11"/>
      <c r="Q785" s="11"/>
      <c r="R785" s="11"/>
      <c r="CB785" s="11"/>
      <c r="CE785" s="11"/>
      <c r="CF785" s="11"/>
    </row>
    <row r="786" spans="4:84" x14ac:dyDescent="0.25">
      <c r="D786" s="11"/>
      <c r="E786" s="11"/>
      <c r="F786" s="11"/>
      <c r="G786" s="11"/>
      <c r="H786" s="11"/>
      <c r="I786" s="11"/>
      <c r="J786" s="11"/>
      <c r="N786" s="11"/>
      <c r="O786" s="11"/>
      <c r="P786" s="11"/>
      <c r="Q786" s="11"/>
      <c r="R786" s="11"/>
      <c r="CB786" s="11"/>
      <c r="CE786" s="11"/>
      <c r="CF786" s="11"/>
    </row>
    <row r="787" spans="4:84" x14ac:dyDescent="0.25">
      <c r="D787" s="11"/>
      <c r="E787" s="11"/>
      <c r="F787" s="11"/>
      <c r="G787" s="11"/>
      <c r="H787" s="11"/>
      <c r="I787" s="11"/>
      <c r="J787" s="11"/>
      <c r="N787" s="11"/>
      <c r="O787" s="11"/>
      <c r="P787" s="11"/>
      <c r="Q787" s="11"/>
      <c r="R787" s="11"/>
      <c r="CB787" s="11"/>
      <c r="CE787" s="11"/>
      <c r="CF787" s="11"/>
    </row>
    <row r="788" spans="4:84" x14ac:dyDescent="0.25">
      <c r="D788" s="11"/>
      <c r="E788" s="11"/>
      <c r="F788" s="11"/>
      <c r="G788" s="11"/>
      <c r="H788" s="11"/>
      <c r="I788" s="11"/>
      <c r="J788" s="11"/>
      <c r="N788" s="11"/>
      <c r="O788" s="11"/>
      <c r="P788" s="11"/>
      <c r="Q788" s="11"/>
      <c r="R788" s="11"/>
      <c r="CB788" s="11"/>
      <c r="CE788" s="11"/>
      <c r="CF788" s="11"/>
    </row>
    <row r="789" spans="4:84" x14ac:dyDescent="0.25">
      <c r="D789" s="11"/>
      <c r="E789" s="11"/>
      <c r="F789" s="11"/>
      <c r="G789" s="11"/>
      <c r="H789" s="11"/>
      <c r="I789" s="11"/>
      <c r="J789" s="11"/>
      <c r="N789" s="11"/>
      <c r="O789" s="11"/>
      <c r="P789" s="11"/>
      <c r="Q789" s="11"/>
      <c r="R789" s="11"/>
      <c r="CB789" s="11"/>
      <c r="CE789" s="11"/>
      <c r="CF789" s="11"/>
    </row>
    <row r="790" spans="4:84" x14ac:dyDescent="0.25">
      <c r="D790" s="11"/>
      <c r="E790" s="11"/>
      <c r="F790" s="11"/>
      <c r="G790" s="11"/>
      <c r="H790" s="11"/>
      <c r="I790" s="11"/>
      <c r="J790" s="11"/>
      <c r="N790" s="11"/>
      <c r="O790" s="11"/>
      <c r="P790" s="11"/>
      <c r="Q790" s="11"/>
      <c r="R790" s="11"/>
      <c r="CB790" s="11"/>
      <c r="CE790" s="11"/>
      <c r="CF790" s="11"/>
    </row>
    <row r="791" spans="4:84" x14ac:dyDescent="0.25">
      <c r="D791" s="11"/>
      <c r="E791" s="11"/>
      <c r="F791" s="11"/>
      <c r="G791" s="11"/>
      <c r="H791" s="11"/>
      <c r="I791" s="11"/>
      <c r="J791" s="11"/>
      <c r="N791" s="11"/>
      <c r="O791" s="11"/>
      <c r="P791" s="11"/>
      <c r="Q791" s="11"/>
      <c r="R791" s="11"/>
      <c r="CB791" s="11"/>
      <c r="CE791" s="11"/>
      <c r="CF791" s="11"/>
    </row>
    <row r="792" spans="4:84" x14ac:dyDescent="0.25">
      <c r="D792" s="11"/>
      <c r="E792" s="11"/>
      <c r="F792" s="11"/>
      <c r="G792" s="11"/>
      <c r="H792" s="11"/>
      <c r="I792" s="11"/>
      <c r="J792" s="11"/>
      <c r="N792" s="11"/>
      <c r="O792" s="11"/>
      <c r="P792" s="11"/>
      <c r="Q792" s="11"/>
      <c r="R792" s="11"/>
      <c r="CB792" s="11"/>
      <c r="CE792" s="11"/>
      <c r="CF792" s="11"/>
    </row>
    <row r="793" spans="4:84" x14ac:dyDescent="0.25">
      <c r="D793" s="11"/>
      <c r="E793" s="11"/>
      <c r="F793" s="11"/>
      <c r="G793" s="11"/>
      <c r="H793" s="11"/>
      <c r="I793" s="11"/>
      <c r="J793" s="11"/>
      <c r="N793" s="11"/>
      <c r="O793" s="11"/>
      <c r="P793" s="11"/>
      <c r="Q793" s="11"/>
      <c r="R793" s="11"/>
      <c r="CB793" s="11"/>
      <c r="CE793" s="11"/>
      <c r="CF793" s="11"/>
    </row>
    <row r="794" spans="4:84" x14ac:dyDescent="0.25">
      <c r="D794" s="11"/>
      <c r="E794" s="11"/>
      <c r="F794" s="11"/>
      <c r="G794" s="11"/>
      <c r="H794" s="11"/>
      <c r="I794" s="11"/>
      <c r="J794" s="11"/>
      <c r="N794" s="11"/>
      <c r="O794" s="11"/>
      <c r="P794" s="11"/>
      <c r="Q794" s="11"/>
      <c r="R794" s="11"/>
      <c r="CB794" s="11"/>
      <c r="CE794" s="11"/>
      <c r="CF794" s="11"/>
    </row>
    <row r="795" spans="4:84" x14ac:dyDescent="0.25">
      <c r="D795" s="11"/>
      <c r="E795" s="11"/>
      <c r="F795" s="11"/>
      <c r="G795" s="11"/>
      <c r="H795" s="11"/>
      <c r="I795" s="11"/>
      <c r="J795" s="11"/>
      <c r="N795" s="11"/>
      <c r="O795" s="11"/>
      <c r="P795" s="11"/>
      <c r="Q795" s="11"/>
      <c r="R795" s="11"/>
      <c r="CB795" s="11"/>
      <c r="CE795" s="11"/>
      <c r="CF795" s="11"/>
    </row>
    <row r="796" spans="4:84" x14ac:dyDescent="0.25">
      <c r="D796" s="11"/>
      <c r="E796" s="11"/>
      <c r="F796" s="11"/>
      <c r="G796" s="11"/>
      <c r="H796" s="11"/>
      <c r="I796" s="11"/>
      <c r="J796" s="11"/>
      <c r="N796" s="11"/>
      <c r="O796" s="11"/>
      <c r="P796" s="11"/>
      <c r="Q796" s="11"/>
      <c r="R796" s="11"/>
      <c r="CB796" s="11"/>
      <c r="CE796" s="11"/>
      <c r="CF796" s="11"/>
    </row>
    <row r="797" spans="4:84" x14ac:dyDescent="0.25">
      <c r="D797" s="11"/>
      <c r="E797" s="11"/>
      <c r="F797" s="11"/>
      <c r="G797" s="11"/>
      <c r="H797" s="11"/>
      <c r="I797" s="11"/>
      <c r="J797" s="11"/>
      <c r="N797" s="11"/>
      <c r="O797" s="11"/>
      <c r="P797" s="11"/>
      <c r="Q797" s="11"/>
      <c r="R797" s="11"/>
      <c r="CB797" s="11"/>
      <c r="CE797" s="11"/>
      <c r="CF797" s="11"/>
    </row>
    <row r="798" spans="4:84" x14ac:dyDescent="0.25">
      <c r="D798" s="11"/>
      <c r="E798" s="11"/>
      <c r="F798" s="11"/>
      <c r="G798" s="11"/>
      <c r="H798" s="11"/>
      <c r="I798" s="11"/>
      <c r="J798" s="11"/>
      <c r="N798" s="11"/>
      <c r="O798" s="11"/>
      <c r="P798" s="11"/>
      <c r="Q798" s="11"/>
      <c r="R798" s="11"/>
      <c r="CB798" s="11"/>
      <c r="CE798" s="11"/>
      <c r="CF798" s="11"/>
    </row>
    <row r="799" spans="4:84" x14ac:dyDescent="0.25">
      <c r="D799" s="11"/>
      <c r="E799" s="11"/>
      <c r="F799" s="11"/>
      <c r="G799" s="11"/>
      <c r="H799" s="11"/>
      <c r="I799" s="11"/>
      <c r="J799" s="11"/>
      <c r="N799" s="11"/>
      <c r="O799" s="11"/>
      <c r="P799" s="11"/>
      <c r="Q799" s="11"/>
      <c r="R799" s="11"/>
      <c r="CB799" s="11"/>
      <c r="CE799" s="11"/>
      <c r="CF799" s="11"/>
    </row>
    <row r="800" spans="4:84" x14ac:dyDescent="0.25">
      <c r="D800" s="11"/>
      <c r="E800" s="11"/>
      <c r="F800" s="11"/>
      <c r="G800" s="11"/>
      <c r="H800" s="11"/>
      <c r="I800" s="11"/>
      <c r="J800" s="11"/>
      <c r="N800" s="11"/>
      <c r="O800" s="11"/>
      <c r="P800" s="11"/>
      <c r="Q800" s="11"/>
      <c r="R800" s="11"/>
      <c r="CB800" s="11"/>
      <c r="CE800" s="11"/>
      <c r="CF800" s="11"/>
    </row>
    <row r="801" spans="4:84" x14ac:dyDescent="0.25">
      <c r="D801" s="11"/>
      <c r="E801" s="11"/>
      <c r="F801" s="11"/>
      <c r="G801" s="11"/>
      <c r="H801" s="11"/>
      <c r="I801" s="11"/>
      <c r="J801" s="11"/>
      <c r="N801" s="11"/>
      <c r="O801" s="11"/>
      <c r="P801" s="11"/>
      <c r="Q801" s="11"/>
      <c r="R801" s="11"/>
      <c r="CB801" s="11"/>
      <c r="CE801" s="11"/>
      <c r="CF801" s="11"/>
    </row>
    <row r="802" spans="4:84" x14ac:dyDescent="0.25">
      <c r="D802" s="11"/>
      <c r="E802" s="11"/>
      <c r="F802" s="11"/>
      <c r="G802" s="11"/>
      <c r="H802" s="11"/>
      <c r="I802" s="11"/>
      <c r="J802" s="11"/>
      <c r="N802" s="11"/>
      <c r="O802" s="11"/>
      <c r="P802" s="11"/>
      <c r="Q802" s="11"/>
      <c r="R802" s="11"/>
      <c r="CB802" s="11"/>
      <c r="CE802" s="11"/>
      <c r="CF802" s="11"/>
    </row>
    <row r="803" spans="4:84" x14ac:dyDescent="0.25">
      <c r="D803" s="11"/>
      <c r="E803" s="11"/>
      <c r="F803" s="11"/>
      <c r="G803" s="11"/>
      <c r="H803" s="11"/>
      <c r="I803" s="11"/>
      <c r="J803" s="11"/>
      <c r="N803" s="11"/>
      <c r="O803" s="11"/>
      <c r="P803" s="11"/>
      <c r="Q803" s="11"/>
      <c r="R803" s="11"/>
      <c r="CB803" s="11"/>
      <c r="CE803" s="11"/>
      <c r="CF803" s="11"/>
    </row>
    <row r="804" spans="4:84" x14ac:dyDescent="0.25">
      <c r="D804" s="11"/>
      <c r="E804" s="11"/>
      <c r="F804" s="11"/>
      <c r="G804" s="11"/>
      <c r="H804" s="11"/>
      <c r="I804" s="11"/>
      <c r="J804" s="11"/>
      <c r="N804" s="11"/>
      <c r="O804" s="11"/>
      <c r="P804" s="11"/>
      <c r="Q804" s="11"/>
      <c r="R804" s="11"/>
      <c r="CB804" s="11"/>
      <c r="CE804" s="11"/>
      <c r="CF804" s="11"/>
    </row>
    <row r="805" spans="4:84" x14ac:dyDescent="0.25">
      <c r="D805" s="11"/>
      <c r="E805" s="11"/>
      <c r="F805" s="11"/>
      <c r="G805" s="11"/>
      <c r="H805" s="11"/>
      <c r="I805" s="11"/>
      <c r="J805" s="11"/>
      <c r="N805" s="11"/>
      <c r="O805" s="11"/>
      <c r="P805" s="11"/>
      <c r="Q805" s="11"/>
      <c r="R805" s="11"/>
      <c r="CB805" s="11"/>
      <c r="CE805" s="11"/>
      <c r="CF805" s="11"/>
    </row>
    <row r="806" spans="4:84" x14ac:dyDescent="0.25">
      <c r="D806" s="11"/>
      <c r="E806" s="11"/>
      <c r="F806" s="11"/>
      <c r="G806" s="11"/>
      <c r="H806" s="11"/>
      <c r="I806" s="11"/>
      <c r="J806" s="11"/>
      <c r="N806" s="11"/>
      <c r="O806" s="11"/>
      <c r="P806" s="11"/>
      <c r="Q806" s="11"/>
      <c r="R806" s="11"/>
      <c r="CB806" s="11"/>
      <c r="CE806" s="11"/>
      <c r="CF806" s="11"/>
    </row>
    <row r="807" spans="4:84" x14ac:dyDescent="0.25">
      <c r="D807" s="11"/>
      <c r="E807" s="11"/>
      <c r="F807" s="11"/>
      <c r="G807" s="11"/>
      <c r="H807" s="11"/>
      <c r="I807" s="11"/>
      <c r="J807" s="11"/>
      <c r="N807" s="11"/>
      <c r="O807" s="11"/>
      <c r="P807" s="11"/>
      <c r="Q807" s="11"/>
      <c r="R807" s="11"/>
      <c r="CB807" s="11"/>
      <c r="CE807" s="11"/>
      <c r="CF807" s="11"/>
    </row>
    <row r="808" spans="4:84" x14ac:dyDescent="0.25">
      <c r="D808" s="11"/>
      <c r="E808" s="11"/>
      <c r="F808" s="11"/>
      <c r="G808" s="11"/>
      <c r="H808" s="11"/>
      <c r="I808" s="11"/>
      <c r="J808" s="11"/>
      <c r="N808" s="11"/>
      <c r="O808" s="11"/>
      <c r="P808" s="11"/>
      <c r="Q808" s="11"/>
      <c r="R808" s="11"/>
      <c r="CB808" s="11"/>
      <c r="CE808" s="11"/>
      <c r="CF808" s="11"/>
    </row>
    <row r="809" spans="4:84" x14ac:dyDescent="0.25">
      <c r="D809" s="11"/>
      <c r="E809" s="11"/>
      <c r="F809" s="11"/>
      <c r="G809" s="11"/>
      <c r="H809" s="11"/>
      <c r="I809" s="11"/>
      <c r="J809" s="11"/>
      <c r="N809" s="11"/>
      <c r="O809" s="11"/>
      <c r="P809" s="11"/>
      <c r="Q809" s="11"/>
      <c r="R809" s="11"/>
      <c r="CB809" s="11"/>
      <c r="CE809" s="11"/>
      <c r="CF809" s="11"/>
    </row>
    <row r="810" spans="4:84" x14ac:dyDescent="0.25">
      <c r="D810" s="11"/>
      <c r="E810" s="11"/>
      <c r="F810" s="11"/>
      <c r="G810" s="11"/>
      <c r="H810" s="11"/>
      <c r="I810" s="11"/>
      <c r="J810" s="11"/>
      <c r="N810" s="11"/>
      <c r="O810" s="11"/>
      <c r="P810" s="11"/>
      <c r="Q810" s="11"/>
      <c r="R810" s="11"/>
      <c r="CB810" s="11"/>
      <c r="CE810" s="11"/>
      <c r="CF810" s="11"/>
    </row>
    <row r="811" spans="4:84" x14ac:dyDescent="0.25">
      <c r="D811" s="11"/>
      <c r="E811" s="11"/>
      <c r="F811" s="11"/>
      <c r="G811" s="11"/>
      <c r="H811" s="11"/>
      <c r="I811" s="11"/>
      <c r="J811" s="11"/>
      <c r="N811" s="11"/>
      <c r="O811" s="11"/>
      <c r="P811" s="11"/>
      <c r="Q811" s="11"/>
      <c r="R811" s="11"/>
      <c r="CB811" s="11"/>
      <c r="CE811" s="11"/>
      <c r="CF811" s="11"/>
    </row>
    <row r="812" spans="4:84" x14ac:dyDescent="0.25">
      <c r="D812" s="11"/>
      <c r="E812" s="11"/>
      <c r="F812" s="11"/>
      <c r="G812" s="11"/>
      <c r="H812" s="11"/>
      <c r="I812" s="11"/>
      <c r="J812" s="11"/>
      <c r="N812" s="11"/>
      <c r="O812" s="11"/>
      <c r="P812" s="11"/>
      <c r="Q812" s="11"/>
      <c r="R812" s="11"/>
      <c r="CB812" s="11"/>
      <c r="CE812" s="11"/>
      <c r="CF812" s="11"/>
    </row>
    <row r="813" spans="4:84" x14ac:dyDescent="0.25">
      <c r="D813" s="11"/>
      <c r="E813" s="11"/>
      <c r="F813" s="11"/>
      <c r="G813" s="11"/>
      <c r="H813" s="11"/>
      <c r="I813" s="11"/>
      <c r="J813" s="11"/>
      <c r="N813" s="11"/>
      <c r="O813" s="11"/>
      <c r="P813" s="11"/>
      <c r="Q813" s="11"/>
      <c r="R813" s="11"/>
      <c r="CB813" s="11"/>
      <c r="CE813" s="11"/>
      <c r="CF813" s="11"/>
    </row>
    <row r="814" spans="4:84" x14ac:dyDescent="0.25">
      <c r="D814" s="11"/>
      <c r="E814" s="11"/>
      <c r="F814" s="11"/>
      <c r="G814" s="11"/>
      <c r="H814" s="11"/>
      <c r="I814" s="11"/>
      <c r="J814" s="11"/>
      <c r="N814" s="11"/>
      <c r="O814" s="11"/>
      <c r="P814" s="11"/>
      <c r="Q814" s="11"/>
      <c r="R814" s="11"/>
      <c r="CB814" s="11"/>
      <c r="CE814" s="11"/>
      <c r="CF814" s="11"/>
    </row>
    <row r="815" spans="4:84" x14ac:dyDescent="0.25">
      <c r="D815" s="11"/>
      <c r="E815" s="11"/>
      <c r="F815" s="11"/>
      <c r="G815" s="11"/>
      <c r="H815" s="11"/>
      <c r="I815" s="11"/>
      <c r="J815" s="11"/>
      <c r="N815" s="11"/>
      <c r="O815" s="11"/>
      <c r="P815" s="11"/>
      <c r="Q815" s="11"/>
      <c r="R815" s="11"/>
      <c r="CB815" s="11"/>
      <c r="CE815" s="11"/>
      <c r="CF815" s="11"/>
    </row>
    <row r="816" spans="4:84" x14ac:dyDescent="0.25">
      <c r="D816" s="11"/>
      <c r="E816" s="11"/>
      <c r="F816" s="11"/>
      <c r="G816" s="11"/>
      <c r="H816" s="11"/>
      <c r="I816" s="11"/>
      <c r="J816" s="11"/>
      <c r="N816" s="11"/>
      <c r="O816" s="11"/>
      <c r="P816" s="11"/>
      <c r="Q816" s="11"/>
      <c r="R816" s="11"/>
      <c r="CB816" s="11"/>
      <c r="CE816" s="11"/>
      <c r="CF816" s="11"/>
    </row>
    <row r="817" spans="4:84" x14ac:dyDescent="0.25">
      <c r="D817" s="11"/>
      <c r="E817" s="11"/>
      <c r="F817" s="11"/>
      <c r="G817" s="11"/>
      <c r="H817" s="11"/>
      <c r="I817" s="11"/>
      <c r="J817" s="11"/>
      <c r="N817" s="11"/>
      <c r="O817" s="11"/>
      <c r="P817" s="11"/>
      <c r="Q817" s="11"/>
      <c r="R817" s="11"/>
      <c r="CB817" s="11"/>
      <c r="CE817" s="11"/>
      <c r="CF817" s="11"/>
    </row>
    <row r="818" spans="4:84" x14ac:dyDescent="0.25">
      <c r="D818" s="11"/>
      <c r="E818" s="11"/>
      <c r="F818" s="11"/>
      <c r="G818" s="11"/>
      <c r="H818" s="11"/>
      <c r="I818" s="11"/>
      <c r="J818" s="11"/>
      <c r="N818" s="11"/>
      <c r="O818" s="11"/>
      <c r="P818" s="11"/>
      <c r="Q818" s="11"/>
      <c r="R818" s="11"/>
      <c r="CB818" s="11"/>
      <c r="CE818" s="11"/>
      <c r="CF818" s="11"/>
    </row>
    <row r="819" spans="4:84" x14ac:dyDescent="0.25">
      <c r="D819" s="11"/>
      <c r="E819" s="11"/>
      <c r="F819" s="11"/>
      <c r="G819" s="11"/>
      <c r="H819" s="11"/>
      <c r="I819" s="11"/>
      <c r="J819" s="11"/>
      <c r="N819" s="11"/>
      <c r="O819" s="11"/>
      <c r="P819" s="11"/>
      <c r="Q819" s="11"/>
      <c r="R819" s="11"/>
      <c r="CB819" s="11"/>
      <c r="CE819" s="11"/>
      <c r="CF819" s="11"/>
    </row>
    <row r="820" spans="4:84" x14ac:dyDescent="0.25">
      <c r="D820" s="11"/>
      <c r="E820" s="11"/>
      <c r="F820" s="11"/>
      <c r="G820" s="11"/>
      <c r="H820" s="11"/>
      <c r="I820" s="11"/>
      <c r="J820" s="11"/>
      <c r="N820" s="11"/>
      <c r="O820" s="11"/>
      <c r="P820" s="11"/>
      <c r="Q820" s="11"/>
      <c r="R820" s="11"/>
      <c r="CB820" s="11"/>
      <c r="CE820" s="11"/>
      <c r="CF820" s="11"/>
    </row>
    <row r="821" spans="4:84" x14ac:dyDescent="0.25">
      <c r="D821" s="11"/>
      <c r="E821" s="11"/>
      <c r="F821" s="11"/>
      <c r="G821" s="11"/>
      <c r="H821" s="11"/>
      <c r="I821" s="11"/>
      <c r="J821" s="11"/>
      <c r="N821" s="11"/>
      <c r="O821" s="11"/>
      <c r="P821" s="11"/>
      <c r="Q821" s="11"/>
      <c r="R821" s="11"/>
      <c r="CB821" s="11"/>
      <c r="CE821" s="11"/>
      <c r="CF821" s="11"/>
    </row>
    <row r="822" spans="4:84" x14ac:dyDescent="0.25">
      <c r="D822" s="11"/>
      <c r="E822" s="11"/>
      <c r="F822" s="11"/>
      <c r="G822" s="11"/>
      <c r="H822" s="11"/>
      <c r="I822" s="11"/>
      <c r="J822" s="11"/>
      <c r="N822" s="11"/>
      <c r="O822" s="11"/>
      <c r="P822" s="11"/>
      <c r="Q822" s="11"/>
      <c r="R822" s="11"/>
      <c r="CB822" s="11"/>
      <c r="CE822" s="11"/>
      <c r="CF822" s="11"/>
    </row>
    <row r="823" spans="4:84" x14ac:dyDescent="0.25">
      <c r="D823" s="11"/>
      <c r="E823" s="11"/>
      <c r="F823" s="11"/>
      <c r="G823" s="11"/>
      <c r="H823" s="11"/>
      <c r="I823" s="11"/>
      <c r="J823" s="11"/>
      <c r="N823" s="11"/>
      <c r="O823" s="11"/>
      <c r="P823" s="11"/>
      <c r="Q823" s="11"/>
      <c r="R823" s="11"/>
      <c r="CB823" s="11"/>
      <c r="CE823" s="11"/>
      <c r="CF823" s="11"/>
    </row>
    <row r="824" spans="4:84" x14ac:dyDescent="0.25">
      <c r="D824" s="11"/>
      <c r="E824" s="11"/>
      <c r="F824" s="11"/>
      <c r="G824" s="11"/>
      <c r="H824" s="11"/>
      <c r="I824" s="11"/>
      <c r="J824" s="11"/>
      <c r="N824" s="11"/>
      <c r="O824" s="11"/>
      <c r="P824" s="11"/>
      <c r="Q824" s="11"/>
      <c r="R824" s="11"/>
      <c r="CB824" s="11"/>
      <c r="CE824" s="11"/>
      <c r="CF824" s="11"/>
    </row>
    <row r="825" spans="4:84" x14ac:dyDescent="0.25">
      <c r="D825" s="11"/>
      <c r="E825" s="11"/>
      <c r="F825" s="11"/>
      <c r="G825" s="11"/>
      <c r="H825" s="11"/>
      <c r="I825" s="11"/>
      <c r="J825" s="11"/>
      <c r="N825" s="11"/>
      <c r="O825" s="11"/>
      <c r="P825" s="11"/>
      <c r="Q825" s="11"/>
      <c r="R825" s="11"/>
      <c r="CB825" s="11"/>
      <c r="CE825" s="11"/>
      <c r="CF825" s="11"/>
    </row>
    <row r="826" spans="4:84" x14ac:dyDescent="0.25">
      <c r="D826" s="11"/>
      <c r="E826" s="11"/>
      <c r="F826" s="11"/>
      <c r="G826" s="11"/>
      <c r="H826" s="11"/>
      <c r="I826" s="11"/>
      <c r="J826" s="11"/>
      <c r="N826" s="11"/>
      <c r="O826" s="11"/>
      <c r="P826" s="11"/>
      <c r="Q826" s="11"/>
      <c r="R826" s="11"/>
      <c r="CB826" s="11"/>
      <c r="CE826" s="11"/>
      <c r="CF826" s="11"/>
    </row>
    <row r="827" spans="4:84" x14ac:dyDescent="0.25">
      <c r="D827" s="11"/>
      <c r="E827" s="11"/>
      <c r="F827" s="11"/>
      <c r="G827" s="11"/>
      <c r="H827" s="11"/>
      <c r="I827" s="11"/>
      <c r="J827" s="11"/>
      <c r="N827" s="11"/>
      <c r="O827" s="11"/>
      <c r="P827" s="11"/>
      <c r="Q827" s="11"/>
      <c r="R827" s="11"/>
      <c r="CB827" s="11"/>
      <c r="CE827" s="11"/>
      <c r="CF827" s="11"/>
    </row>
    <row r="828" spans="4:84" x14ac:dyDescent="0.25">
      <c r="D828" s="11"/>
      <c r="E828" s="11"/>
      <c r="F828" s="11"/>
      <c r="G828" s="11"/>
      <c r="H828" s="11"/>
      <c r="I828" s="11"/>
      <c r="J828" s="11"/>
      <c r="N828" s="11"/>
      <c r="O828" s="11"/>
      <c r="P828" s="11"/>
      <c r="Q828" s="11"/>
      <c r="R828" s="11"/>
      <c r="CB828" s="11"/>
      <c r="CE828" s="11"/>
      <c r="CF828" s="11"/>
    </row>
    <row r="829" spans="4:84" x14ac:dyDescent="0.25">
      <c r="D829" s="11"/>
      <c r="E829" s="11"/>
      <c r="F829" s="11"/>
      <c r="G829" s="11"/>
      <c r="H829" s="11"/>
      <c r="I829" s="11"/>
      <c r="J829" s="11"/>
      <c r="N829" s="11"/>
      <c r="O829" s="11"/>
      <c r="P829" s="11"/>
      <c r="Q829" s="11"/>
      <c r="R829" s="11"/>
      <c r="CB829" s="11"/>
      <c r="CE829" s="11"/>
      <c r="CF829" s="11"/>
    </row>
    <row r="830" spans="4:84" x14ac:dyDescent="0.25">
      <c r="D830" s="11"/>
      <c r="E830" s="11"/>
      <c r="F830" s="11"/>
      <c r="G830" s="11"/>
      <c r="H830" s="11"/>
      <c r="I830" s="11"/>
      <c r="J830" s="11"/>
      <c r="N830" s="11"/>
      <c r="O830" s="11"/>
      <c r="P830" s="11"/>
      <c r="Q830" s="11"/>
      <c r="R830" s="11"/>
      <c r="CB830" s="11"/>
      <c r="CE830" s="11"/>
      <c r="CF830" s="11"/>
    </row>
    <row r="831" spans="4:84" x14ac:dyDescent="0.25">
      <c r="D831" s="11"/>
      <c r="E831" s="11"/>
      <c r="F831" s="11"/>
      <c r="G831" s="11"/>
      <c r="H831" s="11"/>
      <c r="I831" s="11"/>
      <c r="J831" s="11"/>
      <c r="N831" s="11"/>
      <c r="O831" s="11"/>
      <c r="P831" s="11"/>
      <c r="Q831" s="11"/>
      <c r="R831" s="11"/>
      <c r="CB831" s="11"/>
      <c r="CE831" s="11"/>
      <c r="CF831" s="11"/>
    </row>
    <row r="832" spans="4:84" x14ac:dyDescent="0.25">
      <c r="D832" s="11"/>
      <c r="E832" s="11"/>
      <c r="F832" s="11"/>
      <c r="G832" s="11"/>
      <c r="H832" s="11"/>
      <c r="I832" s="11"/>
      <c r="J832" s="11"/>
      <c r="N832" s="11"/>
      <c r="O832" s="11"/>
      <c r="P832" s="11"/>
      <c r="Q832" s="11"/>
      <c r="R832" s="11"/>
      <c r="CB832" s="11"/>
      <c r="CE832" s="11"/>
      <c r="CF832" s="11"/>
    </row>
    <row r="833" spans="4:84" x14ac:dyDescent="0.25">
      <c r="D833" s="11"/>
      <c r="E833" s="11"/>
      <c r="F833" s="11"/>
      <c r="G833" s="11"/>
      <c r="H833" s="11"/>
      <c r="I833" s="11"/>
      <c r="J833" s="11"/>
      <c r="N833" s="11"/>
      <c r="O833" s="11"/>
      <c r="P833" s="11"/>
      <c r="Q833" s="11"/>
      <c r="R833" s="11"/>
      <c r="CB833" s="11"/>
      <c r="CE833" s="11"/>
      <c r="CF833" s="11"/>
    </row>
    <row r="834" spans="4:84" x14ac:dyDescent="0.25">
      <c r="D834" s="11"/>
      <c r="E834" s="11"/>
      <c r="F834" s="11"/>
      <c r="G834" s="11"/>
      <c r="H834" s="11"/>
      <c r="I834" s="11"/>
      <c r="J834" s="11"/>
      <c r="N834" s="11"/>
      <c r="O834" s="11"/>
      <c r="P834" s="11"/>
      <c r="Q834" s="11"/>
      <c r="R834" s="11"/>
      <c r="CB834" s="11"/>
      <c r="CE834" s="11"/>
      <c r="CF834" s="11"/>
    </row>
    <row r="835" spans="4:84" x14ac:dyDescent="0.25">
      <c r="D835" s="11"/>
      <c r="E835" s="11"/>
      <c r="F835" s="11"/>
      <c r="G835" s="11"/>
      <c r="H835" s="11"/>
      <c r="I835" s="11"/>
      <c r="J835" s="11"/>
      <c r="N835" s="11"/>
      <c r="O835" s="11"/>
      <c r="P835" s="11"/>
      <c r="Q835" s="11"/>
      <c r="R835" s="11"/>
      <c r="CB835" s="11"/>
      <c r="CE835" s="11"/>
      <c r="CF835" s="11"/>
    </row>
    <row r="836" spans="4:84" x14ac:dyDescent="0.25">
      <c r="D836" s="11"/>
      <c r="E836" s="11"/>
      <c r="F836" s="11"/>
      <c r="G836" s="11"/>
      <c r="H836" s="11"/>
      <c r="I836" s="11"/>
      <c r="J836" s="11"/>
      <c r="N836" s="11"/>
      <c r="O836" s="11"/>
      <c r="P836" s="11"/>
      <c r="Q836" s="11"/>
      <c r="R836" s="11"/>
      <c r="CB836" s="11"/>
      <c r="CE836" s="11"/>
      <c r="CF836" s="11"/>
    </row>
    <row r="837" spans="4:84" x14ac:dyDescent="0.25">
      <c r="D837" s="11"/>
      <c r="E837" s="11"/>
      <c r="F837" s="11"/>
      <c r="G837" s="11"/>
      <c r="H837" s="11"/>
      <c r="I837" s="11"/>
      <c r="J837" s="11"/>
      <c r="N837" s="11"/>
      <c r="O837" s="11"/>
      <c r="P837" s="11"/>
      <c r="Q837" s="11"/>
      <c r="R837" s="11"/>
      <c r="CB837" s="11"/>
      <c r="CE837" s="11"/>
      <c r="CF837" s="11"/>
    </row>
    <row r="838" spans="4:84" x14ac:dyDescent="0.25">
      <c r="D838" s="11"/>
      <c r="E838" s="11"/>
      <c r="F838" s="11"/>
      <c r="G838" s="11"/>
      <c r="H838" s="11"/>
      <c r="I838" s="11"/>
      <c r="J838" s="11"/>
      <c r="N838" s="11"/>
      <c r="O838" s="11"/>
      <c r="P838" s="11"/>
      <c r="Q838" s="11"/>
      <c r="R838" s="11"/>
      <c r="CB838" s="11"/>
      <c r="CE838" s="11"/>
      <c r="CF838" s="11"/>
    </row>
    <row r="839" spans="4:84" x14ac:dyDescent="0.25">
      <c r="D839" s="11"/>
      <c r="E839" s="11"/>
      <c r="F839" s="11"/>
      <c r="G839" s="11"/>
      <c r="H839" s="11"/>
      <c r="I839" s="11"/>
      <c r="J839" s="11"/>
      <c r="N839" s="11"/>
      <c r="O839" s="11"/>
      <c r="P839" s="11"/>
      <c r="Q839" s="11"/>
      <c r="R839" s="11"/>
      <c r="CB839" s="11"/>
      <c r="CE839" s="11"/>
      <c r="CF839" s="11"/>
    </row>
    <row r="840" spans="4:84" x14ac:dyDescent="0.25">
      <c r="D840" s="11"/>
      <c r="E840" s="11"/>
      <c r="F840" s="11"/>
      <c r="G840" s="11"/>
      <c r="H840" s="11"/>
      <c r="I840" s="11"/>
      <c r="J840" s="11"/>
      <c r="N840" s="11"/>
      <c r="O840" s="11"/>
      <c r="P840" s="11"/>
      <c r="Q840" s="11"/>
      <c r="R840" s="11"/>
      <c r="CB840" s="11"/>
      <c r="CE840" s="11"/>
      <c r="CF840" s="11"/>
    </row>
    <row r="841" spans="4:84" x14ac:dyDescent="0.25">
      <c r="D841" s="11"/>
      <c r="E841" s="11"/>
      <c r="F841" s="11"/>
      <c r="G841" s="11"/>
      <c r="H841" s="11"/>
      <c r="I841" s="11"/>
      <c r="J841" s="11"/>
      <c r="N841" s="11"/>
      <c r="O841" s="11"/>
      <c r="P841" s="11"/>
      <c r="Q841" s="11"/>
      <c r="R841" s="11"/>
      <c r="CB841" s="11"/>
      <c r="CE841" s="11"/>
      <c r="CF841" s="11"/>
    </row>
    <row r="842" spans="4:84" x14ac:dyDescent="0.25">
      <c r="D842" s="11"/>
      <c r="E842" s="11"/>
      <c r="F842" s="11"/>
      <c r="G842" s="11"/>
      <c r="H842" s="11"/>
      <c r="I842" s="11"/>
      <c r="J842" s="11"/>
      <c r="N842" s="11"/>
      <c r="O842" s="11"/>
      <c r="P842" s="11"/>
      <c r="Q842" s="11"/>
      <c r="R842" s="11"/>
      <c r="CB842" s="11"/>
      <c r="CE842" s="11"/>
      <c r="CF842" s="11"/>
    </row>
    <row r="843" spans="4:84" x14ac:dyDescent="0.25">
      <c r="D843" s="11"/>
      <c r="E843" s="11"/>
      <c r="F843" s="11"/>
      <c r="G843" s="11"/>
      <c r="H843" s="11"/>
      <c r="I843" s="11"/>
      <c r="J843" s="11"/>
      <c r="N843" s="11"/>
      <c r="O843" s="11"/>
      <c r="P843" s="11"/>
      <c r="Q843" s="11"/>
      <c r="R843" s="11"/>
      <c r="CB843" s="11"/>
      <c r="CE843" s="11"/>
      <c r="CF843" s="11"/>
    </row>
    <row r="844" spans="4:84" x14ac:dyDescent="0.25">
      <c r="D844" s="11"/>
      <c r="E844" s="11"/>
      <c r="F844" s="11"/>
      <c r="G844" s="11"/>
      <c r="H844" s="11"/>
      <c r="I844" s="11"/>
      <c r="J844" s="11"/>
      <c r="N844" s="11"/>
      <c r="O844" s="11"/>
      <c r="P844" s="11"/>
      <c r="Q844" s="11"/>
      <c r="R844" s="11"/>
      <c r="CB844" s="11"/>
      <c r="CE844" s="11"/>
      <c r="CF844" s="11"/>
    </row>
    <row r="845" spans="4:84" x14ac:dyDescent="0.25">
      <c r="D845" s="11"/>
      <c r="E845" s="11"/>
      <c r="F845" s="11"/>
      <c r="G845" s="11"/>
      <c r="H845" s="11"/>
      <c r="I845" s="11"/>
      <c r="J845" s="11"/>
      <c r="N845" s="11"/>
      <c r="O845" s="11"/>
      <c r="P845" s="11"/>
      <c r="Q845" s="11"/>
      <c r="R845" s="11"/>
      <c r="CB845" s="11"/>
      <c r="CE845" s="11"/>
      <c r="CF845" s="11"/>
    </row>
    <row r="846" spans="4:84" x14ac:dyDescent="0.25">
      <c r="D846" s="11"/>
      <c r="E846" s="11"/>
      <c r="F846" s="11"/>
      <c r="G846" s="11"/>
      <c r="H846" s="11"/>
      <c r="I846" s="11"/>
      <c r="J846" s="11"/>
      <c r="N846" s="11"/>
      <c r="O846" s="11"/>
      <c r="P846" s="11"/>
      <c r="Q846" s="11"/>
      <c r="R846" s="11"/>
      <c r="CB846" s="11"/>
      <c r="CE846" s="11"/>
      <c r="CF846" s="11"/>
    </row>
    <row r="847" spans="4:84" x14ac:dyDescent="0.25">
      <c r="D847" s="11"/>
      <c r="E847" s="11"/>
      <c r="F847" s="11"/>
      <c r="G847" s="11"/>
      <c r="H847" s="11"/>
      <c r="I847" s="11"/>
      <c r="J847" s="11"/>
      <c r="N847" s="11"/>
      <c r="O847" s="11"/>
      <c r="P847" s="11"/>
      <c r="Q847" s="11"/>
      <c r="R847" s="11"/>
      <c r="CB847" s="11"/>
      <c r="CE847" s="11"/>
      <c r="CF847" s="11"/>
    </row>
    <row r="848" spans="4:84" x14ac:dyDescent="0.25">
      <c r="D848" s="11"/>
      <c r="E848" s="11"/>
      <c r="F848" s="11"/>
      <c r="G848" s="11"/>
      <c r="H848" s="11"/>
      <c r="I848" s="11"/>
      <c r="J848" s="11"/>
      <c r="N848" s="11"/>
      <c r="O848" s="11"/>
      <c r="P848" s="11"/>
      <c r="Q848" s="11"/>
      <c r="R848" s="11"/>
      <c r="CB848" s="11"/>
      <c r="CE848" s="11"/>
      <c r="CF848" s="11"/>
    </row>
    <row r="849" spans="4:84" x14ac:dyDescent="0.25">
      <c r="D849" s="11"/>
      <c r="E849" s="11"/>
      <c r="F849" s="11"/>
      <c r="G849" s="11"/>
      <c r="H849" s="11"/>
      <c r="I849" s="11"/>
      <c r="J849" s="11"/>
      <c r="N849" s="11"/>
      <c r="O849" s="11"/>
      <c r="P849" s="11"/>
      <c r="Q849" s="11"/>
      <c r="R849" s="11"/>
      <c r="CB849" s="11"/>
      <c r="CE849" s="11"/>
      <c r="CF849" s="11"/>
    </row>
    <row r="850" spans="4:84" x14ac:dyDescent="0.25">
      <c r="D850" s="11"/>
      <c r="E850" s="11"/>
      <c r="F850" s="11"/>
      <c r="G850" s="11"/>
      <c r="H850" s="11"/>
      <c r="I850" s="11"/>
      <c r="J850" s="11"/>
      <c r="N850" s="11"/>
      <c r="O850" s="11"/>
      <c r="P850" s="11"/>
      <c r="Q850" s="11"/>
      <c r="R850" s="11"/>
      <c r="CB850" s="11"/>
      <c r="CE850" s="11"/>
      <c r="CF850" s="11"/>
    </row>
    <row r="851" spans="4:84" x14ac:dyDescent="0.25">
      <c r="D851" s="11"/>
      <c r="E851" s="11"/>
      <c r="F851" s="11"/>
      <c r="G851" s="11"/>
      <c r="H851" s="11"/>
      <c r="I851" s="11"/>
      <c r="J851" s="11"/>
      <c r="N851" s="11"/>
      <c r="O851" s="11"/>
      <c r="P851" s="11"/>
      <c r="Q851" s="11"/>
      <c r="R851" s="11"/>
      <c r="CB851" s="11"/>
      <c r="CE851" s="11"/>
      <c r="CF851" s="11"/>
    </row>
    <row r="852" spans="4:84" x14ac:dyDescent="0.25">
      <c r="D852" s="11"/>
      <c r="E852" s="11"/>
      <c r="F852" s="11"/>
      <c r="G852" s="11"/>
      <c r="H852" s="11"/>
      <c r="I852" s="11"/>
      <c r="J852" s="11"/>
      <c r="N852" s="11"/>
      <c r="O852" s="11"/>
      <c r="P852" s="11"/>
      <c r="Q852" s="11"/>
      <c r="R852" s="11"/>
      <c r="CB852" s="11"/>
      <c r="CE852" s="11"/>
      <c r="CF852" s="11"/>
    </row>
    <row r="853" spans="4:84" x14ac:dyDescent="0.25">
      <c r="D853" s="11"/>
      <c r="E853" s="11"/>
      <c r="F853" s="11"/>
      <c r="G853" s="11"/>
      <c r="H853" s="11"/>
      <c r="I853" s="11"/>
      <c r="J853" s="11"/>
      <c r="N853" s="11"/>
      <c r="O853" s="11"/>
      <c r="P853" s="11"/>
      <c r="Q853" s="11"/>
      <c r="R853" s="11"/>
      <c r="CB853" s="11"/>
      <c r="CE853" s="11"/>
      <c r="CF853" s="11"/>
    </row>
    <row r="854" spans="4:84" x14ac:dyDescent="0.25">
      <c r="D854" s="11"/>
      <c r="E854" s="11"/>
      <c r="F854" s="11"/>
      <c r="G854" s="11"/>
      <c r="H854" s="11"/>
      <c r="I854" s="11"/>
      <c r="J854" s="11"/>
      <c r="N854" s="11"/>
      <c r="O854" s="11"/>
      <c r="P854" s="11"/>
      <c r="Q854" s="11"/>
      <c r="R854" s="11"/>
      <c r="CB854" s="11"/>
      <c r="CE854" s="11"/>
      <c r="CF854" s="11"/>
    </row>
    <row r="855" spans="4:84" x14ac:dyDescent="0.25">
      <c r="D855" s="11"/>
      <c r="E855" s="11"/>
      <c r="F855" s="11"/>
      <c r="G855" s="11"/>
      <c r="H855" s="11"/>
      <c r="I855" s="11"/>
      <c r="J855" s="11"/>
      <c r="N855" s="11"/>
      <c r="O855" s="11"/>
      <c r="P855" s="11"/>
      <c r="Q855" s="11"/>
      <c r="R855" s="11"/>
      <c r="CB855" s="11"/>
      <c r="CE855" s="11"/>
      <c r="CF855" s="11"/>
    </row>
    <row r="856" spans="4:84" x14ac:dyDescent="0.25">
      <c r="D856" s="11"/>
      <c r="E856" s="11"/>
      <c r="F856" s="11"/>
      <c r="G856" s="11"/>
      <c r="H856" s="11"/>
      <c r="I856" s="11"/>
      <c r="J856" s="11"/>
      <c r="N856" s="11"/>
      <c r="O856" s="11"/>
      <c r="P856" s="11"/>
      <c r="Q856" s="11"/>
      <c r="R856" s="11"/>
      <c r="CB856" s="11"/>
      <c r="CE856" s="11"/>
      <c r="CF856" s="11"/>
    </row>
    <row r="857" spans="4:84" x14ac:dyDescent="0.25">
      <c r="D857" s="11"/>
      <c r="E857" s="11"/>
      <c r="F857" s="11"/>
      <c r="G857" s="11"/>
      <c r="H857" s="11"/>
      <c r="I857" s="11"/>
      <c r="J857" s="11"/>
      <c r="N857" s="11"/>
      <c r="O857" s="11"/>
      <c r="P857" s="11"/>
      <c r="Q857" s="11"/>
      <c r="R857" s="11"/>
      <c r="CB857" s="11"/>
      <c r="CE857" s="11"/>
      <c r="CF857" s="11"/>
    </row>
    <row r="858" spans="4:84" x14ac:dyDescent="0.25">
      <c r="D858" s="11"/>
      <c r="E858" s="11"/>
      <c r="F858" s="11"/>
      <c r="G858" s="11"/>
      <c r="H858" s="11"/>
      <c r="I858" s="11"/>
      <c r="J858" s="11"/>
      <c r="N858" s="11"/>
      <c r="O858" s="11"/>
      <c r="P858" s="11"/>
      <c r="Q858" s="11"/>
      <c r="R858" s="11"/>
      <c r="CB858" s="11"/>
      <c r="CE858" s="11"/>
      <c r="CF858" s="11"/>
    </row>
    <row r="859" spans="4:84" x14ac:dyDescent="0.25">
      <c r="D859" s="11"/>
      <c r="E859" s="11"/>
      <c r="F859" s="11"/>
      <c r="G859" s="11"/>
      <c r="H859" s="11"/>
      <c r="I859" s="11"/>
      <c r="J859" s="11"/>
      <c r="N859" s="11"/>
      <c r="O859" s="11"/>
      <c r="P859" s="11"/>
      <c r="Q859" s="11"/>
      <c r="R859" s="11"/>
      <c r="CB859" s="11"/>
      <c r="CE859" s="11"/>
      <c r="CF859" s="11"/>
    </row>
    <row r="860" spans="4:84" x14ac:dyDescent="0.25">
      <c r="D860" s="11"/>
      <c r="E860" s="11"/>
      <c r="F860" s="11"/>
      <c r="G860" s="11"/>
      <c r="H860" s="11"/>
      <c r="I860" s="11"/>
      <c r="J860" s="11"/>
      <c r="N860" s="11"/>
      <c r="O860" s="11"/>
      <c r="P860" s="11"/>
      <c r="Q860" s="11"/>
      <c r="R860" s="11"/>
      <c r="CB860" s="11"/>
      <c r="CE860" s="11"/>
      <c r="CF860" s="11"/>
    </row>
    <row r="861" spans="4:84" x14ac:dyDescent="0.25">
      <c r="D861" s="11"/>
      <c r="E861" s="11"/>
      <c r="F861" s="11"/>
      <c r="G861" s="11"/>
      <c r="H861" s="11"/>
      <c r="I861" s="11"/>
      <c r="J861" s="11"/>
      <c r="N861" s="11"/>
      <c r="O861" s="11"/>
      <c r="P861" s="11"/>
      <c r="Q861" s="11"/>
      <c r="R861" s="11"/>
      <c r="CB861" s="11"/>
      <c r="CE861" s="11"/>
      <c r="CF861" s="11"/>
    </row>
    <row r="862" spans="4:84" x14ac:dyDescent="0.25">
      <c r="D862" s="11"/>
      <c r="E862" s="11"/>
      <c r="F862" s="11"/>
      <c r="G862" s="11"/>
      <c r="H862" s="11"/>
      <c r="I862" s="11"/>
      <c r="J862" s="11"/>
      <c r="N862" s="11"/>
      <c r="O862" s="11"/>
      <c r="P862" s="11"/>
      <c r="Q862" s="11"/>
      <c r="R862" s="11"/>
      <c r="CB862" s="11"/>
      <c r="CE862" s="11"/>
      <c r="CF862" s="11"/>
    </row>
    <row r="863" spans="4:84" x14ac:dyDescent="0.25">
      <c r="D863" s="11"/>
      <c r="E863" s="11"/>
      <c r="F863" s="11"/>
      <c r="G863" s="11"/>
      <c r="H863" s="11"/>
      <c r="I863" s="11"/>
      <c r="J863" s="11"/>
      <c r="N863" s="11"/>
      <c r="O863" s="11"/>
      <c r="P863" s="11"/>
      <c r="Q863" s="11"/>
      <c r="R863" s="11"/>
      <c r="CB863" s="11"/>
      <c r="CE863" s="11"/>
      <c r="CF863" s="11"/>
    </row>
    <row r="864" spans="4:84" x14ac:dyDescent="0.25">
      <c r="D864" s="11"/>
      <c r="E864" s="11"/>
      <c r="F864" s="11"/>
      <c r="G864" s="11"/>
      <c r="H864" s="11"/>
      <c r="I864" s="11"/>
      <c r="J864" s="11"/>
      <c r="N864" s="11"/>
      <c r="O864" s="11"/>
      <c r="P864" s="11"/>
      <c r="Q864" s="11"/>
      <c r="R864" s="11"/>
      <c r="CB864" s="11"/>
      <c r="CE864" s="11"/>
      <c r="CF864" s="11"/>
    </row>
    <row r="865" spans="4:84" x14ac:dyDescent="0.25">
      <c r="D865" s="11"/>
      <c r="E865" s="11"/>
      <c r="F865" s="11"/>
      <c r="G865" s="11"/>
      <c r="H865" s="11"/>
      <c r="I865" s="11"/>
      <c r="J865" s="11"/>
      <c r="N865" s="11"/>
      <c r="O865" s="11"/>
      <c r="P865" s="11"/>
      <c r="Q865" s="11"/>
      <c r="R865" s="11"/>
      <c r="CB865" s="11"/>
      <c r="CE865" s="11"/>
      <c r="CF865" s="11"/>
    </row>
    <row r="866" spans="4:84" x14ac:dyDescent="0.25">
      <c r="D866" s="11"/>
      <c r="E866" s="11"/>
      <c r="F866" s="11"/>
      <c r="G866" s="11"/>
      <c r="H866" s="11"/>
      <c r="I866" s="11"/>
      <c r="J866" s="11"/>
      <c r="N866" s="11"/>
      <c r="O866" s="11"/>
      <c r="P866" s="11"/>
      <c r="Q866" s="11"/>
      <c r="R866" s="11"/>
      <c r="CB866" s="11"/>
      <c r="CE866" s="11"/>
      <c r="CF866" s="11"/>
    </row>
    <row r="867" spans="4:84" x14ac:dyDescent="0.25">
      <c r="D867" s="11"/>
      <c r="E867" s="11"/>
      <c r="F867" s="11"/>
      <c r="G867" s="11"/>
      <c r="H867" s="11"/>
      <c r="I867" s="11"/>
      <c r="J867" s="11"/>
      <c r="N867" s="11"/>
      <c r="O867" s="11"/>
      <c r="P867" s="11"/>
      <c r="Q867" s="11"/>
      <c r="R867" s="11"/>
      <c r="CB867" s="11"/>
      <c r="CE867" s="11"/>
      <c r="CF867" s="11"/>
    </row>
    <row r="868" spans="4:84" x14ac:dyDescent="0.25">
      <c r="D868" s="11"/>
      <c r="E868" s="11"/>
      <c r="F868" s="11"/>
      <c r="G868" s="11"/>
      <c r="H868" s="11"/>
      <c r="I868" s="11"/>
      <c r="J868" s="11"/>
      <c r="N868" s="11"/>
      <c r="O868" s="11"/>
      <c r="P868" s="11"/>
      <c r="Q868" s="11"/>
      <c r="R868" s="11"/>
      <c r="CB868" s="11"/>
      <c r="CE868" s="11"/>
      <c r="CF868" s="11"/>
    </row>
    <row r="869" spans="4:84" x14ac:dyDescent="0.25">
      <c r="D869" s="11"/>
      <c r="E869" s="11"/>
      <c r="F869" s="11"/>
      <c r="G869" s="11"/>
      <c r="H869" s="11"/>
      <c r="I869" s="11"/>
      <c r="J869" s="11"/>
      <c r="N869" s="11"/>
      <c r="O869" s="11"/>
      <c r="P869" s="11"/>
      <c r="Q869" s="11"/>
      <c r="R869" s="11"/>
      <c r="CB869" s="11"/>
      <c r="CE869" s="11"/>
      <c r="CF869" s="11"/>
    </row>
    <row r="870" spans="4:84" x14ac:dyDescent="0.25">
      <c r="D870" s="11"/>
      <c r="E870" s="11"/>
      <c r="F870" s="11"/>
      <c r="G870" s="11"/>
      <c r="H870" s="11"/>
      <c r="I870" s="11"/>
      <c r="J870" s="11"/>
      <c r="N870" s="11"/>
      <c r="O870" s="11"/>
      <c r="P870" s="11"/>
      <c r="Q870" s="11"/>
      <c r="R870" s="11"/>
      <c r="CB870" s="11"/>
      <c r="CE870" s="11"/>
      <c r="CF870" s="11"/>
    </row>
    <row r="871" spans="4:84" x14ac:dyDescent="0.25">
      <c r="D871" s="11"/>
      <c r="E871" s="11"/>
      <c r="F871" s="11"/>
      <c r="G871" s="11"/>
      <c r="H871" s="11"/>
      <c r="I871" s="11"/>
      <c r="J871" s="11"/>
      <c r="N871" s="11"/>
      <c r="O871" s="11"/>
      <c r="P871" s="11"/>
      <c r="Q871" s="11"/>
      <c r="R871" s="11"/>
      <c r="CB871" s="11"/>
      <c r="CE871" s="11"/>
      <c r="CF871" s="11"/>
    </row>
    <row r="872" spans="4:84" x14ac:dyDescent="0.25">
      <c r="D872" s="11"/>
      <c r="E872" s="11"/>
      <c r="F872" s="11"/>
      <c r="G872" s="11"/>
      <c r="H872" s="11"/>
      <c r="I872" s="11"/>
      <c r="J872" s="11"/>
      <c r="N872" s="11"/>
      <c r="O872" s="11"/>
      <c r="P872" s="11"/>
      <c r="Q872" s="11"/>
      <c r="R872" s="11"/>
      <c r="CB872" s="11"/>
      <c r="CE872" s="11"/>
      <c r="CF872" s="11"/>
    </row>
    <row r="873" spans="4:84" x14ac:dyDescent="0.25">
      <c r="D873" s="11"/>
      <c r="E873" s="11"/>
      <c r="F873" s="11"/>
      <c r="G873" s="11"/>
      <c r="H873" s="11"/>
      <c r="I873" s="11"/>
      <c r="J873" s="11"/>
      <c r="N873" s="11"/>
      <c r="O873" s="11"/>
      <c r="P873" s="11"/>
      <c r="Q873" s="11"/>
      <c r="R873" s="11"/>
      <c r="CB873" s="11"/>
      <c r="CE873" s="11"/>
      <c r="CF873" s="11"/>
    </row>
    <row r="874" spans="4:84" x14ac:dyDescent="0.25">
      <c r="D874" s="11"/>
      <c r="E874" s="11"/>
      <c r="F874" s="11"/>
      <c r="G874" s="11"/>
      <c r="H874" s="11"/>
      <c r="I874" s="11"/>
      <c r="J874" s="11"/>
      <c r="N874" s="11"/>
      <c r="O874" s="11"/>
      <c r="P874" s="11"/>
      <c r="Q874" s="11"/>
      <c r="R874" s="11"/>
      <c r="CB874" s="11"/>
      <c r="CE874" s="11"/>
      <c r="CF874" s="11"/>
    </row>
    <row r="875" spans="4:84" x14ac:dyDescent="0.25">
      <c r="D875" s="11"/>
      <c r="E875" s="11"/>
      <c r="F875" s="11"/>
      <c r="G875" s="11"/>
      <c r="H875" s="11"/>
      <c r="I875" s="11"/>
      <c r="J875" s="11"/>
      <c r="N875" s="11"/>
      <c r="O875" s="11"/>
      <c r="P875" s="11"/>
      <c r="Q875" s="11"/>
      <c r="R875" s="11"/>
      <c r="CB875" s="11"/>
      <c r="CE875" s="11"/>
      <c r="CF875" s="11"/>
    </row>
    <row r="876" spans="4:84" x14ac:dyDescent="0.25">
      <c r="D876" s="11"/>
      <c r="E876" s="11"/>
      <c r="F876" s="11"/>
      <c r="G876" s="11"/>
      <c r="H876" s="11"/>
      <c r="I876" s="11"/>
      <c r="J876" s="11"/>
      <c r="N876" s="11"/>
      <c r="O876" s="11"/>
      <c r="P876" s="11"/>
      <c r="Q876" s="11"/>
      <c r="R876" s="11"/>
      <c r="CB876" s="11"/>
      <c r="CE876" s="11"/>
      <c r="CF876" s="11"/>
    </row>
    <row r="877" spans="4:84" x14ac:dyDescent="0.25">
      <c r="D877" s="11"/>
      <c r="E877" s="11"/>
      <c r="F877" s="11"/>
      <c r="G877" s="11"/>
      <c r="H877" s="11"/>
      <c r="I877" s="11"/>
      <c r="J877" s="11"/>
      <c r="N877" s="11"/>
      <c r="O877" s="11"/>
      <c r="P877" s="11"/>
      <c r="Q877" s="11"/>
      <c r="R877" s="11"/>
      <c r="CB877" s="11"/>
      <c r="CE877" s="11"/>
      <c r="CF877" s="11"/>
    </row>
    <row r="878" spans="4:84" x14ac:dyDescent="0.25">
      <c r="D878" s="11"/>
      <c r="E878" s="11"/>
      <c r="F878" s="11"/>
      <c r="G878" s="11"/>
      <c r="H878" s="11"/>
      <c r="I878" s="11"/>
      <c r="J878" s="11"/>
      <c r="N878" s="11"/>
      <c r="O878" s="11"/>
      <c r="P878" s="11"/>
      <c r="Q878" s="11"/>
      <c r="R878" s="11"/>
      <c r="CB878" s="11"/>
      <c r="CE878" s="11"/>
      <c r="CF878" s="11"/>
    </row>
    <row r="879" spans="4:84" x14ac:dyDescent="0.25">
      <c r="D879" s="11"/>
      <c r="E879" s="11"/>
      <c r="F879" s="11"/>
      <c r="G879" s="11"/>
      <c r="H879" s="11"/>
      <c r="I879" s="11"/>
      <c r="J879" s="11"/>
      <c r="N879" s="11"/>
      <c r="O879" s="11"/>
      <c r="P879" s="11"/>
      <c r="Q879" s="11"/>
      <c r="R879" s="11"/>
      <c r="CB879" s="11"/>
      <c r="CE879" s="11"/>
      <c r="CF879" s="11"/>
    </row>
    <row r="880" spans="4:84" x14ac:dyDescent="0.25">
      <c r="D880" s="11"/>
      <c r="E880" s="11"/>
      <c r="F880" s="11"/>
      <c r="G880" s="11"/>
      <c r="H880" s="11"/>
      <c r="I880" s="11"/>
      <c r="J880" s="11"/>
      <c r="N880" s="11"/>
      <c r="O880" s="11"/>
      <c r="P880" s="11"/>
      <c r="Q880" s="11"/>
      <c r="R880" s="11"/>
      <c r="CB880" s="11"/>
      <c r="CE880" s="11"/>
      <c r="CF880" s="11"/>
    </row>
    <row r="881" spans="4:84" x14ac:dyDescent="0.25">
      <c r="D881" s="11"/>
      <c r="E881" s="11"/>
      <c r="F881" s="11"/>
      <c r="G881" s="11"/>
      <c r="H881" s="11"/>
      <c r="I881" s="11"/>
      <c r="J881" s="11"/>
      <c r="N881" s="11"/>
      <c r="O881" s="11"/>
      <c r="P881" s="11"/>
      <c r="Q881" s="11"/>
      <c r="R881" s="11"/>
      <c r="CB881" s="11"/>
      <c r="CE881" s="11"/>
      <c r="CF881" s="11"/>
    </row>
    <row r="882" spans="4:84" x14ac:dyDescent="0.25">
      <c r="D882" s="11"/>
      <c r="E882" s="11"/>
      <c r="F882" s="11"/>
      <c r="G882" s="11"/>
      <c r="H882" s="11"/>
      <c r="I882" s="11"/>
      <c r="J882" s="11"/>
      <c r="N882" s="11"/>
      <c r="O882" s="11"/>
      <c r="P882" s="11"/>
      <c r="Q882" s="11"/>
      <c r="R882" s="11"/>
      <c r="CB882" s="11"/>
      <c r="CE882" s="11"/>
      <c r="CF882" s="11"/>
    </row>
    <row r="883" spans="4:84" x14ac:dyDescent="0.25">
      <c r="D883" s="11"/>
      <c r="E883" s="11"/>
      <c r="F883" s="11"/>
      <c r="G883" s="11"/>
      <c r="H883" s="11"/>
      <c r="I883" s="11"/>
      <c r="J883" s="11"/>
      <c r="N883" s="11"/>
      <c r="O883" s="11"/>
      <c r="P883" s="11"/>
      <c r="Q883" s="11"/>
      <c r="R883" s="11"/>
      <c r="CB883" s="11"/>
      <c r="CE883" s="11"/>
      <c r="CF883" s="11"/>
    </row>
    <row r="884" spans="4:84" x14ac:dyDescent="0.25">
      <c r="D884" s="11"/>
      <c r="E884" s="11"/>
      <c r="F884" s="11"/>
      <c r="G884" s="11"/>
      <c r="H884" s="11"/>
      <c r="I884" s="11"/>
      <c r="J884" s="11"/>
      <c r="N884" s="11"/>
      <c r="O884" s="11"/>
      <c r="P884" s="11"/>
      <c r="Q884" s="11"/>
      <c r="R884" s="11"/>
      <c r="CB884" s="11"/>
      <c r="CE884" s="11"/>
      <c r="CF884" s="11"/>
    </row>
    <row r="885" spans="4:84" x14ac:dyDescent="0.25">
      <c r="D885" s="11"/>
      <c r="E885" s="11"/>
      <c r="F885" s="11"/>
      <c r="G885" s="11"/>
      <c r="H885" s="11"/>
      <c r="I885" s="11"/>
      <c r="J885" s="11"/>
      <c r="N885" s="11"/>
      <c r="O885" s="11"/>
      <c r="P885" s="11"/>
      <c r="Q885" s="11"/>
      <c r="R885" s="11"/>
      <c r="CB885" s="11"/>
      <c r="CE885" s="11"/>
      <c r="CF885" s="11"/>
    </row>
    <row r="886" spans="4:84" x14ac:dyDescent="0.25">
      <c r="D886" s="11"/>
      <c r="E886" s="11"/>
      <c r="F886" s="11"/>
      <c r="G886" s="11"/>
      <c r="H886" s="11"/>
      <c r="I886" s="11"/>
      <c r="J886" s="11"/>
      <c r="N886" s="11"/>
      <c r="O886" s="11"/>
      <c r="P886" s="11"/>
      <c r="Q886" s="11"/>
      <c r="R886" s="11"/>
      <c r="CB886" s="11"/>
      <c r="CE886" s="11"/>
      <c r="CF886" s="11"/>
    </row>
    <row r="887" spans="4:84" x14ac:dyDescent="0.25">
      <c r="D887" s="11"/>
      <c r="E887" s="11"/>
      <c r="F887" s="11"/>
      <c r="G887" s="11"/>
      <c r="H887" s="11"/>
      <c r="I887" s="11"/>
      <c r="J887" s="11"/>
      <c r="N887" s="11"/>
      <c r="O887" s="11"/>
      <c r="P887" s="11"/>
      <c r="Q887" s="11"/>
      <c r="R887" s="11"/>
      <c r="CB887" s="11"/>
      <c r="CE887" s="11"/>
      <c r="CF887" s="11"/>
    </row>
    <row r="888" spans="4:84" x14ac:dyDescent="0.25">
      <c r="D888" s="11"/>
      <c r="E888" s="11"/>
      <c r="F888" s="11"/>
      <c r="G888" s="11"/>
      <c r="H888" s="11"/>
      <c r="I888" s="11"/>
      <c r="J888" s="11"/>
      <c r="N888" s="11"/>
      <c r="O888" s="11"/>
      <c r="P888" s="11"/>
      <c r="Q888" s="11"/>
      <c r="R888" s="11"/>
      <c r="CB888" s="11"/>
      <c r="CE888" s="11"/>
      <c r="CF888" s="11"/>
    </row>
    <row r="889" spans="4:84" x14ac:dyDescent="0.25">
      <c r="D889" s="11"/>
      <c r="E889" s="11"/>
      <c r="F889" s="11"/>
      <c r="G889" s="11"/>
      <c r="H889" s="11"/>
      <c r="I889" s="11"/>
      <c r="J889" s="11"/>
      <c r="N889" s="11"/>
      <c r="O889" s="11"/>
      <c r="P889" s="11"/>
      <c r="Q889" s="11"/>
      <c r="R889" s="11"/>
      <c r="CB889" s="11"/>
      <c r="CE889" s="11"/>
      <c r="CF889" s="11"/>
    </row>
    <row r="890" spans="4:84" x14ac:dyDescent="0.25">
      <c r="D890" s="11"/>
      <c r="E890" s="11"/>
      <c r="F890" s="11"/>
      <c r="G890" s="11"/>
      <c r="H890" s="11"/>
      <c r="I890" s="11"/>
      <c r="J890" s="11"/>
      <c r="N890" s="11"/>
      <c r="O890" s="11"/>
      <c r="P890" s="11"/>
      <c r="Q890" s="11"/>
      <c r="R890" s="11"/>
      <c r="CB890" s="11"/>
      <c r="CE890" s="11"/>
      <c r="CF890" s="11"/>
    </row>
    <row r="891" spans="4:84" x14ac:dyDescent="0.25">
      <c r="D891" s="11"/>
      <c r="E891" s="11"/>
      <c r="F891" s="11"/>
      <c r="G891" s="11"/>
      <c r="H891" s="11"/>
      <c r="I891" s="11"/>
      <c r="J891" s="11"/>
      <c r="N891" s="11"/>
      <c r="O891" s="11"/>
      <c r="P891" s="11"/>
      <c r="Q891" s="11"/>
      <c r="R891" s="11"/>
      <c r="CB891" s="11"/>
      <c r="CE891" s="11"/>
      <c r="CF891" s="11"/>
    </row>
    <row r="892" spans="4:84" x14ac:dyDescent="0.25">
      <c r="D892" s="11"/>
      <c r="E892" s="11"/>
      <c r="F892" s="11"/>
      <c r="G892" s="11"/>
      <c r="H892" s="11"/>
      <c r="I892" s="11"/>
      <c r="J892" s="11"/>
      <c r="N892" s="11"/>
      <c r="O892" s="11"/>
      <c r="P892" s="11"/>
      <c r="Q892" s="11"/>
      <c r="R892" s="11"/>
      <c r="CB892" s="11"/>
      <c r="CE892" s="11"/>
      <c r="CF892" s="11"/>
    </row>
    <row r="893" spans="4:84" x14ac:dyDescent="0.25">
      <c r="D893" s="11"/>
      <c r="E893" s="11"/>
      <c r="F893" s="11"/>
      <c r="G893" s="11"/>
      <c r="H893" s="11"/>
      <c r="I893" s="11"/>
      <c r="J893" s="11"/>
      <c r="N893" s="11"/>
      <c r="O893" s="11"/>
      <c r="P893" s="11"/>
      <c r="Q893" s="11"/>
      <c r="R893" s="11"/>
      <c r="CB893" s="11"/>
      <c r="CE893" s="11"/>
      <c r="CF893" s="11"/>
    </row>
    <row r="894" spans="4:84" x14ac:dyDescent="0.25">
      <c r="D894" s="11"/>
      <c r="E894" s="11"/>
      <c r="F894" s="11"/>
      <c r="G894" s="11"/>
      <c r="H894" s="11"/>
      <c r="I894" s="11"/>
      <c r="J894" s="11"/>
      <c r="N894" s="11"/>
      <c r="O894" s="11"/>
      <c r="P894" s="11"/>
      <c r="Q894" s="11"/>
      <c r="R894" s="11"/>
      <c r="CB894" s="11"/>
      <c r="CE894" s="11"/>
      <c r="CF894" s="11"/>
    </row>
    <row r="895" spans="4:84" x14ac:dyDescent="0.25">
      <c r="D895" s="11"/>
      <c r="E895" s="11"/>
      <c r="F895" s="11"/>
      <c r="G895" s="11"/>
      <c r="H895" s="11"/>
      <c r="I895" s="11"/>
      <c r="J895" s="11"/>
      <c r="N895" s="11"/>
      <c r="O895" s="11"/>
      <c r="P895" s="11"/>
      <c r="Q895" s="11"/>
      <c r="R895" s="11"/>
      <c r="CB895" s="11"/>
      <c r="CE895" s="11"/>
      <c r="CF895" s="11"/>
    </row>
    <row r="896" spans="4:84" x14ac:dyDescent="0.25">
      <c r="D896" s="11"/>
      <c r="E896" s="11"/>
      <c r="F896" s="11"/>
      <c r="G896" s="11"/>
      <c r="H896" s="11"/>
      <c r="I896" s="11"/>
      <c r="J896" s="11"/>
      <c r="N896" s="11"/>
      <c r="O896" s="11"/>
      <c r="P896" s="11"/>
      <c r="Q896" s="11"/>
      <c r="R896" s="11"/>
      <c r="CB896" s="11"/>
      <c r="CE896" s="11"/>
      <c r="CF896" s="11"/>
    </row>
    <row r="897" spans="4:84" x14ac:dyDescent="0.25">
      <c r="D897" s="11"/>
      <c r="E897" s="11"/>
      <c r="F897" s="11"/>
      <c r="G897" s="11"/>
      <c r="H897" s="11"/>
      <c r="I897" s="11"/>
      <c r="J897" s="11"/>
      <c r="N897" s="11"/>
      <c r="O897" s="11"/>
      <c r="P897" s="11"/>
      <c r="Q897" s="11"/>
      <c r="R897" s="11"/>
      <c r="CB897" s="11"/>
      <c r="CE897" s="11"/>
      <c r="CF897" s="11"/>
    </row>
    <row r="898" spans="4:84" x14ac:dyDescent="0.25">
      <c r="D898" s="11"/>
      <c r="E898" s="11"/>
      <c r="F898" s="11"/>
      <c r="G898" s="11"/>
      <c r="H898" s="11"/>
      <c r="I898" s="11"/>
      <c r="J898" s="11"/>
      <c r="N898" s="11"/>
      <c r="O898" s="11"/>
      <c r="P898" s="11"/>
      <c r="Q898" s="11"/>
      <c r="R898" s="11"/>
      <c r="CB898" s="11"/>
      <c r="CE898" s="11"/>
      <c r="CF898" s="11"/>
    </row>
    <row r="899" spans="4:84" x14ac:dyDescent="0.25">
      <c r="D899" s="11"/>
      <c r="E899" s="11"/>
      <c r="F899" s="11"/>
      <c r="G899" s="11"/>
      <c r="H899" s="11"/>
      <c r="I899" s="11"/>
      <c r="J899" s="11"/>
      <c r="N899" s="11"/>
      <c r="O899" s="11"/>
      <c r="P899" s="11"/>
      <c r="Q899" s="11"/>
      <c r="R899" s="11"/>
      <c r="CB899" s="11"/>
      <c r="CE899" s="11"/>
      <c r="CF899" s="11"/>
    </row>
    <row r="900" spans="4:84" x14ac:dyDescent="0.25">
      <c r="D900" s="11"/>
      <c r="E900" s="11"/>
      <c r="F900" s="11"/>
      <c r="G900" s="11"/>
      <c r="H900" s="11"/>
      <c r="I900" s="11"/>
      <c r="J900" s="11"/>
      <c r="N900" s="11"/>
      <c r="O900" s="11"/>
      <c r="P900" s="11"/>
      <c r="Q900" s="11"/>
      <c r="R900" s="11"/>
      <c r="CB900" s="11"/>
      <c r="CE900" s="11"/>
      <c r="CF900" s="11"/>
    </row>
    <row r="901" spans="4:84" x14ac:dyDescent="0.25">
      <c r="D901" s="11"/>
      <c r="E901" s="11"/>
      <c r="F901" s="11"/>
      <c r="G901" s="11"/>
      <c r="H901" s="11"/>
      <c r="I901" s="11"/>
      <c r="J901" s="11"/>
      <c r="N901" s="11"/>
      <c r="O901" s="11"/>
      <c r="P901" s="11"/>
      <c r="Q901" s="11"/>
      <c r="R901" s="11"/>
      <c r="CB901" s="11"/>
      <c r="CE901" s="11"/>
      <c r="CF901" s="11"/>
    </row>
    <row r="902" spans="4:84" x14ac:dyDescent="0.25">
      <c r="D902" s="11"/>
      <c r="E902" s="11"/>
      <c r="F902" s="11"/>
      <c r="G902" s="11"/>
      <c r="H902" s="11"/>
      <c r="I902" s="11"/>
      <c r="J902" s="11"/>
      <c r="N902" s="11"/>
      <c r="O902" s="11"/>
      <c r="P902" s="11"/>
      <c r="Q902" s="11"/>
      <c r="R902" s="11"/>
      <c r="CB902" s="11"/>
      <c r="CE902" s="11"/>
      <c r="CF902" s="11"/>
    </row>
    <row r="903" spans="4:84" x14ac:dyDescent="0.25">
      <c r="D903" s="11"/>
      <c r="E903" s="11"/>
      <c r="F903" s="11"/>
      <c r="G903" s="11"/>
      <c r="H903" s="11"/>
      <c r="I903" s="11"/>
      <c r="J903" s="11"/>
      <c r="N903" s="11"/>
      <c r="O903" s="11"/>
      <c r="P903" s="11"/>
      <c r="Q903" s="11"/>
      <c r="R903" s="11"/>
      <c r="CB903" s="11"/>
      <c r="CE903" s="11"/>
      <c r="CF903" s="11"/>
    </row>
    <row r="904" spans="4:84" x14ac:dyDescent="0.25">
      <c r="D904" s="11"/>
      <c r="E904" s="11"/>
      <c r="F904" s="11"/>
      <c r="G904" s="11"/>
      <c r="H904" s="11"/>
      <c r="I904" s="11"/>
      <c r="J904" s="11"/>
      <c r="N904" s="11"/>
      <c r="O904" s="11"/>
      <c r="P904" s="11"/>
      <c r="Q904" s="11"/>
      <c r="R904" s="11"/>
      <c r="CB904" s="11"/>
      <c r="CE904" s="11"/>
      <c r="CF904" s="11"/>
    </row>
    <row r="905" spans="4:84" x14ac:dyDescent="0.25">
      <c r="D905" s="11"/>
      <c r="E905" s="11"/>
      <c r="F905" s="11"/>
      <c r="G905" s="11"/>
      <c r="H905" s="11"/>
      <c r="I905" s="11"/>
      <c r="J905" s="11"/>
      <c r="N905" s="11"/>
      <c r="O905" s="11"/>
      <c r="P905" s="11"/>
      <c r="Q905" s="11"/>
      <c r="R905" s="11"/>
      <c r="CB905" s="11"/>
      <c r="CE905" s="11"/>
      <c r="CF905" s="11"/>
    </row>
    <row r="906" spans="4:84" x14ac:dyDescent="0.25">
      <c r="D906" s="11"/>
      <c r="E906" s="11"/>
      <c r="F906" s="11"/>
      <c r="G906" s="11"/>
      <c r="H906" s="11"/>
      <c r="I906" s="11"/>
      <c r="J906" s="11"/>
      <c r="N906" s="11"/>
      <c r="O906" s="11"/>
      <c r="P906" s="11"/>
      <c r="Q906" s="11"/>
      <c r="R906" s="11"/>
      <c r="CB906" s="11"/>
      <c r="CE906" s="11"/>
      <c r="CF906" s="11"/>
    </row>
    <row r="907" spans="4:84" x14ac:dyDescent="0.25">
      <c r="D907" s="11"/>
      <c r="E907" s="11"/>
      <c r="F907" s="11"/>
      <c r="G907" s="11"/>
      <c r="H907" s="11"/>
      <c r="I907" s="11"/>
      <c r="J907" s="11"/>
      <c r="N907" s="11"/>
      <c r="O907" s="11"/>
      <c r="P907" s="11"/>
      <c r="Q907" s="11"/>
      <c r="R907" s="11"/>
      <c r="CB907" s="11"/>
      <c r="CE907" s="11"/>
      <c r="CF907" s="11"/>
    </row>
    <row r="908" spans="4:84" x14ac:dyDescent="0.25">
      <c r="D908" s="11"/>
      <c r="E908" s="11"/>
      <c r="F908" s="11"/>
      <c r="G908" s="11"/>
      <c r="H908" s="11"/>
      <c r="I908" s="11"/>
      <c r="J908" s="11"/>
      <c r="N908" s="11"/>
      <c r="O908" s="11"/>
      <c r="P908" s="11"/>
      <c r="Q908" s="11"/>
      <c r="R908" s="11"/>
      <c r="CB908" s="11"/>
      <c r="CE908" s="11"/>
      <c r="CF908" s="11"/>
    </row>
    <row r="909" spans="4:84" x14ac:dyDescent="0.25">
      <c r="D909" s="11"/>
      <c r="E909" s="11"/>
      <c r="F909" s="11"/>
      <c r="G909" s="11"/>
      <c r="H909" s="11"/>
      <c r="I909" s="11"/>
      <c r="J909" s="11"/>
      <c r="N909" s="11"/>
      <c r="O909" s="11"/>
      <c r="P909" s="11"/>
      <c r="Q909" s="11"/>
      <c r="R909" s="11"/>
      <c r="CB909" s="11"/>
      <c r="CE909" s="11"/>
      <c r="CF909" s="11"/>
    </row>
    <row r="910" spans="4:84" x14ac:dyDescent="0.25">
      <c r="D910" s="11"/>
      <c r="E910" s="11"/>
      <c r="F910" s="11"/>
      <c r="G910" s="11"/>
      <c r="H910" s="11"/>
      <c r="I910" s="11"/>
      <c r="J910" s="11"/>
      <c r="N910" s="11"/>
      <c r="O910" s="11"/>
      <c r="P910" s="11"/>
      <c r="Q910" s="11"/>
      <c r="R910" s="11"/>
      <c r="CB910" s="11"/>
      <c r="CE910" s="11"/>
      <c r="CF910" s="11"/>
    </row>
    <row r="911" spans="4:84" x14ac:dyDescent="0.25">
      <c r="D911" s="11"/>
      <c r="E911" s="11"/>
      <c r="F911" s="11"/>
      <c r="G911" s="11"/>
      <c r="H911" s="11"/>
      <c r="I911" s="11"/>
      <c r="J911" s="11"/>
      <c r="N911" s="11"/>
      <c r="O911" s="11"/>
      <c r="P911" s="11"/>
      <c r="Q911" s="11"/>
      <c r="R911" s="11"/>
      <c r="CB911" s="11"/>
      <c r="CE911" s="11"/>
      <c r="CF911" s="11"/>
    </row>
    <row r="912" spans="4:84" x14ac:dyDescent="0.25">
      <c r="D912" s="11"/>
      <c r="E912" s="11"/>
      <c r="F912" s="11"/>
      <c r="G912" s="11"/>
      <c r="H912" s="11"/>
      <c r="I912" s="11"/>
      <c r="J912" s="11"/>
      <c r="N912" s="11"/>
      <c r="O912" s="11"/>
      <c r="P912" s="11"/>
      <c r="Q912" s="11"/>
      <c r="R912" s="11"/>
      <c r="CB912" s="11"/>
      <c r="CE912" s="11"/>
      <c r="CF912" s="11"/>
    </row>
    <row r="913" spans="4:84" x14ac:dyDescent="0.25">
      <c r="D913" s="11"/>
      <c r="E913" s="11"/>
      <c r="F913" s="11"/>
      <c r="G913" s="11"/>
      <c r="H913" s="11"/>
      <c r="I913" s="11"/>
      <c r="J913" s="11"/>
      <c r="N913" s="11"/>
      <c r="O913" s="11"/>
      <c r="P913" s="11"/>
      <c r="Q913" s="11"/>
      <c r="R913" s="11"/>
      <c r="CB913" s="11"/>
      <c r="CE913" s="11"/>
      <c r="CF913" s="11"/>
    </row>
    <row r="914" spans="4:84" x14ac:dyDescent="0.25">
      <c r="D914" s="11"/>
      <c r="E914" s="11"/>
      <c r="F914" s="11"/>
      <c r="G914" s="11"/>
      <c r="H914" s="11"/>
      <c r="I914" s="11"/>
      <c r="J914" s="11"/>
      <c r="N914" s="11"/>
      <c r="O914" s="11"/>
      <c r="P914" s="11"/>
      <c r="Q914" s="11"/>
      <c r="R914" s="11"/>
      <c r="CB914" s="11"/>
      <c r="CE914" s="11"/>
      <c r="CF914" s="11"/>
    </row>
    <row r="915" spans="4:84" x14ac:dyDescent="0.25">
      <c r="D915" s="11"/>
      <c r="E915" s="11"/>
      <c r="F915" s="11"/>
      <c r="G915" s="11"/>
      <c r="H915" s="11"/>
      <c r="I915" s="11"/>
      <c r="J915" s="11"/>
      <c r="N915" s="11"/>
      <c r="O915" s="11"/>
      <c r="P915" s="11"/>
      <c r="Q915" s="11"/>
      <c r="R915" s="11"/>
      <c r="CB915" s="11"/>
      <c r="CE915" s="11"/>
      <c r="CF915" s="11"/>
    </row>
  </sheetData>
  <sortState ref="A8:CK70">
    <sortCondition descending="1" ref="CA8:CA70"/>
  </sortState>
  <mergeCells count="20">
    <mergeCell ref="AX72:BE72"/>
    <mergeCell ref="BG72:BN72"/>
    <mergeCell ref="BP72:BW72"/>
    <mergeCell ref="E72:L72"/>
    <mergeCell ref="N72:U72"/>
    <mergeCell ref="W72:AD72"/>
    <mergeCell ref="AF72:AM72"/>
    <mergeCell ref="AO72:AV72"/>
    <mergeCell ref="A1:CA1"/>
    <mergeCell ref="A2:CA2"/>
    <mergeCell ref="A3:CA3"/>
    <mergeCell ref="A4:CA4"/>
    <mergeCell ref="D6:L6"/>
    <mergeCell ref="N6:U6"/>
    <mergeCell ref="W6:AD6"/>
    <mergeCell ref="AF6:AM6"/>
    <mergeCell ref="AO6:AV6"/>
    <mergeCell ref="AX6:BE6"/>
    <mergeCell ref="BG6:BN6"/>
    <mergeCell ref="BP6:BW6"/>
  </mergeCells>
  <conditionalFormatting sqref="BJ9:BO9 BJ10:BJ30 Y9:AE69 BJ33:BJ69 BK10:BO69 Q9:V69 BS9:BX69 BS71:BX71 Q71:V71 H71:M71 BJ71:BO71 BA71:BE71 AR71:AW71 AI71:AN71 Y71:AE71 AI9:AN9 AI11:AN69 AI10:AM10 AO10 AR9:AW69 H9:M69 BA9:BF69">
    <cfRule type="containsText" dxfId="62" priority="27" operator="containsText" text="N">
      <formula>NOT(ISERROR(SEARCH("N",H9)))</formula>
    </cfRule>
    <cfRule type="containsText" dxfId="61" priority="28" operator="containsText" text="F">
      <formula>NOT(ISERROR(SEARCH("F",H9)))</formula>
    </cfRule>
    <cfRule type="containsText" dxfId="60" priority="29" operator="containsText" text="N">
      <formula>NOT(ISERROR(SEARCH("N",H9)))</formula>
    </cfRule>
  </conditionalFormatting>
  <conditionalFormatting sqref="AF10">
    <cfRule type="expression" dxfId="59" priority="25">
      <formula>NOT(ISERROR(SEARCH("A",BF72)))</formula>
    </cfRule>
  </conditionalFormatting>
  <conditionalFormatting sqref="AF11:AF14">
    <cfRule type="expression" dxfId="58" priority="26">
      <formula>NOT(ISERROR(SEARCH("A",#REF!)))</formula>
    </cfRule>
  </conditionalFormatting>
  <conditionalFormatting sqref="AO11:AO14">
    <cfRule type="expression" dxfId="57" priority="24">
      <formula>NOT(ISERROR(SEARCH("A",#REF!)))</formula>
    </cfRule>
  </conditionalFormatting>
  <conditionalFormatting sqref="BQ46:BR69 BR36:BR45 BQ10:BR35 BQ71:BR71">
    <cfRule type="cellIs" dxfId="56" priority="23" operator="lessThan">
      <formula>20</formula>
    </cfRule>
  </conditionalFormatting>
  <conditionalFormatting sqref="AF71">
    <cfRule type="expression" dxfId="55" priority="30">
      <formula>NOT(ISERROR(SEARCH("A",BF122)))</formula>
    </cfRule>
  </conditionalFormatting>
  <conditionalFormatting sqref="AF19:AF22">
    <cfRule type="expression" dxfId="54" priority="31">
      <formula>NOT(ISERROR(SEARCH("A",#REF!)))</formula>
    </cfRule>
  </conditionalFormatting>
  <conditionalFormatting sqref="AO71">
    <cfRule type="expression" dxfId="53" priority="32">
      <formula>NOT(ISERROR(SEARCH("A",BP122)))</formula>
    </cfRule>
  </conditionalFormatting>
  <conditionalFormatting sqref="AO19:AO22">
    <cfRule type="expression" dxfId="52" priority="33">
      <formula>NOT(ISERROR(SEARCH("A",#REF!)))</formula>
    </cfRule>
  </conditionalFormatting>
  <conditionalFormatting sqref="BR36:BT45 BL36:BP45 BL10:BT35 BK10:BK45 BK46:BT69 BU10:BX69 BY9:CB69 E71:BE71 AO10:AS10 AM10 E9:BX9 BE10:BJ30 BE31:BI32 BG71:CB71 E10:AL69 AM11:AS69 AT10:BD69 BE33:BJ69">
    <cfRule type="cellIs" dxfId="51" priority="21" operator="equal">
      <formula>95</formula>
    </cfRule>
    <cfRule type="cellIs" dxfId="50" priority="22" operator="equal">
      <formula>"f"</formula>
    </cfRule>
  </conditionalFormatting>
  <conditionalFormatting sqref="AF60">
    <cfRule type="expression" dxfId="49" priority="34">
      <formula>NOT(ISERROR(SEARCH("A",BF121)))</formula>
    </cfRule>
  </conditionalFormatting>
  <conditionalFormatting sqref="AO60">
    <cfRule type="expression" dxfId="48" priority="35">
      <formula>NOT(ISERROR(SEARCH("A",BP121)))</formula>
    </cfRule>
  </conditionalFormatting>
  <conditionalFormatting sqref="AF59">
    <cfRule type="expression" dxfId="47" priority="36">
      <formula>NOT(ISERROR(SEARCH("A",BF121)))</formula>
    </cfRule>
  </conditionalFormatting>
  <conditionalFormatting sqref="AO59">
    <cfRule type="expression" dxfId="46" priority="37">
      <formula>NOT(ISERROR(SEARCH("A",BP121)))</formula>
    </cfRule>
  </conditionalFormatting>
  <conditionalFormatting sqref="AF23:AF30 AF58">
    <cfRule type="expression" dxfId="45" priority="38">
      <formula>NOT(ISERROR(SEARCH("A",BF86)))</formula>
    </cfRule>
  </conditionalFormatting>
  <conditionalFormatting sqref="AO23:AO30 AO58">
    <cfRule type="expression" dxfId="44" priority="39">
      <formula>NOT(ISERROR(SEARCH("A",BP86)))</formula>
    </cfRule>
  </conditionalFormatting>
  <conditionalFormatting sqref="AF31:AF57">
    <cfRule type="expression" dxfId="43" priority="40">
      <formula>NOT(ISERROR(SEARCH("A",BF95)))</formula>
    </cfRule>
  </conditionalFormatting>
  <conditionalFormatting sqref="AO31:AO57">
    <cfRule type="expression" dxfId="42" priority="41">
      <formula>NOT(ISERROR(SEARCH("A",BP95)))</formula>
    </cfRule>
  </conditionalFormatting>
  <conditionalFormatting sqref="AF15:AF18">
    <cfRule type="expression" dxfId="41" priority="42">
      <formula>NOT(ISERROR(SEARCH("A",BF82)))</formula>
    </cfRule>
  </conditionalFormatting>
  <conditionalFormatting sqref="AO15:AO18">
    <cfRule type="expression" dxfId="40" priority="43">
      <formula>NOT(ISERROR(SEARCH("A",BP82)))</formula>
    </cfRule>
  </conditionalFormatting>
  <conditionalFormatting sqref="E71:BE71 AO10:BX10 E10:AM10 E9:BX9 BG71:BX71 E11:BX69">
    <cfRule type="cellIs" dxfId="39" priority="20" operator="equal">
      <formula>"AB"</formula>
    </cfRule>
  </conditionalFormatting>
  <conditionalFormatting sqref="CA9:CA69 CA71">
    <cfRule type="cellIs" dxfId="38" priority="18" operator="greaterThan">
      <formula>9</formula>
    </cfRule>
    <cfRule type="cellIs" dxfId="37" priority="19" operator="greaterThan">
      <formula>9.5</formula>
    </cfRule>
  </conditionalFormatting>
  <conditionalFormatting sqref="AF69">
    <cfRule type="expression" dxfId="36" priority="44">
      <formula>NOT(ISERROR(SEARCH("A",BF124)))</formula>
    </cfRule>
  </conditionalFormatting>
  <conditionalFormatting sqref="AO69">
    <cfRule type="expression" dxfId="35" priority="45">
      <formula>NOT(ISERROR(SEARCH("A",BP124)))</formula>
    </cfRule>
  </conditionalFormatting>
  <conditionalFormatting sqref="AF65">
    <cfRule type="expression" dxfId="34" priority="46">
      <formula>NOT(ISERROR(SEARCH("A",BF122)))</formula>
    </cfRule>
  </conditionalFormatting>
  <conditionalFormatting sqref="AO65">
    <cfRule type="expression" dxfId="33" priority="47">
      <formula>NOT(ISERROR(SEARCH("A",BP122)))</formula>
    </cfRule>
  </conditionalFormatting>
  <conditionalFormatting sqref="AF64">
    <cfRule type="expression" dxfId="32" priority="48">
      <formula>NOT(ISERROR(SEARCH("A",BF122)))</formula>
    </cfRule>
  </conditionalFormatting>
  <conditionalFormatting sqref="AO64">
    <cfRule type="expression" dxfId="31" priority="49">
      <formula>NOT(ISERROR(SEARCH("A",BP122)))</formula>
    </cfRule>
  </conditionalFormatting>
  <conditionalFormatting sqref="AF61:AF63">
    <cfRule type="expression" dxfId="30" priority="50">
      <formula>NOT(ISERROR(SEARCH("A",BF120)))</formula>
    </cfRule>
  </conditionalFormatting>
  <conditionalFormatting sqref="AO61:AO63">
    <cfRule type="expression" dxfId="29" priority="51">
      <formula>NOT(ISERROR(SEARCH("A",BP120)))</formula>
    </cfRule>
  </conditionalFormatting>
  <conditionalFormatting sqref="AF66:AF68">
    <cfRule type="expression" dxfId="28" priority="52">
      <formula>NOT(ISERROR(SEARCH("A",BF122)))</formula>
    </cfRule>
  </conditionalFormatting>
  <conditionalFormatting sqref="AO66:AO68">
    <cfRule type="expression" dxfId="27" priority="53">
      <formula>NOT(ISERROR(SEARCH("A",BP122)))</formula>
    </cfRule>
  </conditionalFormatting>
  <conditionalFormatting sqref="BS70:BX70 Q70:V70 H70:M70 BJ70:BO70 BA70:BE70 AR70:AW70 AI70:AN70 Y70:AE70">
    <cfRule type="containsText" dxfId="26" priority="13" operator="containsText" text="N">
      <formula>NOT(ISERROR(SEARCH("N",H70)))</formula>
    </cfRule>
    <cfRule type="containsText" dxfId="25" priority="14" operator="containsText" text="F">
      <formula>NOT(ISERROR(SEARCH("F",H70)))</formula>
    </cfRule>
    <cfRule type="containsText" dxfId="24" priority="15" operator="containsText" text="N">
      <formula>NOT(ISERROR(SEARCH("N",H70)))</formula>
    </cfRule>
  </conditionalFormatting>
  <conditionalFormatting sqref="BQ70:BR70">
    <cfRule type="cellIs" dxfId="23" priority="12" operator="lessThan">
      <formula>20</formula>
    </cfRule>
  </conditionalFormatting>
  <conditionalFormatting sqref="AF70">
    <cfRule type="expression" dxfId="22" priority="16">
      <formula>NOT(ISERROR(SEARCH("A",BF121)))</formula>
    </cfRule>
  </conditionalFormatting>
  <conditionalFormatting sqref="AO70">
    <cfRule type="expression" dxfId="21" priority="17">
      <formula>NOT(ISERROR(SEARCH("A",BP121)))</formula>
    </cfRule>
  </conditionalFormatting>
  <conditionalFormatting sqref="E70:BE70 BG70:CB70">
    <cfRule type="cellIs" dxfId="20" priority="10" operator="equal">
      <formula>95</formula>
    </cfRule>
    <cfRule type="cellIs" dxfId="19" priority="11" operator="equal">
      <formula>"f"</formula>
    </cfRule>
  </conditionalFormatting>
  <conditionalFormatting sqref="E70:BE70 BG70:BX70">
    <cfRule type="cellIs" dxfId="18" priority="9" operator="equal">
      <formula>"AB"</formula>
    </cfRule>
  </conditionalFormatting>
  <conditionalFormatting sqref="CA70">
    <cfRule type="cellIs" dxfId="17" priority="7" operator="greaterThan">
      <formula>9</formula>
    </cfRule>
    <cfRule type="cellIs" dxfId="16" priority="8" operator="greaterThan">
      <formula>9.5</formula>
    </cfRule>
  </conditionalFormatting>
  <conditionalFormatting sqref="BF70:BF71">
    <cfRule type="containsText" dxfId="15" priority="4" operator="containsText" text="N">
      <formula>NOT(ISERROR(SEARCH("N",BF70)))</formula>
    </cfRule>
    <cfRule type="containsText" dxfId="14" priority="5" operator="containsText" text="F">
      <formula>NOT(ISERROR(SEARCH("F",BF70)))</formula>
    </cfRule>
    <cfRule type="containsText" dxfId="13" priority="6" operator="containsText" text="N">
      <formula>NOT(ISERROR(SEARCH("N",BF70)))</formula>
    </cfRule>
  </conditionalFormatting>
  <conditionalFormatting sqref="BF70:BF71">
    <cfRule type="cellIs" dxfId="12" priority="2" operator="equal">
      <formula>95</formula>
    </cfRule>
    <cfRule type="cellIs" dxfId="11" priority="3" operator="equal">
      <formula>"f"</formula>
    </cfRule>
  </conditionalFormatting>
  <conditionalFormatting sqref="BF70:BF71">
    <cfRule type="cellIs" dxfId="10" priority="1" operator="equal">
      <formula>"AB"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65"/>
  <sheetViews>
    <sheetView workbookViewId="0">
      <selection activeCell="B3" sqref="B3:G65"/>
    </sheetView>
  </sheetViews>
  <sheetFormatPr defaultRowHeight="14.25" x14ac:dyDescent="0.2"/>
  <cols>
    <col min="1" max="1" width="3.5" style="95" customWidth="1"/>
    <col min="2" max="2" width="13.375" style="97" customWidth="1"/>
    <col min="3" max="3" width="32.25" style="97" bestFit="1" customWidth="1"/>
    <col min="4" max="4" width="6.375" style="95" customWidth="1"/>
    <col min="5" max="5" width="6.25" style="95" customWidth="1"/>
    <col min="6" max="6" width="4.375" style="95" bestFit="1" customWidth="1"/>
    <col min="7" max="7" width="4.625" style="97" customWidth="1"/>
    <col min="8" max="16384" width="9" style="97"/>
  </cols>
  <sheetData>
    <row r="2" spans="1:7" x14ac:dyDescent="0.2">
      <c r="A2" s="96" t="s">
        <v>241</v>
      </c>
      <c r="B2" s="96" t="s">
        <v>1</v>
      </c>
      <c r="C2" s="96" t="s">
        <v>238</v>
      </c>
      <c r="D2" s="96" t="s">
        <v>236</v>
      </c>
      <c r="E2" s="96" t="s">
        <v>237</v>
      </c>
      <c r="F2" s="96" t="s">
        <v>239</v>
      </c>
      <c r="G2" s="96" t="s">
        <v>240</v>
      </c>
    </row>
    <row r="3" spans="1:7" ht="15.95" customHeight="1" x14ac:dyDescent="0.25">
      <c r="A3" s="96">
        <v>1</v>
      </c>
      <c r="B3" s="98"/>
      <c r="C3" s="99"/>
      <c r="D3" s="100"/>
      <c r="E3" s="100"/>
      <c r="F3" s="101"/>
      <c r="G3" s="102"/>
    </row>
    <row r="4" spans="1:7" ht="15.95" customHeight="1" x14ac:dyDescent="0.25">
      <c r="A4" s="96">
        <v>2</v>
      </c>
      <c r="B4" s="98"/>
      <c r="C4" s="99"/>
      <c r="D4" s="100"/>
      <c r="E4" s="100"/>
      <c r="F4" s="101"/>
      <c r="G4" s="102"/>
    </row>
    <row r="5" spans="1:7" ht="15.95" customHeight="1" x14ac:dyDescent="0.25">
      <c r="A5" s="96">
        <v>3</v>
      </c>
      <c r="B5" s="98"/>
      <c r="C5" s="99"/>
      <c r="D5" s="100"/>
      <c r="E5" s="100"/>
      <c r="F5" s="101"/>
      <c r="G5" s="102"/>
    </row>
    <row r="6" spans="1:7" ht="15.95" customHeight="1" x14ac:dyDescent="0.25">
      <c r="A6" s="96">
        <v>4</v>
      </c>
      <c r="B6" s="98"/>
      <c r="C6" s="99"/>
      <c r="D6" s="100"/>
      <c r="E6" s="100"/>
      <c r="F6" s="101"/>
      <c r="G6" s="102"/>
    </row>
    <row r="7" spans="1:7" ht="15.95" customHeight="1" x14ac:dyDescent="0.25">
      <c r="A7" s="96">
        <v>5</v>
      </c>
      <c r="B7" s="98"/>
      <c r="C7" s="99"/>
      <c r="D7" s="100"/>
      <c r="E7" s="100"/>
      <c r="F7" s="101"/>
      <c r="G7" s="102"/>
    </row>
    <row r="8" spans="1:7" ht="15.95" customHeight="1" x14ac:dyDescent="0.25">
      <c r="A8" s="96">
        <v>6</v>
      </c>
      <c r="B8" s="98"/>
      <c r="C8" s="99"/>
      <c r="D8" s="100"/>
      <c r="E8" s="100"/>
      <c r="F8" s="101"/>
      <c r="G8" s="102"/>
    </row>
    <row r="9" spans="1:7" ht="15.95" customHeight="1" x14ac:dyDescent="0.25">
      <c r="A9" s="96">
        <v>7</v>
      </c>
      <c r="B9" s="98"/>
      <c r="C9" s="99"/>
      <c r="D9" s="100"/>
      <c r="E9" s="100"/>
      <c r="F9" s="101"/>
      <c r="G9" s="102"/>
    </row>
    <row r="10" spans="1:7" ht="15.95" customHeight="1" x14ac:dyDescent="0.25">
      <c r="A10" s="96">
        <v>8</v>
      </c>
      <c r="B10" s="98"/>
      <c r="C10" s="99"/>
      <c r="D10" s="100"/>
      <c r="E10" s="100"/>
      <c r="F10" s="101"/>
      <c r="G10" s="102"/>
    </row>
    <row r="11" spans="1:7" ht="15.95" customHeight="1" x14ac:dyDescent="0.25">
      <c r="A11" s="96">
        <v>9</v>
      </c>
      <c r="B11" s="98"/>
      <c r="C11" s="99"/>
      <c r="D11" s="100"/>
      <c r="E11" s="100"/>
      <c r="F11" s="101"/>
      <c r="G11" s="102"/>
    </row>
    <row r="12" spans="1:7" ht="15.95" customHeight="1" x14ac:dyDescent="0.25">
      <c r="A12" s="96">
        <v>10</v>
      </c>
      <c r="B12" s="98"/>
      <c r="C12" s="99"/>
      <c r="D12" s="100"/>
      <c r="E12" s="100"/>
      <c r="F12" s="101"/>
      <c r="G12" s="102"/>
    </row>
    <row r="13" spans="1:7" ht="15.95" customHeight="1" x14ac:dyDescent="0.25">
      <c r="A13" s="96">
        <v>11</v>
      </c>
      <c r="B13" s="98"/>
      <c r="C13" s="99"/>
      <c r="D13" s="100"/>
      <c r="E13" s="100"/>
      <c r="F13" s="101"/>
      <c r="G13" s="102"/>
    </row>
    <row r="14" spans="1:7" ht="15.95" customHeight="1" x14ac:dyDescent="0.25">
      <c r="A14" s="96">
        <v>12</v>
      </c>
      <c r="B14" s="98"/>
      <c r="C14" s="99"/>
      <c r="D14" s="100"/>
      <c r="E14" s="100"/>
      <c r="F14" s="101"/>
      <c r="G14" s="102"/>
    </row>
    <row r="15" spans="1:7" ht="15.95" customHeight="1" x14ac:dyDescent="0.25">
      <c r="A15" s="96">
        <v>13</v>
      </c>
      <c r="B15" s="98"/>
      <c r="C15" s="99"/>
      <c r="D15" s="100"/>
      <c r="E15" s="100"/>
      <c r="F15" s="101"/>
      <c r="G15" s="102"/>
    </row>
    <row r="16" spans="1:7" ht="15.95" customHeight="1" x14ac:dyDescent="0.25">
      <c r="A16" s="96">
        <v>14</v>
      </c>
      <c r="B16" s="98"/>
      <c r="C16" s="99"/>
      <c r="D16" s="100"/>
      <c r="E16" s="100"/>
      <c r="F16" s="101"/>
      <c r="G16" s="102"/>
    </row>
    <row r="17" spans="1:7" ht="15.95" customHeight="1" x14ac:dyDescent="0.25">
      <c r="A17" s="96">
        <v>15</v>
      </c>
      <c r="B17" s="98"/>
      <c r="C17" s="99"/>
      <c r="D17" s="100"/>
      <c r="E17" s="100"/>
      <c r="F17" s="101"/>
      <c r="G17" s="102"/>
    </row>
    <row r="18" spans="1:7" ht="15.95" customHeight="1" x14ac:dyDescent="0.25">
      <c r="A18" s="96">
        <v>16</v>
      </c>
      <c r="B18" s="98"/>
      <c r="C18" s="99"/>
      <c r="D18" s="100"/>
      <c r="E18" s="100"/>
      <c r="F18" s="101"/>
      <c r="G18" s="102"/>
    </row>
    <row r="19" spans="1:7" ht="15.95" customHeight="1" x14ac:dyDescent="0.25">
      <c r="A19" s="96">
        <v>17</v>
      </c>
      <c r="B19" s="98"/>
      <c r="C19" s="99"/>
      <c r="D19" s="100"/>
      <c r="E19" s="100"/>
      <c r="F19" s="101"/>
      <c r="G19" s="102"/>
    </row>
    <row r="20" spans="1:7" ht="15.95" customHeight="1" x14ac:dyDescent="0.25">
      <c r="A20" s="96">
        <v>18</v>
      </c>
      <c r="B20" s="98"/>
      <c r="C20" s="99"/>
      <c r="D20" s="100"/>
      <c r="E20" s="100"/>
      <c r="F20" s="101"/>
      <c r="G20" s="102"/>
    </row>
    <row r="21" spans="1:7" ht="15.95" customHeight="1" x14ac:dyDescent="0.25">
      <c r="A21" s="96">
        <v>19</v>
      </c>
      <c r="B21" s="98"/>
      <c r="C21" s="99"/>
      <c r="D21" s="100"/>
      <c r="E21" s="100"/>
      <c r="F21" s="101"/>
      <c r="G21" s="102"/>
    </row>
    <row r="22" spans="1:7" ht="15.95" customHeight="1" x14ac:dyDescent="0.25">
      <c r="A22" s="96">
        <v>20</v>
      </c>
      <c r="B22" s="98"/>
      <c r="C22" s="99"/>
      <c r="D22" s="100"/>
      <c r="E22" s="100"/>
      <c r="F22" s="101"/>
      <c r="G22" s="102"/>
    </row>
    <row r="23" spans="1:7" ht="15.95" customHeight="1" x14ac:dyDescent="0.25">
      <c r="A23" s="96">
        <v>21</v>
      </c>
      <c r="B23" s="98"/>
      <c r="C23" s="99"/>
      <c r="D23" s="100"/>
      <c r="E23" s="100"/>
      <c r="F23" s="101"/>
      <c r="G23" s="102"/>
    </row>
    <row r="24" spans="1:7" ht="15.95" customHeight="1" x14ac:dyDescent="0.25">
      <c r="A24" s="96">
        <v>22</v>
      </c>
      <c r="B24" s="98"/>
      <c r="C24" s="99"/>
      <c r="D24" s="100"/>
      <c r="E24" s="100"/>
      <c r="F24" s="101"/>
      <c r="G24" s="102"/>
    </row>
    <row r="25" spans="1:7" ht="15.95" customHeight="1" x14ac:dyDescent="0.25">
      <c r="A25" s="96">
        <v>23</v>
      </c>
      <c r="B25" s="98"/>
      <c r="C25" s="99"/>
      <c r="D25" s="100"/>
      <c r="E25" s="100"/>
      <c r="F25" s="101"/>
      <c r="G25" s="102"/>
    </row>
    <row r="26" spans="1:7" ht="15.95" customHeight="1" x14ac:dyDescent="0.25">
      <c r="A26" s="96">
        <v>24</v>
      </c>
      <c r="B26" s="98"/>
      <c r="C26" s="99"/>
      <c r="D26" s="100"/>
      <c r="E26" s="100"/>
      <c r="F26" s="101"/>
      <c r="G26" s="102"/>
    </row>
    <row r="27" spans="1:7" ht="15.95" customHeight="1" x14ac:dyDescent="0.25">
      <c r="A27" s="96">
        <v>25</v>
      </c>
      <c r="B27" s="98"/>
      <c r="C27" s="99"/>
      <c r="D27" s="100"/>
      <c r="E27" s="100"/>
      <c r="F27" s="101"/>
      <c r="G27" s="102"/>
    </row>
    <row r="28" spans="1:7" ht="15.95" customHeight="1" x14ac:dyDescent="0.25">
      <c r="A28" s="96">
        <v>26</v>
      </c>
      <c r="B28" s="98"/>
      <c r="C28" s="99"/>
      <c r="D28" s="100"/>
      <c r="E28" s="100"/>
      <c r="F28" s="101"/>
      <c r="G28" s="102"/>
    </row>
    <row r="29" spans="1:7" ht="15.95" customHeight="1" x14ac:dyDescent="0.25">
      <c r="A29" s="96">
        <v>27</v>
      </c>
      <c r="B29" s="98"/>
      <c r="C29" s="99"/>
      <c r="D29" s="100"/>
      <c r="E29" s="100"/>
      <c r="F29" s="101"/>
      <c r="G29" s="102"/>
    </row>
    <row r="30" spans="1:7" ht="15.95" customHeight="1" x14ac:dyDescent="0.25">
      <c r="A30" s="96">
        <v>28</v>
      </c>
      <c r="B30" s="98"/>
      <c r="C30" s="99"/>
      <c r="D30" s="100"/>
      <c r="E30" s="100"/>
      <c r="F30" s="101"/>
      <c r="G30" s="102"/>
    </row>
    <row r="31" spans="1:7" ht="15.95" customHeight="1" x14ac:dyDescent="0.25">
      <c r="A31" s="96">
        <v>29</v>
      </c>
      <c r="B31" s="98"/>
      <c r="C31" s="99"/>
      <c r="D31" s="100"/>
      <c r="E31" s="100"/>
      <c r="F31" s="101"/>
      <c r="G31" s="102"/>
    </row>
    <row r="32" spans="1:7" ht="15.95" customHeight="1" x14ac:dyDescent="0.25">
      <c r="A32" s="96">
        <v>30</v>
      </c>
      <c r="B32" s="98"/>
      <c r="C32" s="99"/>
      <c r="D32" s="100"/>
      <c r="E32" s="100"/>
      <c r="F32" s="101"/>
      <c r="G32" s="102"/>
    </row>
    <row r="33" spans="1:7" ht="15.95" customHeight="1" x14ac:dyDescent="0.25">
      <c r="A33" s="96">
        <v>31</v>
      </c>
      <c r="B33" s="98"/>
      <c r="C33" s="99"/>
      <c r="D33" s="100"/>
      <c r="E33" s="100"/>
      <c r="F33" s="101"/>
      <c r="G33" s="102"/>
    </row>
    <row r="34" spans="1:7" ht="15.95" customHeight="1" x14ac:dyDescent="0.25">
      <c r="A34" s="96">
        <v>32</v>
      </c>
      <c r="B34" s="98"/>
      <c r="C34" s="99"/>
      <c r="D34" s="100"/>
      <c r="E34" s="100"/>
      <c r="F34" s="101"/>
      <c r="G34" s="102"/>
    </row>
    <row r="35" spans="1:7" ht="15.95" customHeight="1" x14ac:dyDescent="0.25">
      <c r="A35" s="96">
        <v>33</v>
      </c>
      <c r="B35" s="98"/>
      <c r="C35" s="99"/>
      <c r="D35" s="100"/>
      <c r="E35" s="100"/>
      <c r="F35" s="101"/>
      <c r="G35" s="102"/>
    </row>
    <row r="36" spans="1:7" ht="15.95" customHeight="1" x14ac:dyDescent="0.25">
      <c r="A36" s="96">
        <v>34</v>
      </c>
      <c r="B36" s="98"/>
      <c r="C36" s="99"/>
      <c r="D36" s="100"/>
      <c r="E36" s="100"/>
      <c r="F36" s="101"/>
      <c r="G36" s="102"/>
    </row>
    <row r="37" spans="1:7" ht="15.95" customHeight="1" x14ac:dyDescent="0.25">
      <c r="A37" s="96">
        <v>35</v>
      </c>
      <c r="B37" s="98"/>
      <c r="C37" s="99"/>
      <c r="D37" s="100"/>
      <c r="E37" s="100"/>
      <c r="F37" s="101"/>
      <c r="G37" s="102"/>
    </row>
    <row r="38" spans="1:7" ht="15.95" customHeight="1" x14ac:dyDescent="0.25">
      <c r="A38" s="96">
        <v>36</v>
      </c>
      <c r="B38" s="98"/>
      <c r="C38" s="99"/>
      <c r="D38" s="100"/>
      <c r="E38" s="100"/>
      <c r="F38" s="101"/>
      <c r="G38" s="102"/>
    </row>
    <row r="39" spans="1:7" ht="15.95" customHeight="1" x14ac:dyDescent="0.25">
      <c r="A39" s="96">
        <v>37</v>
      </c>
      <c r="B39" s="98"/>
      <c r="C39" s="99"/>
      <c r="D39" s="100"/>
      <c r="E39" s="100"/>
      <c r="F39" s="101"/>
      <c r="G39" s="102"/>
    </row>
    <row r="40" spans="1:7" ht="15.95" customHeight="1" x14ac:dyDescent="0.25">
      <c r="A40" s="96">
        <v>38</v>
      </c>
      <c r="B40" s="98"/>
      <c r="C40" s="99"/>
      <c r="D40" s="100"/>
      <c r="E40" s="100"/>
      <c r="F40" s="101"/>
      <c r="G40" s="102"/>
    </row>
    <row r="41" spans="1:7" ht="15.95" customHeight="1" x14ac:dyDescent="0.25">
      <c r="A41" s="96">
        <v>39</v>
      </c>
      <c r="B41" s="98"/>
      <c r="C41" s="99"/>
      <c r="D41" s="100"/>
      <c r="E41" s="100"/>
      <c r="F41" s="101"/>
      <c r="G41" s="102"/>
    </row>
    <row r="42" spans="1:7" ht="15.95" customHeight="1" x14ac:dyDescent="0.25">
      <c r="A42" s="96">
        <v>40</v>
      </c>
      <c r="B42" s="98"/>
      <c r="C42" s="99"/>
      <c r="D42" s="100"/>
      <c r="E42" s="100"/>
      <c r="F42" s="101"/>
      <c r="G42" s="102"/>
    </row>
    <row r="43" spans="1:7" ht="15.95" customHeight="1" x14ac:dyDescent="0.25">
      <c r="A43" s="96">
        <v>41</v>
      </c>
      <c r="B43" s="98"/>
      <c r="C43" s="99"/>
      <c r="D43" s="100"/>
      <c r="E43" s="100"/>
      <c r="F43" s="101"/>
      <c r="G43" s="102"/>
    </row>
    <row r="44" spans="1:7" ht="15.95" customHeight="1" x14ac:dyDescent="0.25">
      <c r="A44" s="96">
        <v>42</v>
      </c>
      <c r="B44" s="98"/>
      <c r="C44" s="99"/>
      <c r="D44" s="100"/>
      <c r="E44" s="100"/>
      <c r="F44" s="101"/>
      <c r="G44" s="102"/>
    </row>
    <row r="45" spans="1:7" ht="15.95" customHeight="1" x14ac:dyDescent="0.25">
      <c r="A45" s="96">
        <v>43</v>
      </c>
      <c r="B45" s="98"/>
      <c r="C45" s="99"/>
      <c r="D45" s="100"/>
      <c r="E45" s="100"/>
      <c r="F45" s="101"/>
      <c r="G45" s="102"/>
    </row>
    <row r="46" spans="1:7" ht="15.95" customHeight="1" x14ac:dyDescent="0.25">
      <c r="A46" s="96">
        <v>44</v>
      </c>
      <c r="B46" s="98"/>
      <c r="C46" s="99"/>
      <c r="D46" s="100"/>
      <c r="E46" s="100"/>
      <c r="F46" s="101"/>
      <c r="G46" s="102"/>
    </row>
    <row r="47" spans="1:7" ht="15.95" customHeight="1" x14ac:dyDescent="0.25">
      <c r="A47" s="96">
        <v>45</v>
      </c>
      <c r="B47" s="98"/>
      <c r="C47" s="99"/>
      <c r="D47" s="100"/>
      <c r="E47" s="100"/>
      <c r="F47" s="101"/>
      <c r="G47" s="102"/>
    </row>
    <row r="48" spans="1:7" ht="15.95" customHeight="1" x14ac:dyDescent="0.25">
      <c r="A48" s="96">
        <v>46</v>
      </c>
      <c r="B48" s="98"/>
      <c r="C48" s="99"/>
      <c r="D48" s="100"/>
      <c r="E48" s="100"/>
      <c r="F48" s="101"/>
      <c r="G48" s="102"/>
    </row>
    <row r="49" spans="1:7" ht="15.95" customHeight="1" x14ac:dyDescent="0.25">
      <c r="A49" s="96">
        <v>47</v>
      </c>
      <c r="B49" s="98"/>
      <c r="C49" s="99"/>
      <c r="D49" s="100"/>
      <c r="E49" s="100"/>
      <c r="F49" s="101"/>
      <c r="G49" s="102"/>
    </row>
    <row r="50" spans="1:7" ht="15.95" customHeight="1" x14ac:dyDescent="0.25">
      <c r="A50" s="96">
        <v>48</v>
      </c>
      <c r="B50" s="98"/>
      <c r="C50" s="103"/>
      <c r="D50" s="100"/>
      <c r="E50" s="100"/>
      <c r="F50" s="101"/>
      <c r="G50" s="102"/>
    </row>
    <row r="51" spans="1:7" ht="15.95" customHeight="1" x14ac:dyDescent="0.25">
      <c r="A51" s="96">
        <v>49</v>
      </c>
      <c r="B51" s="98"/>
      <c r="C51" s="99"/>
      <c r="D51" s="100"/>
      <c r="E51" s="100"/>
      <c r="F51" s="101"/>
      <c r="G51" s="102"/>
    </row>
    <row r="52" spans="1:7" ht="15.95" customHeight="1" x14ac:dyDescent="0.25">
      <c r="A52" s="96">
        <v>50</v>
      </c>
      <c r="B52" s="98"/>
      <c r="C52" s="99"/>
      <c r="D52" s="100"/>
      <c r="E52" s="100"/>
      <c r="F52" s="101"/>
      <c r="G52" s="102"/>
    </row>
    <row r="53" spans="1:7" ht="15.95" customHeight="1" x14ac:dyDescent="0.25">
      <c r="A53" s="96">
        <v>51</v>
      </c>
      <c r="B53" s="98"/>
      <c r="C53" s="99"/>
      <c r="D53" s="100"/>
      <c r="E53" s="100"/>
      <c r="F53" s="101"/>
      <c r="G53" s="102"/>
    </row>
    <row r="54" spans="1:7" ht="15.95" customHeight="1" x14ac:dyDescent="0.25">
      <c r="A54" s="96">
        <v>52</v>
      </c>
      <c r="B54" s="98"/>
      <c r="C54" s="99"/>
      <c r="D54" s="100"/>
      <c r="E54" s="100"/>
      <c r="F54" s="101"/>
      <c r="G54" s="102"/>
    </row>
    <row r="55" spans="1:7" ht="15.95" customHeight="1" x14ac:dyDescent="0.25">
      <c r="A55" s="96">
        <v>53</v>
      </c>
      <c r="B55" s="98"/>
      <c r="C55" s="99"/>
      <c r="D55" s="100"/>
      <c r="E55" s="100"/>
      <c r="F55" s="101"/>
      <c r="G55" s="102"/>
    </row>
    <row r="56" spans="1:7" ht="15.95" customHeight="1" x14ac:dyDescent="0.25">
      <c r="A56" s="96">
        <v>54</v>
      </c>
      <c r="B56" s="98"/>
      <c r="C56" s="99"/>
      <c r="D56" s="100"/>
      <c r="E56" s="100"/>
      <c r="F56" s="101"/>
      <c r="G56" s="102"/>
    </row>
    <row r="57" spans="1:7" ht="15.95" customHeight="1" x14ac:dyDescent="0.25">
      <c r="A57" s="96">
        <v>55</v>
      </c>
      <c r="B57" s="98"/>
      <c r="C57" s="99"/>
      <c r="D57" s="100"/>
      <c r="E57" s="100"/>
      <c r="F57" s="101"/>
      <c r="G57" s="102"/>
    </row>
    <row r="58" spans="1:7" ht="15.95" customHeight="1" x14ac:dyDescent="0.25">
      <c r="A58" s="96">
        <v>56</v>
      </c>
      <c r="B58" s="98"/>
      <c r="C58" s="99"/>
      <c r="D58" s="100"/>
      <c r="E58" s="100"/>
      <c r="F58" s="101"/>
      <c r="G58" s="102"/>
    </row>
    <row r="59" spans="1:7" ht="15.95" customHeight="1" x14ac:dyDescent="0.25">
      <c r="A59" s="96">
        <v>57</v>
      </c>
      <c r="B59" s="98"/>
      <c r="C59" s="99"/>
      <c r="D59" s="100"/>
      <c r="E59" s="100"/>
      <c r="F59" s="101"/>
      <c r="G59" s="102"/>
    </row>
    <row r="60" spans="1:7" ht="15.95" customHeight="1" x14ac:dyDescent="0.25">
      <c r="A60" s="96">
        <v>58</v>
      </c>
      <c r="B60" s="98"/>
      <c r="C60" s="99"/>
      <c r="D60" s="100"/>
      <c r="E60" s="100"/>
      <c r="F60" s="101"/>
      <c r="G60" s="102"/>
    </row>
    <row r="61" spans="1:7" ht="15.95" customHeight="1" x14ac:dyDescent="0.25">
      <c r="A61" s="96">
        <v>59</v>
      </c>
      <c r="B61" s="98"/>
      <c r="C61" s="99"/>
      <c r="D61" s="100"/>
      <c r="E61" s="100"/>
      <c r="F61" s="101"/>
      <c r="G61" s="102"/>
    </row>
    <row r="62" spans="1:7" ht="15.95" customHeight="1" x14ac:dyDescent="0.25">
      <c r="A62" s="96">
        <v>60</v>
      </c>
      <c r="B62" s="98"/>
      <c r="C62" s="99"/>
      <c r="D62" s="100"/>
      <c r="E62" s="100"/>
      <c r="F62" s="101"/>
      <c r="G62" s="102"/>
    </row>
    <row r="63" spans="1:7" ht="15.95" customHeight="1" x14ac:dyDescent="0.25">
      <c r="A63" s="96">
        <v>61</v>
      </c>
      <c r="B63" s="98"/>
      <c r="C63" s="99"/>
      <c r="D63" s="100"/>
      <c r="E63" s="100"/>
      <c r="F63" s="101"/>
      <c r="G63" s="102"/>
    </row>
    <row r="64" spans="1:7" ht="15.95" customHeight="1" x14ac:dyDescent="0.25">
      <c r="A64" s="96">
        <v>62</v>
      </c>
      <c r="B64" s="98"/>
      <c r="C64" s="99"/>
      <c r="D64" s="100"/>
      <c r="E64" s="100"/>
      <c r="F64" s="101"/>
      <c r="G64" s="102"/>
    </row>
    <row r="65" spans="1:7" ht="15.95" customHeight="1" x14ac:dyDescent="0.25">
      <c r="A65" s="96">
        <v>63</v>
      </c>
      <c r="B65" s="98"/>
      <c r="C65" s="99"/>
      <c r="D65" s="100"/>
      <c r="E65" s="100"/>
      <c r="F65" s="101"/>
      <c r="G65" s="102"/>
    </row>
  </sheetData>
  <sortState ref="B3:G66">
    <sortCondition descending="1" ref="G3:G66"/>
  </sortState>
  <conditionalFormatting sqref="F4:F65">
    <cfRule type="cellIs" dxfId="9" priority="1" operator="greaterThan">
      <formula>9</formula>
    </cfRule>
    <cfRule type="cellIs" dxfId="8" priority="2" operator="greaterThan">
      <formula>9.5</formula>
    </cfRule>
  </conditionalFormatting>
  <conditionalFormatting sqref="F4:F65">
    <cfRule type="cellIs" dxfId="7" priority="3" operator="equal">
      <formula>95</formula>
    </cfRule>
    <cfRule type="cellIs" dxfId="6" priority="4" operator="equal">
      <formula>"f"</formula>
    </cfRule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OverallResult</vt:lpstr>
      <vt:lpstr>SubjectWise</vt:lpstr>
      <vt:lpstr>FinalResult</vt:lpstr>
      <vt:lpstr>Absentees</vt:lpstr>
      <vt:lpstr>Toppers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</dc:creator>
  <cp:lastModifiedBy>Admin</cp:lastModifiedBy>
  <cp:lastPrinted>2024-05-20T09:18:32Z</cp:lastPrinted>
  <dcterms:created xsi:type="dcterms:W3CDTF">2020-01-06T05:33:50Z</dcterms:created>
  <dcterms:modified xsi:type="dcterms:W3CDTF">2024-08-19T03:41:47Z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9ebacf8d-3131-487d-a657-6dc18ecfab7f</vt:lpwstr>
  </property>
</Properties>
</file>